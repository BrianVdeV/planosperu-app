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oreui-free-react-admin-template-main\dist\"/>
    </mc:Choice>
  </mc:AlternateContent>
  <xr:revisionPtr revIDLastSave="0" documentId="13_ncr:1_{8FC05C3C-24E0-4BAD-B479-36EC33EB30E8}" xr6:coauthVersionLast="47" xr6:coauthVersionMax="47" xr10:uidLastSave="{00000000-0000-0000-0000-000000000000}"/>
  <bookViews>
    <workbookView xWindow="-120" yWindow="-120" windowWidth="24240" windowHeight="13140" tabRatio="791" activeTab="1" xr2:uid="{0EBEE2B5-56D3-4167-AC36-921CA7432C30}"/>
  </bookViews>
  <sheets>
    <sheet name="DATOS" sheetId="26" r:id="rId1"/>
    <sheet name="FORMULARIO" sheetId="28" r:id="rId2"/>
    <sheet name="INFORME" sheetId="4" r:id="rId3"/>
    <sheet name="Anexo 1" sheetId="29" r:id="rId4"/>
    <sheet name="ANEXO 4" sheetId="12" r:id="rId5"/>
    <sheet name="REGLA-INTERNO" sheetId="6" r:id="rId6"/>
    <sheet name="Acta" sheetId="23" r:id="rId7"/>
    <sheet name="CONSTANCIA" sheetId="22" r:id="rId8"/>
    <sheet name="MEMB-P01-A01" sheetId="15" r:id="rId9"/>
    <sheet name="MEMB-U01" sheetId="16" r:id="rId10"/>
    <sheet name="MEMB-AREAS" sheetId="13" r:id="rId11"/>
  </sheets>
  <externalReferences>
    <externalReference r:id="rId12"/>
  </externalReferences>
  <definedNames>
    <definedName name="_C7" localSheetId="6">Acta!#REF!</definedName>
    <definedName name="_C7" localSheetId="7">[1]SOLICITUD!#REF!</definedName>
    <definedName name="_C7">[1]SOLICITUD!#REF!</definedName>
    <definedName name="_xlnm.Print_Area" localSheetId="6">Acta!$A$1:$N$490</definedName>
    <definedName name="_xlnm.Print_Area" localSheetId="3">'Anexo 1'!$A$1:$L$112</definedName>
    <definedName name="_xlnm.Print_Area" localSheetId="4">'ANEXO 4'!$A$1:$I$34</definedName>
    <definedName name="_xlnm.Print_Area" localSheetId="7">CONSTANCIA!$A$1:$L$66</definedName>
    <definedName name="_xlnm.Print_Area" localSheetId="2">INFORME!$A$1:$L$205</definedName>
    <definedName name="_xlnm.Print_Area" localSheetId="5">'REGLA-INTERNO'!$A$1:$J$315</definedName>
    <definedName name="UNIDADINMOBILIARIA" localSheetId="6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60" i="28" l="1"/>
  <c r="A659" i="28"/>
  <c r="A658" i="28"/>
  <c r="A657" i="28"/>
  <c r="A656" i="28"/>
  <c r="B623" i="28"/>
  <c r="J1" i="29"/>
  <c r="B14" i="29"/>
  <c r="B36" i="29" s="1"/>
  <c r="B57" i="29" s="1"/>
  <c r="B78" i="29" s="1"/>
  <c r="B99" i="29" s="1"/>
  <c r="B120" i="29" s="1"/>
  <c r="B141" i="29" s="1"/>
  <c r="B162" i="29" s="1"/>
  <c r="H12" i="29"/>
  <c r="H9" i="29"/>
  <c r="B9" i="29"/>
  <c r="J1" i="28"/>
  <c r="H634" i="28"/>
  <c r="G626" i="28"/>
  <c r="D626" i="28"/>
  <c r="H623" i="28"/>
  <c r="E623" i="28"/>
  <c r="E320" i="28"/>
  <c r="G227" i="28"/>
  <c r="J111" i="28"/>
  <c r="B23" i="28"/>
  <c r="B18" i="28"/>
  <c r="H16" i="28"/>
  <c r="H13" i="28"/>
  <c r="B13" i="28"/>
  <c r="B22" i="16"/>
  <c r="D30" i="16"/>
  <c r="E30" i="16"/>
  <c r="D12" i="16"/>
  <c r="K7" i="15"/>
  <c r="K39" i="4"/>
  <c r="J39" i="4"/>
  <c r="I1" i="6"/>
  <c r="K1" i="4"/>
  <c r="F34" i="12"/>
  <c r="A34" i="12"/>
  <c r="G223" i="28" l="1"/>
  <c r="G226" i="28" s="1"/>
  <c r="D211" i="28" s="1"/>
  <c r="D37" i="4"/>
  <c r="A37" i="4"/>
  <c r="G37" i="4"/>
  <c r="J15" i="13" l="1"/>
  <c r="F32" i="6"/>
  <c r="E32" i="6"/>
  <c r="E46" i="6"/>
  <c r="E45" i="6"/>
  <c r="E44" i="6"/>
  <c r="E43" i="6"/>
  <c r="F33" i="6"/>
  <c r="E33" i="6"/>
  <c r="E34" i="6" l="1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B21" i="4"/>
  <c r="F18" i="6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H19" i="4"/>
  <c r="B19" i="4"/>
  <c r="B312" i="6"/>
  <c r="F312" i="6"/>
  <c r="F23" i="6"/>
  <c r="F20" i="6"/>
  <c r="J7" i="13" l="1"/>
  <c r="J12" i="13" s="1"/>
  <c r="F34" i="6"/>
  <c r="F96" i="23"/>
  <c r="G131" i="23" s="1"/>
  <c r="B47" i="23"/>
  <c r="G27" i="23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8" i="4"/>
  <c r="H26" i="4"/>
  <c r="E26" i="4"/>
  <c r="B26" i="4"/>
  <c r="D69" i="6"/>
  <c r="D68" i="6"/>
  <c r="B24" i="22" l="1"/>
  <c r="B38" i="22" s="1"/>
  <c r="G20" i="23"/>
  <c r="D20" i="23"/>
  <c r="D82" i="6"/>
  <c r="D83" i="6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sharedStrings.xml><?xml version="1.0" encoding="utf-8"?>
<sst xmlns="http://schemas.openxmlformats.org/spreadsheetml/2006/main" count="1809" uniqueCount="930">
  <si>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</si>
  <si>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</si>
  <si>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</si>
  <si>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</si>
  <si>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</si>
  <si>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</si>
  <si>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</si>
  <si>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</si>
  <si>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</si>
  <si>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</si>
  <si>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</si>
  <si>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</si>
  <si>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</si>
  <si>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</si>
  <si>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</si>
  <si>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</si>
  <si>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</si>
  <si>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</si>
  <si>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</si>
  <si>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</si>
  <si>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</si>
  <si>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</si>
  <si>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</si>
  <si>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</si>
  <si>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</si>
  <si>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</si>
  <si>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</si>
  <si>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</si>
  <si>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</si>
  <si>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</si>
  <si>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</si>
  <si>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</si>
  <si>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</si>
  <si>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</si>
  <si>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</si>
  <si>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</si>
  <si>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</si>
  <si>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</si>
  <si>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</si>
  <si>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</si>
  <si>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</si>
  <si>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</si>
  <si>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</si>
  <si>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</si>
  <si>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</si>
  <si>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</si>
  <si>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</si>
  <si>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</si>
  <si>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</si>
  <si>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</si>
  <si>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</si>
  <si>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</si>
  <si>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</si>
  <si>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</si>
  <si>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</si>
  <si>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</si>
  <si>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</si>
  <si>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</si>
  <si>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</si>
  <si>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</si>
  <si>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</si>
  <si>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</si>
  <si>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</si>
  <si>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</si>
  <si>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</si>
  <si>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</si>
  <si>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</si>
  <si>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</si>
  <si>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</si>
  <si>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</si>
  <si>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</si>
  <si>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</si>
  <si>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</si>
  <si>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</si>
  <si>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</si>
  <si>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</si>
  <si>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</si>
  <si>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</si>
  <si>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</si>
  <si>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</si>
  <si>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</si>
  <si>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</si>
  <si>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</si>
  <si>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</si>
  <si>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</si>
  <si>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</si>
  <si>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</si>
  <si>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</si>
  <si>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</si>
  <si>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</si>
  <si>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</si>
  <si>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</si>
  <si>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</si>
  <si>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</si>
  <si>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</si>
  <si>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</si>
  <si>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</si>
  <si>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</si>
  <si>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</si>
  <si>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</si>
  <si>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</si>
  <si>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</si>
  <si>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</si>
  <si>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</si>
  <si>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</si>
  <si>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</si>
  <si>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</si>
  <si>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</si>
  <si>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</si>
  <si>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</si>
  <si>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</si>
  <si>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</si>
  <si>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</si>
  <si>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</si>
  <si>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</si>
  <si>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</si>
  <si>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</si>
  <si>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</si>
  <si>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</si>
  <si>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</si>
  <si>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</si>
  <si>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</si>
  <si>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</si>
  <si>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</si>
  <si>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</si>
  <si>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</si>
  <si>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</si>
  <si>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</si>
  <si>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</si>
  <si>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</si>
  <si>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</si>
  <si>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</si>
  <si>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</si>
  <si>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</si>
  <si>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</si>
  <si>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</si>
  <si>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</si>
  <si>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</si>
  <si>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</si>
  <si>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</si>
  <si>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</si>
  <si>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</si>
  <si>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</si>
  <si>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</si>
  <si>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</si>
  <si>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</si>
  <si>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</si>
  <si>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</si>
  <si>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</si>
  <si>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</si>
  <si>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</si>
  <si>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</si>
  <si>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</si>
  <si>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</si>
  <si>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</si>
  <si>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</si>
  <si>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</si>
  <si>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</si>
  <si>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</si>
  <si>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</si>
  <si>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</si>
  <si>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</si>
  <si>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</si>
  <si>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</si>
  <si>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</si>
  <si>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</si>
  <si>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</si>
  <si>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</si>
  <si>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</si>
  <si>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</si>
  <si>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</si>
  <si>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</si>
  <si>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</si>
  <si>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</si>
  <si>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</si>
  <si>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</si>
  <si>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</si>
  <si>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</si>
  <si>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</si>
  <si>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</si>
  <si>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</si>
  <si>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</si>
  <si>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</si>
  <si>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</si>
  <si>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</si>
  <si>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</si>
  <si>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</si>
  <si>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</si>
  <si>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</si>
  <si>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</si>
  <si>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</si>
  <si>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</si>
  <si>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</si>
  <si>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</si>
  <si>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</si>
  <si>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</si>
  <si>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</si>
  <si>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</si>
  <si>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</si>
  <si>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</si>
  <si>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</si>
  <si>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</si>
  <si>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</si>
  <si>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</si>
  <si>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</si>
  <si>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</si>
  <si>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</si>
  <si>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</si>
  <si>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</si>
  <si>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</si>
  <si>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</si>
  <si>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</si>
  <si>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</si>
  <si>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</si>
  <si>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</si>
  <si>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</si>
  <si>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</si>
  <si>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</si>
  <si>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</si>
  <si>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</si>
  <si>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</si>
  <si>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</si>
  <si>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</si>
  <si>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</si>
  <si>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</si>
  <si>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</si>
  <si>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</si>
  <si>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</si>
  <si>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</si>
  <si>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</si>
  <si>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</si>
  <si>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</si>
  <si>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</si>
  <si>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</si>
  <si>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</si>
  <si>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</si>
  <si>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</si>
  <si>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</si>
  <si>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</si>
  <si>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</si>
  <si>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</si>
  <si>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</si>
  <si>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</si>
  <si>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</si>
  <si>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</si>
  <si>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</si>
  <si>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</si>
  <si>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</si>
  <si>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</si>
  <si>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</si>
  <si>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</si>
  <si>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</si>
  <si>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</si>
  <si>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</si>
  <si>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</si>
  <si>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</si>
  <si>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</si>
  <si>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</si>
  <si>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</si>
  <si>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</si>
  <si>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</si>
  <si>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</si>
  <si>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</si>
  <si>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</si>
  <si>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</si>
  <si>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</si>
  <si>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</si>
  <si>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</si>
  <si>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</si>
  <si>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</si>
  <si>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</si>
  <si>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</si>
  <si>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</si>
  <si>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</si>
  <si>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</si>
  <si>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</si>
  <si>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</si>
  <si>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</si>
  <si>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</si>
  <si>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</si>
  <si>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</si>
  <si>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</si>
  <si>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</si>
  <si>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</si>
  <si>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</si>
  <si>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</si>
  <si>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</si>
  <si>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</si>
  <si>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</si>
  <si>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</si>
  <si>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</si>
  <si>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</si>
  <si>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</si>
  <si>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</si>
  <si>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</si>
  <si>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</si>
  <si>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</si>
  <si>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</si>
  <si>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</si>
  <si>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</si>
  <si>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</si>
  <si>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</si>
  <si>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</si>
  <si>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</si>
  <si>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</si>
  <si>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</si>
  <si>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</si>
  <si>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</si>
  <si>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</si>
  <si>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</si>
  <si>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</si>
  <si>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</si>
  <si>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</si>
  <si>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</si>
  <si>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</si>
  <si>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</si>
  <si>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</si>
  <si>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</si>
  <si>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</si>
  <si>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</si>
  <si>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</si>
  <si>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</si>
  <si>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</si>
  <si>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</si>
  <si>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</si>
  <si>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</si>
  <si>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</si>
  <si>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</si>
  <si>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</si>
  <si>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</si>
  <si>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</si>
  <si>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</si>
  <si>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</si>
  <si>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</si>
  <si>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</si>
  <si>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</si>
  <si>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</si>
  <si>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</si>
  <si>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</si>
  <si>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</si>
  <si>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</si>
  <si>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</si>
  <si>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</si>
  <si>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</si>
  <si>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</si>
  <si>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</si>
  <si>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</si>
  <si>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</si>
  <si>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</si>
  <si>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</si>
  <si>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</si>
  <si>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</si>
  <si>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</si>
  <si>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</si>
  <si>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</si>
  <si>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</si>
  <si>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</si>
  <si>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</si>
  <si>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</si>
  <si>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</si>
  <si>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</si>
  <si>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</si>
  <si>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</si>
  <si>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</si>
  <si>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</si>
  <si>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</si>
  <si>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</si>
  <si>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</si>
  <si>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</si>
  <si>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</si>
  <si>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</si>
  <si>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</si>
  <si>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</si>
  <si>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</si>
  <si>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</si>
  <si>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</si>
  <si>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</si>
  <si>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</si>
  <si>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</si>
  <si>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</si>
  <si>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</si>
  <si>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</si>
  <si>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</si>
  <si>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</si>
  <si>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</si>
  <si>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</si>
  <si>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</si>
  <si>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</si>
  <si>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</si>
  <si>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</si>
  <si>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</si>
  <si>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</si>
  <si>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</si>
  <si>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</si>
  <si>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</si>
  <si>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</si>
  <si>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</si>
  <si>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</si>
  <si>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</si>
  <si>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</si>
  <si>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</si>
  <si>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</si>
  <si>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</si>
  <si>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</si>
  <si>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</si>
  <si>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</si>
  <si>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</si>
  <si>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</si>
  <si>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</si>
  <si>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</si>
  <si>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</si>
  <si>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</si>
  <si>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</si>
  <si>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</si>
  <si>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</si>
  <si>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</si>
  <si>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</si>
  <si>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</si>
  <si>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</si>
  <si>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</si>
  <si>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</si>
  <si>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</si>
  <si>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</si>
  <si>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</si>
  <si>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</si>
  <si>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</si>
  <si>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</si>
  <si>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</si>
  <si>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</si>
  <si>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</si>
  <si>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</si>
  <si>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</si>
  <si>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</si>
  <si>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</si>
  <si>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</si>
  <si>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</si>
  <si>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</si>
  <si>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</si>
  <si>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</si>
  <si>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</si>
  <si>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</si>
  <si>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</si>
  <si>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</si>
  <si>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</si>
  <si>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</si>
  <si>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</si>
  <si>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</si>
  <si>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</si>
  <si>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</si>
  <si>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</si>
  <si>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</si>
  <si>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</si>
  <si>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</si>
  <si>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</si>
  <si>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</si>
  <si>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</si>
  <si>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</si>
  <si>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</si>
  <si>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</si>
  <si>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</si>
  <si>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</si>
  <si>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</si>
  <si>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</si>
  <si>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</si>
  <si>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</si>
  <si>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</si>
  <si>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</si>
  <si>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</si>
  <si>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</si>
  <si>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</si>
  <si>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</si>
  <si>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</si>
  <si>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</si>
  <si>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</si>
  <si>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</si>
  <si>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</si>
  <si>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</si>
  <si>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</si>
  <si>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</si>
  <si>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</si>
  <si>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</si>
  <si>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</si>
  <si>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</si>
  <si>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</si>
  <si>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</si>
  <si>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</si>
  <si>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</si>
  <si>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</si>
  <si>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</si>
  <si>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</si>
  <si>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</si>
  <si>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</si>
  <si>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</si>
  <si>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</si>
  <si>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</si>
  <si>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</si>
  <si>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</si>
  <si>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</si>
  <si>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</si>
  <si>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</si>
  <si>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</si>
  <si>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</si>
  <si>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</si>
  <si>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</si>
  <si>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</si>
  <si>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</si>
  <si>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</si>
  <si>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</si>
  <si>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</si>
  <si>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</si>
  <si>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</si>
  <si>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</si>
  <si>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</si>
  <si>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</si>
  <si>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</si>
  <si>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</si>
  <si>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</si>
  <si>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</si>
  <si>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</si>
  <si>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</si>
  <si>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</si>
  <si>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</si>
  <si>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</si>
  <si>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</si>
  <si>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</si>
  <si>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</si>
  <si>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</si>
  <si>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</si>
  <si>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</si>
  <si>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</si>
  <si>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</si>
  <si>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</si>
  <si>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acredita(n) su propiedad por un periodo ininterrumpido de 5 años</t>
  </si>
  <si>
    <t>de enajenación que acredita(n) su propiedad por un periodo ininterrumpido de 5 años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</si>
  <si>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</si>
  <si>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</si>
  <si>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</si>
  <si>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</si>
  <si>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</si>
  <si>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</si>
  <si>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</si>
  <si>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</si>
  <si>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Calle / avenida /jirón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</si>
  <si>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</si>
  <si>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</si>
  <si>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</si>
  <si>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</si>
  <si>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</si>
  <si>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</si>
  <si>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</si>
  <si>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</si>
  <si>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</si>
  <si>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</si>
  <si>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</si>
  <si>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</si>
  <si>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</si>
  <si>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</si>
  <si>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</si>
  <si>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</si>
  <si>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</si>
  <si>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</si>
  <si>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</si>
  <si>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</si>
  <si>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</si>
  <si>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</si>
  <si>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</si>
  <si>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</si>
  <si>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</si>
  <si>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</si>
  <si>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</si>
  <si>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</si>
  <si>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</si>
  <si>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</si>
  <si>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</si>
  <si>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</si>
  <si>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</si>
  <si>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</si>
  <si>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</si>
  <si>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</si>
  <si>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</si>
  <si>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</si>
  <si>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</si>
  <si>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</si>
  <si>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</si>
  <si>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</si>
  <si>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</si>
  <si>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</si>
  <si>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</si>
  <si>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</si>
  <si>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</si>
  <si>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</si>
  <si>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</si>
  <si>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</si>
  <si>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</si>
  <si>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</si>
  <si>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</si>
  <si>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</si>
  <si>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</si>
  <si>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</si>
  <si>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</si>
  <si>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</si>
  <si>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</si>
  <si>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</si>
  <si>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</si>
  <si>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</si>
  <si>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</si>
  <si>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APELLIDOS</t>
  </si>
  <si>
    <t>DNI</t>
  </si>
  <si>
    <t>DIRECCION</t>
  </si>
  <si>
    <t>CONYUGUE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</si>
  <si>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</si>
  <si>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</si>
  <si>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</si>
  <si>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</si>
  <si>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</si>
  <si>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</si>
  <si>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</si>
  <si>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</si>
  <si>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</si>
  <si>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</si>
  <si>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</si>
  <si>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</si>
  <si>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</si>
  <si>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</si>
  <si>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</si>
  <si>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</si>
  <si>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</si>
  <si>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</si>
  <si>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</si>
  <si>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</si>
  <si>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</si>
  <si>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</si>
  <si>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</si>
  <si>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</si>
  <si>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</si>
  <si>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</si>
  <si>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</si>
  <si>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</si>
  <si>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</si>
  <si>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</si>
  <si>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</si>
  <si>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</si>
  <si>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</si>
  <si>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</si>
  <si>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</si>
  <si>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</si>
  <si>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</si>
  <si>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</si>
  <si>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</si>
  <si>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</si>
  <si>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</si>
  <si>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</si>
  <si>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</si>
  <si>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</si>
  <si>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</si>
  <si>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</si>
  <si>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</si>
  <si>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</si>
  <si>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</si>
  <si>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</si>
  <si>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</si>
  <si>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</si>
  <si>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</si>
  <si>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</si>
  <si>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</si>
  <si>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</si>
  <si>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</si>
  <si>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</si>
  <si>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</si>
  <si>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</si>
  <si>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</si>
  <si>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</si>
  <si>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</si>
  <si>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</si>
  <si>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</si>
  <si>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</si>
  <si>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</si>
  <si>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</si>
  <si>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</si>
  <si>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</si>
  <si>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</si>
  <si>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</si>
  <si>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</si>
  <si>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</si>
  <si>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</si>
  <si>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</si>
  <si>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</si>
  <si>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</si>
  <si>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</si>
  <si>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</si>
  <si>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</si>
  <si>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 xml:space="preserve">NOMBRES </t>
  </si>
  <si>
    <t>AREA M2</t>
  </si>
  <si>
    <t xml:space="preserve">PARTIDA REGISTRAL </t>
  </si>
  <si>
    <t xml:space="preserve">VALOR UNITARIO 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</si>
  <si>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</si>
  <si>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</si>
  <si>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</si>
  <si>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</si>
  <si>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</si>
  <si>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</si>
  <si>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</si>
  <si>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</si>
  <si>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</si>
  <si>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</si>
  <si>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</si>
  <si>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</si>
  <si>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</si>
  <si>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</si>
  <si>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</si>
  <si>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</si>
  <si>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</si>
  <si>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</si>
  <si>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</si>
  <si>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</si>
  <si>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</si>
  <si>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</si>
  <si>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</si>
  <si>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</si>
  <si>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</si>
  <si>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</si>
  <si>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</si>
  <si>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</si>
  <si>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</si>
  <si>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</si>
  <si>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</si>
  <si>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</si>
  <si>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</si>
  <si>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</si>
  <si>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</si>
  <si>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</si>
  <si>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</si>
  <si>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</si>
  <si>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</si>
  <si>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</si>
  <si>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</si>
  <si>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</si>
  <si>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</si>
  <si>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</si>
  <si>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</si>
  <si>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</si>
  <si>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</si>
  <si>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</si>
  <si>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</si>
  <si>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</si>
  <si>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</si>
  <si>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</si>
  <si>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</si>
  <si>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</si>
  <si>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</si>
  <si>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</si>
  <si>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</si>
  <si>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</si>
  <si>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</si>
  <si>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</si>
  <si>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</si>
  <si>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</si>
  <si>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</si>
  <si>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</si>
  <si>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</si>
  <si>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</si>
  <si>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</si>
  <si>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</si>
  <si>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</si>
  <si>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</si>
  <si>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</si>
  <si>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</si>
  <si>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</si>
  <si>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</si>
  <si>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</si>
  <si>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</si>
  <si>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</si>
  <si>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</si>
  <si>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</si>
  <si>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</si>
  <si>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</si>
  <si>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</si>
  <si>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</si>
  <si>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</si>
  <si>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</si>
  <si>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</si>
  <si>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</si>
  <si>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</si>
  <si>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</si>
  <si>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</si>
  <si>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</si>
  <si>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</si>
  <si>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</si>
  <si>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</si>
  <si>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</si>
  <si>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</si>
  <si>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</si>
  <si>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</si>
  <si>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</si>
  <si>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</si>
  <si>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</si>
  <si>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</si>
  <si>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</si>
  <si>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</si>
  <si>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</si>
  <si>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</si>
  <si>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</si>
  <si>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</si>
  <si>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</si>
  <si>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</si>
  <si>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</si>
  <si>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</si>
  <si>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</si>
  <si>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</si>
  <si>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</si>
  <si>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</si>
  <si>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</si>
  <si>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</si>
  <si>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</si>
  <si>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</si>
  <si>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</si>
  <si>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</si>
  <si>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</si>
  <si>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</si>
  <si>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</si>
  <si>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</si>
  <si>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</si>
  <si>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</si>
  <si>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</si>
  <si>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</si>
  <si>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</si>
  <si>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</si>
  <si>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</si>
  <si>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</si>
  <si>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</si>
  <si>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</si>
  <si>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</si>
  <si>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</si>
  <si>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</si>
  <si>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</si>
  <si>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</si>
  <si>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</si>
  <si>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</si>
  <si>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</si>
  <si>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</si>
  <si>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</si>
  <si>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</si>
  <si>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</si>
  <si>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</si>
  <si>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</si>
  <si>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</si>
  <si>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</si>
  <si>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</si>
  <si>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</si>
  <si>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</si>
  <si>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</si>
  <si>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</si>
  <si>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</si>
  <si>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</si>
  <si>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</si>
  <si>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</si>
  <si>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</si>
  <si>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</si>
  <si>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</si>
  <si>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</si>
  <si>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</si>
  <si>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</si>
  <si>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</si>
  <si>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ESTADO CIVIL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</si>
  <si>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</si>
  <si>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</si>
  <si>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</si>
  <si>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</si>
  <si>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</si>
  <si>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</si>
  <si>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</si>
  <si>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</si>
  <si>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</si>
  <si>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</si>
  <si>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</si>
  <si>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</si>
  <si>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- Exhibidos ante mi ,títulos supletorios cuyo tramite se inicio ante un notario, se presento oposición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</si>
  <si>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</si>
  <si>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</si>
  <si>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</si>
  <si>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</si>
  <si>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</si>
  <si>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</si>
  <si>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</si>
  <si>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</si>
  <si>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</si>
  <si>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</si>
  <si>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</si>
  <si>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</si>
  <si>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</si>
  <si>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</si>
  <si>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</si>
  <si>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</si>
  <si>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</si>
  <si>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</si>
  <si>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</si>
  <si>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</si>
  <si>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</si>
  <si>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- Exhibido ante mi documento()s privado(s) de fecha cierta que contienen acto(s) jurídico(s) de enajenación que</t>
  </si>
  <si>
    <t>Lote____________________</t>
  </si>
  <si>
    <t>(2) Se entiende por solicitante al (los) propietario (s) de la edificación materia de regularización. Si son mas solicitantes deberá completarse la información en el</t>
  </si>
  <si>
    <t xml:space="preserve"> Anexo N° 1 Ley N° 27157  o en el Anexo N° 2 Ley 27157, según corresponda.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</si>
  <si>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</si>
  <si>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</si>
  <si>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</si>
  <si>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</si>
  <si>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</si>
  <si>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</si>
  <si>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</si>
  <si>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</si>
  <si>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</si>
  <si>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</si>
  <si>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</si>
  <si>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</si>
  <si>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</si>
  <si>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</si>
  <si>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</si>
  <si>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</si>
  <si>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</si>
  <si>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</si>
  <si>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</si>
  <si>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</si>
  <si>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>SANTILLAN</t>
  </si>
  <si>
    <t>QUIROZ</t>
  </si>
  <si>
    <t>JULIO</t>
  </si>
  <si>
    <t>Jr.Guayabas 2039 Dpto.A-505 Urb.El trebol
 III Etapa-Los Olivos</t>
  </si>
  <si>
    <t>022023VCZRIX</t>
  </si>
  <si>
    <t xml:space="preserve"> </t>
  </si>
  <si>
    <t xml:space="preserve">Fecha de terminación de la construcción:          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</si>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</sst>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8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20"/>
      <color theme="1"/>
      <name val="Arial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038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9" fillId="0" borderId="10" xfId="0" applyFont="1" applyBorder="1" applyAlignment="1" applyProtection="1">
      <alignment horizontal="center"/>
      <protection locked="0"/>
    </xf>
    <xf numFmtId="0" fontId="69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3" fillId="0" borderId="0" xfId="0" applyFont="1" applyAlignment="1">
      <alignment horizontal="left"/>
    </xf>
    <xf numFmtId="0" fontId="73" fillId="0" borderId="0" xfId="0" applyFont="1"/>
    <xf numFmtId="49" fontId="73" fillId="0" borderId="0" xfId="0" applyNumberFormat="1" applyFont="1" applyAlignment="1">
      <alignment horizontal="left"/>
    </xf>
    <xf numFmtId="0" fontId="73" fillId="0" borderId="0" xfId="0" applyFont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3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2" fontId="17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9" fillId="0" borderId="55" xfId="0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80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2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Border="1"/>
    <xf numFmtId="0" fontId="4" fillId="0" borderId="6" xfId="0" applyFont="1" applyFill="1" applyBorder="1" applyAlignment="1">
      <alignment horizontal="center"/>
    </xf>
    <xf numFmtId="14" fontId="4" fillId="0" borderId="6" xfId="0" applyNumberFormat="1" applyFont="1" applyFill="1" applyBorder="1" applyAlignment="1" applyProtection="1">
      <alignment horizontal="center"/>
      <protection locked="0"/>
    </xf>
    <xf numFmtId="0" fontId="4" fillId="0" borderId="6" xfId="0" applyFont="1" applyFill="1" applyBorder="1"/>
    <xf numFmtId="2" fontId="47" fillId="3" borderId="23" xfId="0" applyNumberFormat="1" applyFont="1" applyFill="1" applyBorder="1" applyAlignment="1">
      <alignment horizontal="center" vertical="center"/>
    </xf>
    <xf numFmtId="0" fontId="0" fillId="0" borderId="0" xfId="0" applyBorder="1"/>
    <xf numFmtId="0" fontId="47" fillId="0" borderId="29" xfId="0" applyFont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4" fillId="0" borderId="0" xfId="0" applyFont="1" applyAlignment="1">
      <alignment horizontal="left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quotePrefix="1" applyFont="1"/>
    <xf numFmtId="0" fontId="4" fillId="0" borderId="0" xfId="0" applyFont="1"/>
    <xf numFmtId="0" fontId="4" fillId="0" borderId="1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12" fillId="0" borderId="6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67" fillId="3" borderId="1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0" borderId="12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30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22" fillId="3" borderId="24" xfId="0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22" fillId="3" borderId="28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29" xfId="0" applyFont="1" applyFill="1" applyBorder="1" applyAlignment="1">
      <alignment horizontal="center" vertical="center"/>
    </xf>
    <xf numFmtId="2" fontId="2" fillId="3" borderId="60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2" xfId="0" applyFont="1" applyFill="1" applyBorder="1" applyAlignment="1">
      <alignment horizontal="left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4" fillId="0" borderId="2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0" fillId="0" borderId="1" xfId="0" applyBorder="1"/>
    <xf numFmtId="0" fontId="0" fillId="0" borderId="3" xfId="0" applyBorder="1"/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0" fillId="0" borderId="63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2" fillId="0" borderId="26" xfId="0" applyFont="1" applyBorder="1" applyAlignment="1">
      <alignment horizontal="center" vertical="center" wrapText="1"/>
    </xf>
    <xf numFmtId="0" fontId="82" fillId="0" borderId="27" xfId="0" applyFont="1" applyBorder="1" applyAlignment="1">
      <alignment horizontal="center" vertical="center" wrapText="1"/>
    </xf>
    <xf numFmtId="0" fontId="82" fillId="0" borderId="40" xfId="0" applyFont="1" applyBorder="1" applyAlignment="1">
      <alignment horizontal="center" vertical="center" wrapText="1"/>
    </xf>
    <xf numFmtId="0" fontId="82" fillId="0" borderId="28" xfId="0" applyFont="1" applyBorder="1" applyAlignment="1">
      <alignment horizontal="center" vertical="center" wrapText="1"/>
    </xf>
    <xf numFmtId="0" fontId="82" fillId="0" borderId="0" xfId="0" applyFont="1" applyAlignment="1">
      <alignment horizontal="center" vertical="center" wrapText="1"/>
    </xf>
    <xf numFmtId="0" fontId="82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49" fontId="46" fillId="0" borderId="12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0" borderId="12" xfId="0" applyFont="1" applyBorder="1"/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78" fillId="6" borderId="12" xfId="0" applyFont="1" applyFill="1" applyBorder="1" applyAlignment="1" applyProtection="1">
      <alignment horizontal="left"/>
      <protection locked="0"/>
    </xf>
    <xf numFmtId="0" fontId="82" fillId="0" borderId="12" xfId="0" applyFont="1" applyBorder="1" applyAlignment="1">
      <alignment horizontal="left"/>
    </xf>
    <xf numFmtId="0" fontId="21" fillId="0" borderId="12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8" xfId="0" applyFont="1" applyBorder="1"/>
    <xf numFmtId="0" fontId="21" fillId="0" borderId="19" xfId="0" applyFont="1" applyBorder="1"/>
    <xf numFmtId="0" fontId="21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3" borderId="12" xfId="0" applyFont="1" applyFill="1" applyBorder="1" applyAlignment="1" applyProtection="1">
      <alignment horizontal="center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0" fontId="12" fillId="0" borderId="0" xfId="0" applyFont="1" applyAlignment="1">
      <alignment horizontal="left"/>
    </xf>
    <xf numFmtId="0" fontId="12" fillId="0" borderId="0" xfId="0" applyFont="1"/>
    <xf numFmtId="0" fontId="83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  <xf numFmtId="0" fontId="82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21" fillId="0" borderId="3" xfId="0" applyFont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>
      <alignment horizontal="left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49" fontId="21" fillId="0" borderId="1" xfId="0" applyNumberFormat="1" applyFont="1" applyBorder="1" applyAlignment="1">
      <alignment horizontal="center"/>
    </xf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70" fillId="6" borderId="1" xfId="0" applyFont="1" applyFill="1" applyBorder="1" applyAlignment="1">
      <alignment horizontal="center" wrapText="1"/>
    </xf>
    <xf numFmtId="0" fontId="70" fillId="6" borderId="2" xfId="0" applyFont="1" applyFill="1" applyBorder="1" applyAlignment="1">
      <alignment horizontal="center" wrapText="1"/>
    </xf>
    <xf numFmtId="0" fontId="70" fillId="6" borderId="3" xfId="0" applyFont="1" applyFill="1" applyBorder="1" applyAlignment="1">
      <alignment horizontal="center" wrapText="1"/>
    </xf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top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49" fontId="19" fillId="6" borderId="1" xfId="0" applyNumberFormat="1" applyFont="1" applyFill="1" applyBorder="1" applyAlignment="1">
      <alignment horizontal="center"/>
    </xf>
    <xf numFmtId="49" fontId="19" fillId="6" borderId="2" xfId="0" applyNumberFormat="1" applyFont="1" applyFill="1" applyBorder="1" applyAlignment="1">
      <alignment horizontal="center"/>
    </xf>
    <xf numFmtId="49" fontId="19" fillId="6" borderId="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top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6" borderId="3" xfId="0" applyNumberFormat="1" applyFill="1" applyBorder="1" applyAlignment="1">
      <alignment horizontal="center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4" fillId="6" borderId="26" xfId="0" applyFont="1" applyFill="1" applyBorder="1" applyAlignment="1">
      <alignment horizontal="center"/>
    </xf>
    <xf numFmtId="0" fontId="84" fillId="6" borderId="27" xfId="0" applyFont="1" applyFill="1" applyBorder="1" applyAlignment="1">
      <alignment horizontal="center"/>
    </xf>
    <xf numFmtId="0" fontId="84" fillId="6" borderId="15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/>
    </xf>
    <xf numFmtId="0" fontId="84" fillId="6" borderId="0" xfId="0" applyFont="1" applyFill="1" applyAlignment="1">
      <alignment horizontal="center"/>
    </xf>
    <xf numFmtId="0" fontId="84" fillId="6" borderId="29" xfId="0" applyFont="1" applyFill="1" applyBorder="1" applyAlignment="1">
      <alignment horizontal="center"/>
    </xf>
    <xf numFmtId="0" fontId="85" fillId="6" borderId="28" xfId="0" applyFont="1" applyFill="1" applyBorder="1" applyAlignment="1">
      <alignment horizontal="center" vertical="center"/>
    </xf>
    <xf numFmtId="0" fontId="85" fillId="6" borderId="0" xfId="0" applyFont="1" applyFill="1" applyAlignment="1">
      <alignment horizontal="center" vertical="center"/>
    </xf>
    <xf numFmtId="0" fontId="85" fillId="6" borderId="29" xfId="0" applyFont="1" applyFill="1" applyBorder="1" applyAlignment="1">
      <alignment horizontal="center" vertical="center"/>
    </xf>
    <xf numFmtId="0" fontId="85" fillId="6" borderId="30" xfId="0" applyFont="1" applyFill="1" applyBorder="1" applyAlignment="1">
      <alignment horizontal="center" vertical="center"/>
    </xf>
    <xf numFmtId="0" fontId="85" fillId="6" borderId="25" xfId="0" applyFont="1" applyFill="1" applyBorder="1" applyAlignment="1">
      <alignment horizontal="center" vertical="center"/>
    </xf>
    <xf numFmtId="0" fontId="85" fillId="6" borderId="24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 vertical="center"/>
    </xf>
    <xf numFmtId="0" fontId="77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center" wrapText="1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9" fillId="0" borderId="1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9" fillId="7" borderId="25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21" fillId="6" borderId="0" xfId="0" applyFont="1" applyFill="1" applyAlignment="1">
      <alignment horizontal="left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21" fillId="8" borderId="38" xfId="0" applyFont="1" applyFill="1" applyBorder="1" applyAlignment="1">
      <alignment horizontal="center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49" fontId="19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49" fontId="73" fillId="0" borderId="0" xfId="0" applyNumberFormat="1" applyFont="1" applyAlignment="1">
      <alignment horizontal="left"/>
    </xf>
    <xf numFmtId="0" fontId="73" fillId="0" borderId="0" xfId="0" applyFont="1" applyAlignment="1">
      <alignment horizontal="left"/>
    </xf>
    <xf numFmtId="0" fontId="7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70" fillId="3" borderId="1" xfId="0" applyFont="1" applyFill="1" applyBorder="1" applyAlignment="1" applyProtection="1">
      <alignment horizontal="center" vertical="center"/>
      <protection locked="0"/>
    </xf>
    <xf numFmtId="0" fontId="70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71" fillId="0" borderId="13" xfId="0" applyFont="1" applyBorder="1" applyAlignment="1" applyProtection="1">
      <alignment horizontal="center" vertical="center" wrapText="1"/>
      <protection locked="0"/>
    </xf>
    <xf numFmtId="0" fontId="71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71" fillId="0" borderId="12" xfId="0" applyFont="1" applyBorder="1" applyAlignment="1" applyProtection="1">
      <alignment horizontal="center" vertical="center" wrapText="1"/>
      <protection locked="0"/>
    </xf>
    <xf numFmtId="0" fontId="71" fillId="0" borderId="17" xfId="0" applyFont="1" applyBorder="1" applyAlignment="1" applyProtection="1">
      <alignment horizontal="center" vertical="center" wrapText="1"/>
      <protection locked="0"/>
    </xf>
    <xf numFmtId="0" fontId="70" fillId="3" borderId="19" xfId="0" applyFont="1" applyFill="1" applyBorder="1" applyAlignment="1" applyProtection="1">
      <alignment horizontal="center" vertical="center" wrapText="1"/>
      <protection locked="0"/>
    </xf>
    <xf numFmtId="0" fontId="70" fillId="3" borderId="20" xfId="0" applyFont="1" applyFill="1" applyBorder="1" applyAlignment="1" applyProtection="1">
      <alignment horizontal="center" vertical="center" wrapText="1"/>
      <protection locked="0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1" fillId="0" borderId="19" xfId="0" applyFont="1" applyBorder="1" applyAlignment="1" applyProtection="1">
      <alignment horizontal="center" vertical="center" wrapText="1"/>
      <protection locked="0"/>
    </xf>
    <xf numFmtId="0" fontId="71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horizontal="center"/>
    </xf>
    <xf numFmtId="0" fontId="69" fillId="0" borderId="10" xfId="0" applyFont="1" applyBorder="1" applyAlignment="1" applyProtection="1">
      <alignment horizontal="center" wrapText="1"/>
      <protection locked="0"/>
    </xf>
    <xf numFmtId="0" fontId="24" fillId="0" borderId="0" xfId="0" applyFont="1" applyAlignment="1">
      <alignment horizontal="center" vertical="top"/>
    </xf>
    <xf numFmtId="0" fontId="24" fillId="0" borderId="6" xfId="0" applyFont="1" applyBorder="1" applyAlignment="1">
      <alignment horizontal="center" vertical="top"/>
    </xf>
    <xf numFmtId="0" fontId="69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 wrapText="1"/>
    </xf>
    <xf numFmtId="0" fontId="19" fillId="0" borderId="10" xfId="0" applyFont="1" applyBorder="1" applyAlignment="1" applyProtection="1">
      <alignment horizontal="center"/>
      <protection locked="0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left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0" fontId="72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70" fillId="3" borderId="12" xfId="0" applyFont="1" applyFill="1" applyBorder="1" applyAlignment="1" applyProtection="1">
      <alignment horizontal="center" vertical="center"/>
      <protection locked="0"/>
    </xf>
    <xf numFmtId="0" fontId="70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49" fontId="74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top"/>
    </xf>
    <xf numFmtId="0" fontId="21" fillId="0" borderId="10" xfId="0" applyFont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68" fillId="0" borderId="10" xfId="0" applyFont="1" applyBorder="1" applyAlignment="1" applyProtection="1">
      <alignment horizontal="center" wrapText="1"/>
      <protection locked="0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</cellXfs>
  <cellStyles count="2">
    <cellStyle name="Millares" xfId="1" builtinId="3"/>
    <cellStyle name="Normal" xfId="0" builtinId="0"/>
  </cellStyles>
  <dxfs count="7"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8</xdr:row>
          <xdr:rowOff>95250</xdr:rowOff>
        </xdr:from>
        <xdr:to>
          <xdr:col>6</xdr:col>
          <xdr:colOff>723900</xdr:colOff>
          <xdr:row>11</xdr:row>
          <xdr:rowOff>104775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76200</xdr:rowOff>
        </xdr:from>
        <xdr:to>
          <xdr:col>6</xdr:col>
          <xdr:colOff>733425</xdr:colOff>
          <xdr:row>15</xdr:row>
          <xdr:rowOff>85725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0</xdr:rowOff>
        </xdr:from>
        <xdr:to>
          <xdr:col>6</xdr:col>
          <xdr:colOff>752475</xdr:colOff>
          <xdr:row>5</xdr:row>
          <xdr:rowOff>171450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8</xdr:row>
          <xdr:rowOff>66675</xdr:rowOff>
        </xdr:from>
        <xdr:to>
          <xdr:col>9</xdr:col>
          <xdr:colOff>190500</xdr:colOff>
          <xdr:row>11</xdr:row>
          <xdr:rowOff>76200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76200</xdr:rowOff>
        </xdr:from>
        <xdr:to>
          <xdr:col>9</xdr:col>
          <xdr:colOff>190500</xdr:colOff>
          <xdr:row>15</xdr:row>
          <xdr:rowOff>85725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85725</xdr:rowOff>
        </xdr:from>
        <xdr:to>
          <xdr:col>6</xdr:col>
          <xdr:colOff>752475</xdr:colOff>
          <xdr:row>3</xdr:row>
          <xdr:rowOff>57150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9525</xdr:rowOff>
        </xdr:from>
        <xdr:to>
          <xdr:col>6</xdr:col>
          <xdr:colOff>714375</xdr:colOff>
          <xdr:row>19</xdr:row>
          <xdr:rowOff>19050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424546</xdr:colOff>
      <xdr:row>14</xdr:row>
      <xdr:rowOff>235138</xdr:rowOff>
    </xdr:from>
    <xdr:to>
      <xdr:col>3</xdr:col>
      <xdr:colOff>104774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7496" y="3178363"/>
          <a:ext cx="308878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449244</xdr:colOff>
      <xdr:row>15</xdr:row>
      <xdr:rowOff>9525</xdr:rowOff>
    </xdr:from>
    <xdr:to>
      <xdr:col>4</xdr:col>
      <xdr:colOff>53524</xdr:colOff>
      <xdr:row>16</xdr:row>
      <xdr:rowOff>9525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0844" y="3190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544599</xdr:colOff>
      <xdr:row>15</xdr:row>
      <xdr:rowOff>11723</xdr:rowOff>
    </xdr:from>
    <xdr:to>
      <xdr:col>5</xdr:col>
      <xdr:colOff>6004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54374" y="3193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472906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8101" y="6449494"/>
          <a:ext cx="175780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352425</xdr:colOff>
      <xdr:row>28</xdr:row>
      <xdr:rowOff>235138</xdr:rowOff>
    </xdr:from>
    <xdr:to>
      <xdr:col>3</xdr:col>
      <xdr:colOff>252</xdr:colOff>
      <xdr:row>29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95375" y="6435913"/>
          <a:ext cx="27647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</xdr:row>
      <xdr:rowOff>0</xdr:rowOff>
    </xdr:from>
    <xdr:to>
      <xdr:col>3</xdr:col>
      <xdr:colOff>482149</xdr:colOff>
      <xdr:row>30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11294" y="643890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249848</xdr:rowOff>
    </xdr:from>
    <xdr:to>
      <xdr:col>4</xdr:col>
      <xdr:colOff>567979</xdr:colOff>
      <xdr:row>29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35299" y="644109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40</xdr:row>
      <xdr:rowOff>235138</xdr:rowOff>
    </xdr:from>
    <xdr:to>
      <xdr:col>3</xdr:col>
      <xdr:colOff>251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40</xdr:row>
      <xdr:rowOff>249848</xdr:rowOff>
    </xdr:from>
    <xdr:to>
      <xdr:col>4</xdr:col>
      <xdr:colOff>567979</xdr:colOff>
      <xdr:row>41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83</xdr:row>
      <xdr:rowOff>114300</xdr:rowOff>
    </xdr:from>
    <xdr:to>
      <xdr:col>10</xdr:col>
      <xdr:colOff>161192</xdr:colOff>
      <xdr:row>84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86</xdr:row>
      <xdr:rowOff>76200</xdr:rowOff>
    </xdr:from>
    <xdr:to>
      <xdr:col>10</xdr:col>
      <xdr:colOff>149468</xdr:colOff>
      <xdr:row>87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89</xdr:row>
      <xdr:rowOff>2197</xdr:rowOff>
    </xdr:from>
    <xdr:to>
      <xdr:col>10</xdr:col>
      <xdr:colOff>161192</xdr:colOff>
      <xdr:row>90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90</xdr:row>
      <xdr:rowOff>180975</xdr:rowOff>
    </xdr:from>
    <xdr:to>
      <xdr:col>10</xdr:col>
      <xdr:colOff>161191</xdr:colOff>
      <xdr:row>92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93</xdr:row>
      <xdr:rowOff>66674</xdr:rowOff>
    </xdr:from>
    <xdr:to>
      <xdr:col>10</xdr:col>
      <xdr:colOff>117962</xdr:colOff>
      <xdr:row>94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138</xdr:row>
      <xdr:rowOff>168088</xdr:rowOff>
    </xdr:from>
    <xdr:to>
      <xdr:col>3</xdr:col>
      <xdr:colOff>200025</xdr:colOff>
      <xdr:row>140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141</xdr:row>
      <xdr:rowOff>11206</xdr:rowOff>
    </xdr:from>
    <xdr:to>
      <xdr:col>3</xdr:col>
      <xdr:colOff>190499</xdr:colOff>
      <xdr:row>142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139</xdr:row>
      <xdr:rowOff>14007</xdr:rowOff>
    </xdr:from>
    <xdr:to>
      <xdr:col>5</xdr:col>
      <xdr:colOff>401018</xdr:colOff>
      <xdr:row>140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141</xdr:row>
      <xdr:rowOff>0</xdr:rowOff>
    </xdr:from>
    <xdr:to>
      <xdr:col>5</xdr:col>
      <xdr:colOff>393174</xdr:colOff>
      <xdr:row>142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138</xdr:row>
      <xdr:rowOff>200025</xdr:rowOff>
    </xdr:from>
    <xdr:to>
      <xdr:col>9</xdr:col>
      <xdr:colOff>416146</xdr:colOff>
      <xdr:row>140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141</xdr:row>
      <xdr:rowOff>17369</xdr:rowOff>
    </xdr:from>
    <xdr:to>
      <xdr:col>9</xdr:col>
      <xdr:colOff>385890</xdr:colOff>
      <xdr:row>142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162</xdr:row>
      <xdr:rowOff>0</xdr:rowOff>
    </xdr:from>
    <xdr:to>
      <xdr:col>10</xdr:col>
      <xdr:colOff>171450</xdr:colOff>
      <xdr:row>163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166</xdr:row>
      <xdr:rowOff>0</xdr:rowOff>
    </xdr:from>
    <xdr:to>
      <xdr:col>10</xdr:col>
      <xdr:colOff>152400</xdr:colOff>
      <xdr:row>167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185</xdr:row>
      <xdr:rowOff>176893</xdr:rowOff>
    </xdr:from>
    <xdr:to>
      <xdr:col>9</xdr:col>
      <xdr:colOff>486023</xdr:colOff>
      <xdr:row>187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188</xdr:row>
      <xdr:rowOff>0</xdr:rowOff>
    </xdr:from>
    <xdr:to>
      <xdr:col>9</xdr:col>
      <xdr:colOff>472417</xdr:colOff>
      <xdr:row>189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230</xdr:row>
      <xdr:rowOff>27214</xdr:rowOff>
    </xdr:from>
    <xdr:to>
      <xdr:col>7</xdr:col>
      <xdr:colOff>4562</xdr:colOff>
      <xdr:row>230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230</xdr:row>
      <xdr:rowOff>81643</xdr:rowOff>
    </xdr:from>
    <xdr:to>
      <xdr:col>5</xdr:col>
      <xdr:colOff>884465</xdr:colOff>
      <xdr:row>231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231</xdr:row>
      <xdr:rowOff>136071</xdr:rowOff>
    </xdr:from>
    <xdr:to>
      <xdr:col>5</xdr:col>
      <xdr:colOff>857250</xdr:colOff>
      <xdr:row>232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275</xdr:row>
      <xdr:rowOff>187778</xdr:rowOff>
    </xdr:from>
    <xdr:to>
      <xdr:col>5</xdr:col>
      <xdr:colOff>64202</xdr:colOff>
      <xdr:row>277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278</xdr:row>
      <xdr:rowOff>95250</xdr:rowOff>
    </xdr:from>
    <xdr:to>
      <xdr:col>5</xdr:col>
      <xdr:colOff>54676</xdr:colOff>
      <xdr:row>279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280</xdr:row>
      <xdr:rowOff>176893</xdr:rowOff>
    </xdr:from>
    <xdr:to>
      <xdr:col>5</xdr:col>
      <xdr:colOff>50594</xdr:colOff>
      <xdr:row>282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276</xdr:row>
      <xdr:rowOff>5443</xdr:rowOff>
    </xdr:from>
    <xdr:to>
      <xdr:col>10</xdr:col>
      <xdr:colOff>329541</xdr:colOff>
      <xdr:row>277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278</xdr:row>
      <xdr:rowOff>0</xdr:rowOff>
    </xdr:from>
    <xdr:to>
      <xdr:col>10</xdr:col>
      <xdr:colOff>310491</xdr:colOff>
      <xdr:row>279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280</xdr:row>
      <xdr:rowOff>171450</xdr:rowOff>
    </xdr:from>
    <xdr:to>
      <xdr:col>10</xdr:col>
      <xdr:colOff>339066</xdr:colOff>
      <xdr:row>282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282</xdr:row>
      <xdr:rowOff>166008</xdr:rowOff>
    </xdr:from>
    <xdr:to>
      <xdr:col>10</xdr:col>
      <xdr:colOff>329541</xdr:colOff>
      <xdr:row>283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572</xdr:row>
      <xdr:rowOff>0</xdr:rowOff>
    </xdr:from>
    <xdr:to>
      <xdr:col>10</xdr:col>
      <xdr:colOff>2970</xdr:colOff>
      <xdr:row>573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039717" y="119005350"/>
          <a:ext cx="20212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575</xdr:row>
      <xdr:rowOff>13607</xdr:rowOff>
    </xdr:from>
    <xdr:to>
      <xdr:col>10</xdr:col>
      <xdr:colOff>8658</xdr:colOff>
      <xdr:row>576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039716" y="119590457"/>
          <a:ext cx="20781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577</xdr:row>
      <xdr:rowOff>176893</xdr:rowOff>
    </xdr:from>
    <xdr:to>
      <xdr:col>9</xdr:col>
      <xdr:colOff>594880</xdr:colOff>
      <xdr:row>579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048375" y="1201347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581</xdr:row>
      <xdr:rowOff>0</xdr:rowOff>
    </xdr:from>
    <xdr:to>
      <xdr:col>10</xdr:col>
      <xdr:colOff>2969</xdr:colOff>
      <xdr:row>582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048375" y="120719850"/>
          <a:ext cx="19346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628</xdr:row>
      <xdr:rowOff>95250</xdr:rowOff>
    </xdr:from>
    <xdr:to>
      <xdr:col>2</xdr:col>
      <xdr:colOff>884464</xdr:colOff>
      <xdr:row>629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629</xdr:row>
      <xdr:rowOff>136072</xdr:rowOff>
    </xdr:from>
    <xdr:to>
      <xdr:col>3</xdr:col>
      <xdr:colOff>13607</xdr:colOff>
      <xdr:row>631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628</xdr:row>
      <xdr:rowOff>81643</xdr:rowOff>
    </xdr:from>
    <xdr:to>
      <xdr:col>5</xdr:col>
      <xdr:colOff>993322</xdr:colOff>
      <xdr:row>628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630</xdr:row>
      <xdr:rowOff>0</xdr:rowOff>
    </xdr:from>
    <xdr:to>
      <xdr:col>7</xdr:col>
      <xdr:colOff>213880</xdr:colOff>
      <xdr:row>631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630</xdr:row>
      <xdr:rowOff>0</xdr:rowOff>
    </xdr:from>
    <xdr:to>
      <xdr:col>9</xdr:col>
      <xdr:colOff>281915</xdr:colOff>
      <xdr:row>631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205344</xdr:colOff>
      <xdr:row>696</xdr:row>
      <xdr:rowOff>34636</xdr:rowOff>
    </xdr:from>
    <xdr:to>
      <xdr:col>10</xdr:col>
      <xdr:colOff>419224</xdr:colOff>
      <xdr:row>697</xdr:row>
      <xdr:rowOff>51957</xdr:rowOff>
    </xdr:to>
    <xdr:sp macro="" textlink="">
      <xdr:nvSpPr>
        <xdr:cNvPr id="54" name="Rectángulo 5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444219" y="146843461"/>
          <a:ext cx="213880" cy="23639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212391</xdr:colOff>
      <xdr:row>699</xdr:row>
      <xdr:rowOff>64324</xdr:rowOff>
    </xdr:from>
    <xdr:to>
      <xdr:col>10</xdr:col>
      <xdr:colOff>426271</xdr:colOff>
      <xdr:row>700</xdr:row>
      <xdr:rowOff>60613</xdr:rowOff>
    </xdr:to>
    <xdr:sp macro="" textlink="">
      <xdr:nvSpPr>
        <xdr:cNvPr id="55" name="Rectángulo 6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6451266" y="147482749"/>
          <a:ext cx="213880" cy="21536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204107</xdr:colOff>
      <xdr:row>701</xdr:row>
      <xdr:rowOff>149682</xdr:rowOff>
    </xdr:from>
    <xdr:to>
      <xdr:col>10</xdr:col>
      <xdr:colOff>417987</xdr:colOff>
      <xdr:row>703</xdr:row>
      <xdr:rowOff>27218</xdr:rowOff>
    </xdr:to>
    <xdr:sp macro="" textlink="">
      <xdr:nvSpPr>
        <xdr:cNvPr id="56" name="Rectángulo 6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442982" y="14800625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204106</xdr:colOff>
      <xdr:row>703</xdr:row>
      <xdr:rowOff>190499</xdr:rowOff>
    </xdr:from>
    <xdr:to>
      <xdr:col>10</xdr:col>
      <xdr:colOff>417986</xdr:colOff>
      <xdr:row>705</xdr:row>
      <xdr:rowOff>17326</xdr:rowOff>
    </xdr:to>
    <xdr:sp macro="" textlink="">
      <xdr:nvSpPr>
        <xdr:cNvPr id="57" name="Rectángulo 6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6442981" y="148428074"/>
          <a:ext cx="213880" cy="26497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201149</xdr:colOff>
      <xdr:row>706</xdr:row>
      <xdr:rowOff>97724</xdr:rowOff>
    </xdr:from>
    <xdr:to>
      <xdr:col>10</xdr:col>
      <xdr:colOff>415029</xdr:colOff>
      <xdr:row>707</xdr:row>
      <xdr:rowOff>86591</xdr:rowOff>
    </xdr:to>
    <xdr:sp macro="" textlink="">
      <xdr:nvSpPr>
        <xdr:cNvPr id="58" name="Rectángulo 63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6440024" y="148992524"/>
          <a:ext cx="213880" cy="20794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314739</xdr:colOff>
      <xdr:row>231</xdr:row>
      <xdr:rowOff>11206</xdr:rowOff>
    </xdr:from>
    <xdr:to>
      <xdr:col>3</xdr:col>
      <xdr:colOff>287</xdr:colOff>
      <xdr:row>231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235</xdr:row>
      <xdr:rowOff>22412</xdr:rowOff>
    </xdr:from>
    <xdr:to>
      <xdr:col>3</xdr:col>
      <xdr:colOff>287</xdr:colOff>
      <xdr:row>235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235</xdr:row>
      <xdr:rowOff>22411</xdr:rowOff>
    </xdr:from>
    <xdr:to>
      <xdr:col>7</xdr:col>
      <xdr:colOff>4068</xdr:colOff>
      <xdr:row>235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231</xdr:row>
      <xdr:rowOff>0</xdr:rowOff>
    </xdr:from>
    <xdr:to>
      <xdr:col>10</xdr:col>
      <xdr:colOff>213880</xdr:colOff>
      <xdr:row>231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235</xdr:row>
      <xdr:rowOff>0</xdr:rowOff>
    </xdr:from>
    <xdr:to>
      <xdr:col>10</xdr:col>
      <xdr:colOff>213880</xdr:colOff>
      <xdr:row>235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232</xdr:row>
      <xdr:rowOff>22412</xdr:rowOff>
    </xdr:from>
    <xdr:to>
      <xdr:col>7</xdr:col>
      <xdr:colOff>968</xdr:colOff>
      <xdr:row>232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216</xdr:row>
          <xdr:rowOff>200025</xdr:rowOff>
        </xdr:from>
        <xdr:to>
          <xdr:col>14</xdr:col>
          <xdr:colOff>152400</xdr:colOff>
          <xdr:row>220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315</xdr:row>
          <xdr:rowOff>0</xdr:rowOff>
        </xdr:from>
        <xdr:to>
          <xdr:col>13</xdr:col>
          <xdr:colOff>533400</xdr:colOff>
          <xdr:row>317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3</xdr:col>
      <xdr:colOff>819150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C30:D36" totalsRowShown="0">
  <autoFilter ref="C30:D36" xr:uid="{A96F7FD4-269A-4FF5-86BA-042E17DBE07D}"/>
  <tableColumns count="2">
    <tableColumn id="1" xr3:uid="{55234A86-0325-406E-8622-7D193E2C37BA}" name="Tipo" dataDxfId="6"/>
    <tableColumn id="2" xr3:uid="{DF2B2FB5-5B0B-4D55-9A0F-BC016DE6DF0E}" name="Dat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D04636-C709-4CA5-BB45-89607DF519C4}" name="Solicitante" displayName="Solicitante" ref="C4:D14" totalsRowShown="0">
  <autoFilter ref="C4:D14" xr:uid="{92D04636-C709-4CA5-BB45-89607DF519C4}"/>
  <tableColumns count="2">
    <tableColumn id="1" xr3:uid="{2A196650-F8ED-4A2D-B5CF-7C2158DE8FF8}" name="Tipo" dataDxfId="4"/>
    <tableColumn id="2" xr3:uid="{E1CEE4B0-C194-41F9-AB0C-113A6B9468B6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C16:D25" totalsRowShown="0" headerRowDxfId="2">
  <autoFilter ref="C16:D25" xr:uid="{6522235A-8452-4C8C-BEB9-0598EA660E70}"/>
  <tableColumns count="2">
    <tableColumn id="1" xr3:uid="{0917FBBE-2ABB-4DAF-823E-A507B0916D09}" name="Tipo" dataDxfId="1"/>
    <tableColumn id="2" xr3:uid="{B5063BFB-BD41-48F7-B5DA-7C2DFA2F1BD2}" name="Da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C1:D36"/>
  <sheetViews>
    <sheetView zoomScaleNormal="100" workbookViewId="0">
      <selection activeCell="H9" sqref="H9"/>
    </sheetView>
  </sheetViews>
  <sheetFormatPr baseColWidth="10" defaultColWidth="11.42578125" defaultRowHeight="15"/>
  <cols>
    <col min="1" max="1" width="10.7109375" customWidth="1"/>
    <col min="3" max="3" width="11" hidden="1" customWidth="1"/>
    <col min="4" max="4" width="15.42578125" hidden="1" customWidth="1"/>
  </cols>
  <sheetData>
    <row r="1" spans="3:4" ht="15.75" thickBot="1">
      <c r="C1" s="16" t="s">
        <v>472</v>
      </c>
      <c r="D1" s="316"/>
    </row>
    <row r="2" spans="3:4" ht="15.75" thickBot="1">
      <c r="C2" s="16" t="s">
        <v>690</v>
      </c>
      <c r="D2" s="316" t="s">
        <v>828</v>
      </c>
    </row>
    <row r="3" spans="3:4">
      <c r="C3" s="16"/>
      <c r="D3" s="16"/>
    </row>
    <row r="4" spans="3:4">
      <c r="C4" s="310" t="s">
        <v>869</v>
      </c>
      <c r="D4" s="319" t="s">
        <v>870</v>
      </c>
    </row>
    <row r="5" spans="3:4">
      <c r="C5" s="16" t="s">
        <v>606</v>
      </c>
      <c r="D5" s="320" t="s">
        <v>49</v>
      </c>
    </row>
    <row r="6" spans="3:4">
      <c r="C6" s="16" t="s">
        <v>691</v>
      </c>
      <c r="D6" s="320" t="s">
        <v>49</v>
      </c>
    </row>
    <row r="7" spans="3:4">
      <c r="C7" s="16" t="s">
        <v>607</v>
      </c>
      <c r="D7" s="321" t="s">
        <v>49</v>
      </c>
    </row>
    <row r="8" spans="3:4">
      <c r="C8" s="16" t="s">
        <v>608</v>
      </c>
      <c r="D8" s="320" t="s">
        <v>49</v>
      </c>
    </row>
    <row r="9" spans="3:4">
      <c r="C9" s="16" t="s">
        <v>863</v>
      </c>
      <c r="D9" s="320" t="s">
        <v>49</v>
      </c>
    </row>
    <row r="10" spans="3:4">
      <c r="C10" s="16" t="s">
        <v>609</v>
      </c>
      <c r="D10" s="321" t="s">
        <v>49</v>
      </c>
    </row>
    <row r="11" spans="3:4">
      <c r="C11" s="16" t="s">
        <v>692</v>
      </c>
      <c r="D11" s="320" t="s">
        <v>49</v>
      </c>
    </row>
    <row r="12" spans="3:4">
      <c r="C12" s="16" t="s">
        <v>693</v>
      </c>
      <c r="D12" s="320" t="s">
        <v>49</v>
      </c>
    </row>
    <row r="13" spans="3:4">
      <c r="C13" s="16" t="s">
        <v>694</v>
      </c>
      <c r="D13" s="320" t="s">
        <v>49</v>
      </c>
    </row>
    <row r="14" spans="3:4">
      <c r="C14" s="16" t="s">
        <v>616</v>
      </c>
      <c r="D14" s="320" t="s">
        <v>49</v>
      </c>
    </row>
    <row r="15" spans="3:4">
      <c r="C15" s="16"/>
      <c r="D15" s="320"/>
    </row>
    <row r="16" spans="3:4">
      <c r="C16" s="12" t="s">
        <v>869</v>
      </c>
      <c r="D16" s="322" t="s">
        <v>870</v>
      </c>
    </row>
    <row r="17" spans="3:4">
      <c r="C17" s="16" t="s">
        <v>695</v>
      </c>
      <c r="D17" s="320" t="s">
        <v>49</v>
      </c>
    </row>
    <row r="18" spans="3:4">
      <c r="C18" s="16" t="s">
        <v>610</v>
      </c>
      <c r="D18" s="320" t="s">
        <v>49</v>
      </c>
    </row>
    <row r="19" spans="3:4">
      <c r="C19" s="16" t="s">
        <v>611</v>
      </c>
      <c r="D19" s="320" t="s">
        <v>49</v>
      </c>
    </row>
    <row r="20" spans="3:4">
      <c r="C20" s="16" t="s">
        <v>696</v>
      </c>
      <c r="D20" s="320" t="s">
        <v>49</v>
      </c>
    </row>
    <row r="21" spans="3:4">
      <c r="C21" s="16" t="s">
        <v>612</v>
      </c>
      <c r="D21" s="320" t="s">
        <v>49</v>
      </c>
    </row>
    <row r="22" spans="3:4">
      <c r="C22" s="16" t="s">
        <v>613</v>
      </c>
      <c r="D22" s="320" t="s">
        <v>49</v>
      </c>
    </row>
    <row r="23" spans="3:4">
      <c r="C23" s="16" t="s">
        <v>214</v>
      </c>
      <c r="D23" s="320" t="s">
        <v>49</v>
      </c>
    </row>
    <row r="24" spans="3:4">
      <c r="C24" s="16" t="s">
        <v>615</v>
      </c>
      <c r="D24" s="320" t="s">
        <v>49</v>
      </c>
    </row>
    <row r="25" spans="3:4">
      <c r="C25" s="16" t="s">
        <v>614</v>
      </c>
      <c r="D25" s="320" t="s">
        <v>49</v>
      </c>
    </row>
    <row r="26" spans="3:4">
      <c r="D26" s="323"/>
    </row>
    <row r="27" spans="3:4" ht="60">
      <c r="C27" s="11" t="s">
        <v>444</v>
      </c>
      <c r="D27" s="318" t="s">
        <v>697</v>
      </c>
    </row>
    <row r="28" spans="3:4">
      <c r="D28" s="323"/>
    </row>
    <row r="29" spans="3:4">
      <c r="D29" s="323"/>
    </row>
    <row r="30" spans="3:4">
      <c r="C30" t="s">
        <v>869</v>
      </c>
      <c r="D30" s="323" t="s">
        <v>870</v>
      </c>
    </row>
    <row r="31" spans="3:4">
      <c r="C31" t="s">
        <v>134</v>
      </c>
      <c r="D31" s="320" t="s">
        <v>922</v>
      </c>
    </row>
    <row r="32" spans="3:4">
      <c r="C32" t="s">
        <v>135</v>
      </c>
      <c r="D32" s="320" t="s">
        <v>923</v>
      </c>
    </row>
    <row r="33" spans="3:4">
      <c r="C33" t="s">
        <v>3</v>
      </c>
      <c r="D33" s="320" t="s">
        <v>924</v>
      </c>
    </row>
    <row r="34" spans="3:4">
      <c r="C34" t="s">
        <v>607</v>
      </c>
      <c r="D34" s="320">
        <v>18845643</v>
      </c>
    </row>
    <row r="35" spans="3:4" ht="75">
      <c r="C35" t="s">
        <v>9</v>
      </c>
      <c r="D35" s="320" t="s">
        <v>925</v>
      </c>
    </row>
    <row r="36" spans="3:4">
      <c r="C36" t="s">
        <v>868</v>
      </c>
      <c r="D36" s="320" t="s">
        <v>926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PDF">
          <controlPr defaultSize="0" autoLine="0" r:id="rId5">
            <anchor moveWithCells="1">
              <from>
                <xdr:col>5</xdr:col>
                <xdr:colOff>95250</xdr:colOff>
                <xdr:row>8</xdr:row>
                <xdr:rowOff>95250</xdr:rowOff>
              </from>
              <to>
                <xdr:col>6</xdr:col>
                <xdr:colOff>723900</xdr:colOff>
                <xdr:row>11</xdr:row>
                <xdr:rowOff>104775</xdr:rowOff>
              </to>
            </anchor>
          </controlPr>
        </control>
      </mc:Choice>
      <mc:Fallback>
        <control shapeId="5121" r:id="rId4" name="btnPDF"/>
      </mc:Fallback>
    </mc:AlternateContent>
    <mc:AlternateContent xmlns:mc="http://schemas.openxmlformats.org/markup-compatibility/2006">
      <mc:Choice Requires="x14">
        <control shapeId="5122" r:id="rId6" name="btnPDF2">
          <controlPr defaultSize="0" autoLine="0" r:id="rId7">
            <anchor moveWithCells="1">
              <from>
                <xdr:col>5</xdr:col>
                <xdr:colOff>104775</xdr:colOff>
                <xdr:row>12</xdr:row>
                <xdr:rowOff>76200</xdr:rowOff>
              </from>
              <to>
                <xdr:col>6</xdr:col>
                <xdr:colOff>733425</xdr:colOff>
                <xdr:row>15</xdr:row>
                <xdr:rowOff>85725</xdr:rowOff>
              </to>
            </anchor>
          </controlPr>
        </control>
      </mc:Choice>
      <mc:Fallback>
        <control shapeId="5122" r:id="rId6" name="btnPDF2"/>
      </mc:Fallback>
    </mc:AlternateContent>
    <mc:AlternateContent xmlns:mc="http://schemas.openxmlformats.org/markup-compatibility/2006">
      <mc:Choice Requires="x14">
        <control shapeId="5123" r:id="rId8" name="btnForm">
          <controlPr defaultSize="0" autoLine="0" r:id="rId9">
            <anchor moveWithCells="1">
              <from>
                <xdr:col>5</xdr:col>
                <xdr:colOff>95250</xdr:colOff>
                <xdr:row>4</xdr:row>
                <xdr:rowOff>0</xdr:rowOff>
              </from>
              <to>
                <xdr:col>6</xdr:col>
                <xdr:colOff>752475</xdr:colOff>
                <xdr:row>5</xdr:row>
                <xdr:rowOff>171450</xdr:rowOff>
              </to>
            </anchor>
          </controlPr>
        </control>
      </mc:Choice>
      <mc:Fallback>
        <control shapeId="5123" r:id="rId8" name="btnForm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7</xdr:col>
                <xdr:colOff>323850</xdr:colOff>
                <xdr:row>8</xdr:row>
                <xdr:rowOff>66675</xdr:rowOff>
              </from>
              <to>
                <xdr:col>9</xdr:col>
                <xdr:colOff>190500</xdr:colOff>
                <xdr:row>11</xdr:row>
                <xdr:rowOff>76200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5" r:id="rId12" name="btnAnexo4">
          <controlPr defaultSize="0" autoFill="0" autoLine="0" r:id="rId13">
            <anchor moveWithCells="1">
              <from>
                <xdr:col>7</xdr:col>
                <xdr:colOff>323850</xdr:colOff>
                <xdr:row>12</xdr:row>
                <xdr:rowOff>76200</xdr:rowOff>
              </from>
              <to>
                <xdr:col>9</xdr:col>
                <xdr:colOff>190500</xdr:colOff>
                <xdr:row>15</xdr:row>
                <xdr:rowOff>85725</xdr:rowOff>
              </to>
            </anchor>
          </controlPr>
        </control>
      </mc:Choice>
      <mc:Fallback>
        <control shapeId="5125" r:id="rId12" name="btnAnexo4"/>
      </mc:Fallback>
    </mc:AlternateContent>
    <mc:AlternateContent xmlns:mc="http://schemas.openxmlformats.org/markup-compatibility/2006">
      <mc:Choice Requires="x14">
        <control shapeId="5126" r:id="rId14" name="btnNuevo">
          <controlPr defaultSize="0" autoLine="0" r:id="rId15">
            <anchor moveWithCells="1">
              <from>
                <xdr:col>5</xdr:col>
                <xdr:colOff>95250</xdr:colOff>
                <xdr:row>1</xdr:row>
                <xdr:rowOff>85725</xdr:rowOff>
              </from>
              <to>
                <xdr:col>6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6" r:id="rId14" name="btnNuevo"/>
      </mc:Fallback>
    </mc:AlternateContent>
    <mc:AlternateContent xmlns:mc="http://schemas.openxmlformats.org/markup-compatibility/2006">
      <mc:Choice Requires="x14">
        <control shapeId="5127" r:id="rId16" name="btnReglamento">
          <controlPr defaultSize="0" autoLine="0" r:id="rId17">
            <anchor moveWithCells="1">
              <from>
                <xdr:col>5</xdr:col>
                <xdr:colOff>85725</xdr:colOff>
                <xdr:row>16</xdr:row>
                <xdr:rowOff>9525</xdr:rowOff>
              </from>
              <to>
                <xdr:col>6</xdr:col>
                <xdr:colOff>714375</xdr:colOff>
                <xdr:row>19</xdr:row>
                <xdr:rowOff>19050</xdr:rowOff>
              </to>
            </anchor>
          </controlPr>
        </control>
      </mc:Choice>
      <mc:Fallback>
        <control shapeId="5127" r:id="rId16" name="btnReglamento"/>
      </mc:Fallback>
    </mc:AlternateContent>
  </controls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6"/>
  <sheetViews>
    <sheetView tabSelected="1" view="pageBreakPreview" topLeftCell="A656" zoomScaleNormal="100" zoomScaleSheetLayoutView="100" workbookViewId="0">
      <selection activeCell="A661" sqref="A661:L661"/>
    </sheetView>
  </sheetViews>
  <sheetFormatPr baseColWidth="10"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540" t="str">
        <f>_xlfn.CONCAT(DATOS!D1," ",DATOS!D2)</f>
        <v xml:space="preserve"> KTN</v>
      </c>
      <c r="K1" s="540"/>
    </row>
    <row r="2" spans="1:12" ht="15" customHeight="1">
      <c r="E2" s="602" t="s">
        <v>20</v>
      </c>
      <c r="F2" s="602"/>
      <c r="G2" s="602"/>
      <c r="H2" s="602"/>
      <c r="I2" s="602"/>
      <c r="J2" s="602"/>
      <c r="K2" s="602"/>
      <c r="L2" s="602"/>
    </row>
    <row r="3" spans="1:12" ht="14.1" customHeight="1">
      <c r="E3" s="602"/>
      <c r="F3" s="602"/>
      <c r="G3" s="602"/>
      <c r="H3" s="602"/>
      <c r="I3" s="602"/>
      <c r="J3" s="602"/>
      <c r="K3" s="602"/>
      <c r="L3" s="602"/>
    </row>
    <row r="4" spans="1:12" ht="26.25" customHeight="1">
      <c r="E4" s="602" t="s">
        <v>21</v>
      </c>
      <c r="F4" s="602"/>
      <c r="G4" s="602"/>
      <c r="H4" s="602"/>
      <c r="I4" s="602"/>
      <c r="J4" s="602"/>
      <c r="K4" s="602"/>
      <c r="L4" s="602"/>
    </row>
    <row r="5" spans="1:12" ht="18.600000000000001" customHeight="1">
      <c r="E5" s="603" t="s">
        <v>22</v>
      </c>
      <c r="F5" s="603"/>
      <c r="G5" s="603"/>
      <c r="H5" s="603"/>
      <c r="I5" s="603"/>
      <c r="J5" s="603"/>
      <c r="K5" s="603"/>
      <c r="L5" s="603"/>
    </row>
    <row r="6" spans="1:12" ht="18.600000000000001" customHeight="1">
      <c r="E6" s="603" t="s">
        <v>23</v>
      </c>
      <c r="F6" s="603"/>
      <c r="G6" s="603"/>
      <c r="H6" s="603"/>
      <c r="I6" s="603"/>
      <c r="J6" s="603"/>
      <c r="K6" s="603"/>
      <c r="L6" s="603"/>
    </row>
    <row r="7" spans="1:12" ht="9" customHeight="1">
      <c r="E7" s="604"/>
      <c r="F7" s="604"/>
      <c r="G7" s="604"/>
      <c r="H7" s="604"/>
      <c r="I7" s="604"/>
      <c r="J7" s="604"/>
      <c r="K7" s="604"/>
      <c r="L7" s="604"/>
    </row>
    <row r="8" spans="1:12" ht="18.600000000000001" customHeight="1"/>
    <row r="9" spans="1:12" ht="18.600000000000001" customHeight="1">
      <c r="A9" s="403" t="s">
        <v>0</v>
      </c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5"/>
    </row>
    <row r="10" spans="1:12" ht="15" customHeight="1"/>
    <row r="11" spans="1:12" ht="11.25" customHeight="1">
      <c r="A11" s="326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7"/>
    </row>
    <row r="12" spans="1:12" ht="18.75" customHeight="1">
      <c r="A12" s="328"/>
      <c r="B12" s="15" t="s">
        <v>893</v>
      </c>
      <c r="C12" s="15"/>
      <c r="D12" s="15"/>
      <c r="E12" s="15"/>
      <c r="F12" s="15"/>
      <c r="G12" s="15"/>
      <c r="H12" s="15"/>
      <c r="I12" s="15"/>
      <c r="J12" s="15"/>
      <c r="K12" s="15"/>
      <c r="L12" s="329"/>
    </row>
    <row r="13" spans="1:12" ht="18.75" customHeight="1">
      <c r="A13" s="328"/>
      <c r="B13" s="566" t="str">
        <f>DATOS!D5</f>
        <v>-</v>
      </c>
      <c r="C13" s="569"/>
      <c r="D13" s="569"/>
      <c r="E13" s="569"/>
      <c r="F13" s="601"/>
      <c r="G13" s="70"/>
      <c r="H13" s="566" t="str">
        <f>DATOS!D6</f>
        <v>-</v>
      </c>
      <c r="I13" s="569"/>
      <c r="J13" s="569"/>
      <c r="K13" s="601"/>
      <c r="L13" s="329"/>
    </row>
    <row r="14" spans="1:12" ht="18.75" customHeight="1">
      <c r="A14" s="328"/>
      <c r="B14" s="422" t="s">
        <v>2</v>
      </c>
      <c r="C14" s="422"/>
      <c r="D14" s="422"/>
      <c r="E14" s="422"/>
      <c r="F14" s="422"/>
      <c r="G14" s="15"/>
      <c r="H14" s="422" t="s">
        <v>3</v>
      </c>
      <c r="I14" s="422"/>
      <c r="J14" s="422"/>
      <c r="K14" s="422"/>
      <c r="L14" s="329"/>
    </row>
    <row r="15" spans="1:12" ht="18.75" customHeight="1">
      <c r="A15" s="32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9"/>
    </row>
    <row r="16" spans="1:12" ht="18.75" customHeight="1">
      <c r="A16" s="328"/>
      <c r="B16" s="15" t="s">
        <v>8</v>
      </c>
      <c r="C16" s="15" t="s">
        <v>4</v>
      </c>
      <c r="D16" s="312" t="s">
        <v>5</v>
      </c>
      <c r="E16" s="312" t="s">
        <v>6</v>
      </c>
      <c r="F16" s="15"/>
      <c r="G16" s="335" t="s">
        <v>597</v>
      </c>
      <c r="H16" s="616" t="str">
        <f>DATOS!D7</f>
        <v>-</v>
      </c>
      <c r="I16" s="601"/>
      <c r="J16" s="15"/>
      <c r="K16" s="15"/>
      <c r="L16" s="329"/>
    </row>
    <row r="17" spans="1:12" ht="18.75" customHeight="1">
      <c r="A17" s="32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9"/>
    </row>
    <row r="18" spans="1:12" ht="18.75" customHeight="1">
      <c r="A18" s="328"/>
      <c r="B18" s="606" t="str">
        <f>DATOS!D8</f>
        <v>-</v>
      </c>
      <c r="C18" s="607"/>
      <c r="D18" s="607"/>
      <c r="E18" s="607"/>
      <c r="F18" s="607"/>
      <c r="G18" s="607"/>
      <c r="H18" s="607"/>
      <c r="I18" s="607"/>
      <c r="J18" s="607"/>
      <c r="K18" s="608"/>
      <c r="L18" s="329"/>
    </row>
    <row r="19" spans="1:12" ht="12.75" customHeight="1">
      <c r="A19" s="328"/>
      <c r="B19" s="373"/>
      <c r="C19" s="373"/>
      <c r="D19" s="373"/>
      <c r="E19" s="15"/>
      <c r="F19" s="422" t="s">
        <v>9</v>
      </c>
      <c r="G19" s="422"/>
      <c r="H19" s="373"/>
      <c r="I19" s="373"/>
      <c r="J19" s="373"/>
      <c r="K19" s="373"/>
      <c r="L19" s="329"/>
    </row>
    <row r="20" spans="1:12" ht="18.75" customHeight="1">
      <c r="A20" s="32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9"/>
    </row>
    <row r="21" spans="1:12" ht="18.75" customHeight="1">
      <c r="A21" s="328"/>
      <c r="B21" s="15" t="s">
        <v>892</v>
      </c>
      <c r="C21" s="15"/>
      <c r="D21" s="15" t="s">
        <v>11</v>
      </c>
      <c r="E21" s="15" t="s">
        <v>12</v>
      </c>
      <c r="F21" s="325" t="s">
        <v>13</v>
      </c>
      <c r="G21" s="15" t="s">
        <v>14</v>
      </c>
      <c r="H21" s="15"/>
      <c r="I21" s="15" t="s">
        <v>535</v>
      </c>
      <c r="J21" s="325"/>
      <c r="K21" s="325"/>
      <c r="L21" s="329"/>
    </row>
    <row r="22" spans="1:12" ht="18.75" customHeight="1">
      <c r="A22" s="328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9"/>
    </row>
    <row r="23" spans="1:12" ht="18.75" customHeight="1">
      <c r="A23" s="328"/>
      <c r="B23" s="609" t="str">
        <f>DATOS!D10</f>
        <v>-</v>
      </c>
      <c r="C23" s="610"/>
      <c r="D23" s="610"/>
      <c r="E23" s="610"/>
      <c r="F23" s="610"/>
      <c r="G23" s="610"/>
      <c r="H23" s="610"/>
      <c r="I23" s="610"/>
      <c r="J23" s="610"/>
      <c r="K23" s="611"/>
      <c r="L23" s="329"/>
    </row>
    <row r="24" spans="1:12" ht="18.75" customHeight="1">
      <c r="A24" s="328"/>
      <c r="B24" s="422" t="s">
        <v>536</v>
      </c>
      <c r="C24" s="422"/>
      <c r="D24" s="422"/>
      <c r="E24" s="422"/>
      <c r="F24" s="422"/>
      <c r="G24" s="422"/>
      <c r="H24" s="422"/>
      <c r="I24" s="422"/>
      <c r="J24" s="422"/>
      <c r="K24" s="422"/>
      <c r="L24" s="329"/>
    </row>
    <row r="25" spans="1:12" ht="18.75" customHeight="1">
      <c r="A25" s="328"/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29"/>
    </row>
    <row r="26" spans="1:12" ht="18.75" customHeight="1">
      <c r="A26" s="328"/>
      <c r="B26" s="612" t="s">
        <v>894</v>
      </c>
      <c r="C26" s="612"/>
      <c r="D26" s="612"/>
      <c r="E26" s="612"/>
      <c r="F26" s="612"/>
      <c r="G26" s="612"/>
      <c r="H26" s="15"/>
      <c r="I26" s="15"/>
      <c r="J26" s="15"/>
      <c r="K26" s="15"/>
      <c r="L26" s="329"/>
    </row>
    <row r="27" spans="1:12" ht="18.75" customHeight="1">
      <c r="A27" s="328"/>
      <c r="B27" s="408"/>
      <c r="C27" s="409"/>
      <c r="D27" s="409"/>
      <c r="E27" s="409"/>
      <c r="F27" s="409"/>
      <c r="G27" s="410"/>
      <c r="H27" s="15"/>
      <c r="I27" s="408"/>
      <c r="J27" s="409"/>
      <c r="K27" s="410"/>
      <c r="L27" s="329"/>
    </row>
    <row r="28" spans="1:12" ht="18.75" customHeight="1">
      <c r="A28" s="328"/>
      <c r="B28" s="15"/>
      <c r="C28" s="15"/>
      <c r="D28" s="312" t="s">
        <v>2</v>
      </c>
      <c r="E28" s="15"/>
      <c r="F28" s="15"/>
      <c r="G28" s="15"/>
      <c r="H28" s="15"/>
      <c r="I28" s="312" t="s">
        <v>3</v>
      </c>
      <c r="J28" s="312"/>
      <c r="K28" s="312"/>
      <c r="L28" s="329"/>
    </row>
    <row r="29" spans="1:12" ht="18.75" customHeight="1">
      <c r="A29" s="328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9"/>
    </row>
    <row r="30" spans="1:12" ht="18.75" customHeight="1">
      <c r="A30" s="328"/>
      <c r="B30" s="15" t="s">
        <v>8</v>
      </c>
      <c r="C30" s="15" t="s">
        <v>4</v>
      </c>
      <c r="D30" s="15" t="s">
        <v>5</v>
      </c>
      <c r="E30" s="15" t="s">
        <v>6</v>
      </c>
      <c r="F30" s="15"/>
      <c r="G30" s="312" t="s">
        <v>7</v>
      </c>
      <c r="H30" s="408"/>
      <c r="I30" s="409"/>
      <c r="J30" s="409"/>
      <c r="K30" s="410"/>
      <c r="L30" s="329"/>
    </row>
    <row r="31" spans="1:12" ht="18.75" customHeight="1">
      <c r="A31" s="331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2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6"/>
      <c r="B33" s="324" t="s">
        <v>537</v>
      </c>
      <c r="C33" s="324"/>
      <c r="D33" s="324"/>
      <c r="E33" s="324"/>
      <c r="F33" s="324"/>
      <c r="G33" s="324"/>
      <c r="H33" s="324"/>
      <c r="I33" s="324"/>
      <c r="J33" s="324"/>
      <c r="K33" s="324"/>
      <c r="L33" s="327"/>
    </row>
    <row r="34" spans="1:12" ht="18.75" customHeight="1">
      <c r="A34" s="328"/>
      <c r="B34" s="326"/>
      <c r="C34" s="324"/>
      <c r="D34" s="324"/>
      <c r="E34" s="324"/>
      <c r="F34" s="324"/>
      <c r="G34" s="324"/>
      <c r="H34" s="324"/>
      <c r="I34" s="324"/>
      <c r="J34" s="324"/>
      <c r="K34" s="327"/>
      <c r="L34" s="329"/>
    </row>
    <row r="35" spans="1:12" ht="18.75" customHeight="1">
      <c r="A35" s="328"/>
      <c r="B35" s="331"/>
      <c r="C35" s="330"/>
      <c r="D35" s="330"/>
      <c r="E35" s="330"/>
      <c r="F35" s="330"/>
      <c r="G35" s="330"/>
      <c r="H35" s="330"/>
      <c r="I35" s="330"/>
      <c r="J35" s="330"/>
      <c r="K35" s="332"/>
      <c r="L35" s="329"/>
    </row>
    <row r="36" spans="1:12" ht="18.75" customHeight="1">
      <c r="A36" s="328"/>
      <c r="B36" s="328"/>
      <c r="C36" s="15"/>
      <c r="D36" s="15"/>
      <c r="E36" s="15" t="s">
        <v>538</v>
      </c>
      <c r="F36" s="15"/>
      <c r="G36" s="15"/>
      <c r="H36" s="15"/>
      <c r="I36" s="15"/>
      <c r="J36" s="15"/>
      <c r="K36" s="329"/>
      <c r="L36" s="329"/>
    </row>
    <row r="37" spans="1:12" ht="18.75" customHeight="1">
      <c r="A37" s="328"/>
      <c r="B37" s="328" t="s">
        <v>18</v>
      </c>
      <c r="C37" s="15"/>
      <c r="D37" s="15"/>
      <c r="E37" s="15"/>
      <c r="F37" s="15"/>
      <c r="G37" s="15" t="s">
        <v>19</v>
      </c>
      <c r="H37" s="15"/>
      <c r="I37" s="15"/>
      <c r="J37" s="15"/>
      <c r="K37" s="329"/>
      <c r="L37" s="329"/>
    </row>
    <row r="38" spans="1:12" ht="18.75" customHeight="1">
      <c r="A38" s="328"/>
      <c r="B38" s="328"/>
      <c r="C38" s="15"/>
      <c r="D38" s="15"/>
      <c r="E38" s="15"/>
      <c r="F38" s="15"/>
      <c r="G38" s="15"/>
      <c r="H38" s="15"/>
      <c r="I38" s="15"/>
      <c r="J38" s="15"/>
      <c r="K38" s="329"/>
      <c r="L38" s="329"/>
    </row>
    <row r="39" spans="1:12" ht="18.75" customHeight="1">
      <c r="A39" s="328"/>
      <c r="B39" s="605" t="s">
        <v>539</v>
      </c>
      <c r="C39" s="401"/>
      <c r="D39" s="401"/>
      <c r="E39" s="339"/>
      <c r="F39" s="337"/>
      <c r="G39" s="340"/>
      <c r="H39" s="15"/>
      <c r="I39" s="408"/>
      <c r="J39" s="409"/>
      <c r="K39" s="336"/>
      <c r="L39" s="329"/>
    </row>
    <row r="40" spans="1:12" ht="18.75" customHeight="1">
      <c r="A40" s="328"/>
      <c r="B40" s="328"/>
      <c r="C40" s="15"/>
      <c r="D40" s="15"/>
      <c r="E40" s="596" t="s">
        <v>540</v>
      </c>
      <c r="F40" s="596"/>
      <c r="G40" s="15"/>
      <c r="H40" s="15"/>
      <c r="I40" s="312" t="s">
        <v>3</v>
      </c>
      <c r="J40" s="15"/>
      <c r="K40" s="329"/>
      <c r="L40" s="329"/>
    </row>
    <row r="41" spans="1:12" ht="18.75" customHeight="1">
      <c r="A41" s="328"/>
      <c r="B41" s="328"/>
      <c r="C41" s="15"/>
      <c r="D41" s="15"/>
      <c r="E41" s="15"/>
      <c r="F41" s="15"/>
      <c r="G41" s="15"/>
      <c r="H41" s="15"/>
      <c r="I41" s="15"/>
      <c r="J41" s="15"/>
      <c r="K41" s="329"/>
      <c r="L41" s="329"/>
    </row>
    <row r="42" spans="1:12" ht="18.75" customHeight="1">
      <c r="A42" s="328"/>
      <c r="B42" s="328" t="s">
        <v>8</v>
      </c>
      <c r="C42" s="15" t="s">
        <v>4</v>
      </c>
      <c r="D42" s="15" t="s">
        <v>5</v>
      </c>
      <c r="E42" s="15" t="s">
        <v>6</v>
      </c>
      <c r="F42" s="15"/>
      <c r="G42" s="312" t="s">
        <v>7</v>
      </c>
      <c r="H42" s="408"/>
      <c r="I42" s="409"/>
      <c r="J42" s="409"/>
      <c r="K42" s="336"/>
      <c r="L42" s="329"/>
    </row>
    <row r="43" spans="1:12" ht="18.75" customHeight="1">
      <c r="A43" s="328"/>
      <c r="B43" s="328"/>
      <c r="C43" s="15"/>
      <c r="D43" s="15"/>
      <c r="E43" s="15"/>
      <c r="F43" s="15"/>
      <c r="G43" s="15"/>
      <c r="H43" s="15"/>
      <c r="I43" s="15"/>
      <c r="J43" s="15"/>
      <c r="K43" s="329"/>
      <c r="L43" s="329"/>
    </row>
    <row r="44" spans="1:12" ht="18.75" customHeight="1">
      <c r="A44" s="328"/>
      <c r="B44" s="331"/>
      <c r="C44" s="330"/>
      <c r="D44" s="330"/>
      <c r="E44" s="330"/>
      <c r="F44" s="330"/>
      <c r="G44" s="330"/>
      <c r="H44" s="330"/>
      <c r="I44" s="330"/>
      <c r="J44" s="330"/>
      <c r="K44" s="332"/>
      <c r="L44" s="329"/>
    </row>
    <row r="45" spans="1:12" ht="18.75" customHeight="1">
      <c r="A45" s="331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2"/>
    </row>
    <row r="46" spans="1:12" ht="9.9499999999999993" customHeight="1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</row>
    <row r="47" spans="1:12" ht="15" customHeight="1">
      <c r="A47" s="306" t="s">
        <v>541</v>
      </c>
      <c r="B47" s="306"/>
      <c r="C47" s="306"/>
      <c r="D47" s="306"/>
      <c r="E47" s="306"/>
      <c r="F47" s="306"/>
      <c r="G47" s="306"/>
      <c r="H47" s="306"/>
      <c r="I47" s="306"/>
      <c r="J47" s="306"/>
      <c r="K47" s="306"/>
      <c r="L47" s="306"/>
    </row>
    <row r="48" spans="1:12" ht="15" customHeight="1">
      <c r="A48" s="306" t="s">
        <v>900</v>
      </c>
      <c r="B48" s="306"/>
      <c r="C48" s="306"/>
      <c r="D48" s="306"/>
      <c r="E48" s="306"/>
      <c r="F48" s="306"/>
      <c r="G48" s="306"/>
      <c r="H48" s="306"/>
      <c r="I48" s="306"/>
      <c r="J48" s="306"/>
      <c r="K48" s="306"/>
      <c r="L48" s="306"/>
    </row>
    <row r="49" spans="1:12" ht="15" customHeight="1">
      <c r="A49" s="306" t="s">
        <v>901</v>
      </c>
      <c r="B49" s="306"/>
      <c r="C49" s="306"/>
      <c r="D49" s="306"/>
      <c r="E49" s="306"/>
      <c r="F49" s="306"/>
      <c r="G49" s="306"/>
      <c r="H49" s="306"/>
      <c r="I49" s="306"/>
      <c r="J49" s="306"/>
      <c r="K49" s="306"/>
      <c r="L49" s="306"/>
    </row>
    <row r="50" spans="1:12" ht="15" customHeight="1">
      <c r="A50" s="403" t="s">
        <v>482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5"/>
    </row>
    <row r="51" spans="1:12" ht="14.1" customHeight="1"/>
    <row r="52" spans="1:12" ht="15.75" customHeight="1">
      <c r="A52" s="326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7"/>
    </row>
    <row r="53" spans="1:12" ht="15.75" customHeight="1">
      <c r="A53" s="328"/>
      <c r="B53" s="15" t="s">
        <v>877</v>
      </c>
      <c r="C53" s="15"/>
      <c r="D53" s="15"/>
      <c r="E53" s="15"/>
      <c r="F53" s="15"/>
      <c r="G53" s="15"/>
      <c r="H53" s="15"/>
      <c r="I53" s="15"/>
      <c r="J53" s="15"/>
      <c r="K53" s="15"/>
      <c r="L53" s="329"/>
    </row>
    <row r="54" spans="1:12" ht="15.75" customHeight="1">
      <c r="A54" s="328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329"/>
    </row>
    <row r="55" spans="1:12" ht="15.75" customHeight="1">
      <c r="A55" s="328"/>
      <c r="B55" s="15" t="s">
        <v>882</v>
      </c>
      <c r="C55" s="15"/>
      <c r="D55" s="330"/>
      <c r="E55" s="330"/>
      <c r="F55" s="15" t="s">
        <v>883</v>
      </c>
      <c r="G55" s="330"/>
      <c r="H55" s="7"/>
      <c r="I55" s="338" t="s">
        <v>881</v>
      </c>
      <c r="J55" s="330"/>
      <c r="K55" s="330"/>
      <c r="L55" s="329"/>
    </row>
    <row r="56" spans="1:12" ht="15.75" customHeight="1">
      <c r="A56" s="328"/>
      <c r="B56" s="15"/>
      <c r="C56" s="15"/>
      <c r="D56" s="15"/>
      <c r="E56" s="15"/>
      <c r="F56" s="15"/>
      <c r="G56" s="15"/>
      <c r="H56" s="15"/>
      <c r="I56" s="338"/>
      <c r="J56" s="15"/>
      <c r="K56" s="15"/>
      <c r="L56" s="329"/>
    </row>
    <row r="57" spans="1:12" ht="15.75" customHeight="1">
      <c r="A57" s="328"/>
      <c r="B57" s="15" t="s">
        <v>884</v>
      </c>
      <c r="C57" s="15"/>
      <c r="D57" s="15"/>
      <c r="E57" s="397"/>
      <c r="F57" s="397"/>
      <c r="G57" s="397"/>
      <c r="H57" s="15" t="s">
        <v>879</v>
      </c>
      <c r="I57" s="338" t="s">
        <v>880</v>
      </c>
      <c r="J57" s="330"/>
      <c r="K57" s="330"/>
      <c r="L57" s="329"/>
    </row>
    <row r="58" spans="1:12" ht="15.75" customHeight="1">
      <c r="A58" s="328"/>
      <c r="B58" s="15"/>
      <c r="C58" s="15"/>
      <c r="D58" s="15"/>
      <c r="E58" s="15"/>
      <c r="F58" s="15"/>
      <c r="G58" s="15"/>
      <c r="H58" s="15"/>
      <c r="I58" s="338"/>
      <c r="J58" s="15"/>
      <c r="K58" s="15"/>
      <c r="L58" s="329"/>
    </row>
    <row r="59" spans="1:12" ht="15.75" customHeight="1">
      <c r="A59" s="328"/>
      <c r="B59" s="15" t="s">
        <v>886</v>
      </c>
      <c r="C59" s="15"/>
      <c r="D59" s="397"/>
      <c r="E59" s="397"/>
      <c r="F59" s="397"/>
      <c r="G59" s="397"/>
      <c r="H59" s="7"/>
      <c r="I59" s="338" t="s">
        <v>529</v>
      </c>
      <c r="J59" s="330"/>
      <c r="K59" s="330"/>
      <c r="L59" s="329"/>
    </row>
    <row r="60" spans="1:12" ht="15.75" customHeight="1">
      <c r="A60" s="32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329"/>
    </row>
    <row r="61" spans="1:12" ht="15.75" customHeight="1">
      <c r="A61" s="328"/>
      <c r="B61" s="15" t="s">
        <v>885</v>
      </c>
      <c r="C61" s="330"/>
      <c r="D61" s="330"/>
      <c r="E61" s="330"/>
      <c r="F61" s="330"/>
      <c r="G61" s="330"/>
      <c r="H61" s="330"/>
      <c r="I61" s="330"/>
      <c r="J61" s="330"/>
      <c r="K61" s="330"/>
      <c r="L61" s="329"/>
    </row>
    <row r="62" spans="1:12" ht="15.75" customHeight="1">
      <c r="A62" s="32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329"/>
    </row>
    <row r="63" spans="1:12" ht="15.75" customHeight="1">
      <c r="A63" s="328"/>
      <c r="B63" s="15" t="s">
        <v>878</v>
      </c>
      <c r="C63" s="15"/>
      <c r="D63" s="15"/>
      <c r="E63" s="401"/>
      <c r="F63" s="401"/>
      <c r="G63" s="401"/>
      <c r="H63" s="401"/>
      <c r="I63" s="401"/>
      <c r="J63" s="15"/>
      <c r="K63" s="15"/>
      <c r="L63" s="329"/>
    </row>
    <row r="64" spans="1:12" ht="15.75" customHeight="1">
      <c r="A64" s="32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329"/>
    </row>
    <row r="65" spans="1:12" ht="15.75" customHeight="1">
      <c r="A65" s="328"/>
      <c r="B65" s="15" t="s">
        <v>887</v>
      </c>
      <c r="C65" s="15"/>
      <c r="D65" s="397"/>
      <c r="E65" s="397"/>
      <c r="F65" s="397"/>
      <c r="G65" s="397"/>
      <c r="H65" s="397"/>
      <c r="I65" s="397"/>
      <c r="J65" s="330"/>
      <c r="K65" s="330"/>
      <c r="L65" s="329"/>
    </row>
    <row r="66" spans="1:12" ht="15.75" customHeight="1">
      <c r="A66" s="328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329"/>
    </row>
    <row r="67" spans="1:12" ht="15.75" customHeight="1">
      <c r="A67" s="328"/>
      <c r="B67" s="15" t="s">
        <v>888</v>
      </c>
      <c r="C67" s="15"/>
      <c r="D67" s="397"/>
      <c r="E67" s="397"/>
      <c r="F67" s="397"/>
      <c r="G67" s="397"/>
      <c r="H67" s="397"/>
      <c r="I67" s="397"/>
      <c r="J67" s="330"/>
      <c r="K67" s="330"/>
      <c r="L67" s="329"/>
    </row>
    <row r="68" spans="1:12" ht="15.75" customHeight="1">
      <c r="A68" s="32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329"/>
    </row>
    <row r="69" spans="1:12" ht="15.75" customHeight="1">
      <c r="A69" s="328"/>
      <c r="B69" s="15" t="s">
        <v>889</v>
      </c>
      <c r="C69" s="15"/>
      <c r="D69" s="397"/>
      <c r="E69" s="397"/>
      <c r="F69" s="397"/>
      <c r="G69" s="397"/>
      <c r="H69" s="397"/>
      <c r="I69" s="397"/>
      <c r="J69" s="330"/>
      <c r="K69" s="330"/>
      <c r="L69" s="329"/>
    </row>
    <row r="70" spans="1:12" ht="15.75" customHeight="1">
      <c r="A70" s="328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329"/>
    </row>
    <row r="71" spans="1:12" ht="15.75" customHeight="1">
      <c r="A71" s="328"/>
      <c r="B71" s="15" t="s">
        <v>890</v>
      </c>
      <c r="C71" s="15"/>
      <c r="D71" s="397"/>
      <c r="E71" s="397"/>
      <c r="F71" s="397"/>
      <c r="G71" s="397"/>
      <c r="H71" s="397"/>
      <c r="I71" s="397"/>
      <c r="J71" s="330"/>
      <c r="K71" s="330"/>
      <c r="L71" s="329"/>
    </row>
    <row r="72" spans="1:12" ht="15.75" customHeight="1">
      <c r="A72" s="32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329"/>
    </row>
    <row r="73" spans="1:12" ht="15.75" customHeight="1">
      <c r="A73" s="328"/>
      <c r="B73" s="15" t="s">
        <v>891</v>
      </c>
      <c r="C73" s="15"/>
      <c r="D73" s="397"/>
      <c r="E73" s="397"/>
      <c r="F73" s="397"/>
      <c r="G73" s="397"/>
      <c r="H73" s="397"/>
      <c r="I73" s="397"/>
      <c r="J73" s="330"/>
      <c r="K73" s="330"/>
      <c r="L73" s="329"/>
    </row>
    <row r="74" spans="1:12" ht="15.75" customHeight="1">
      <c r="A74" s="32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329"/>
    </row>
    <row r="75" spans="1:12" ht="15.75" customHeight="1">
      <c r="A75" s="328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29"/>
    </row>
    <row r="76" spans="1:12" ht="15.75" customHeight="1">
      <c r="A76" s="32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329"/>
    </row>
    <row r="77" spans="1:12" ht="15.75" customHeight="1">
      <c r="A77" s="331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2"/>
    </row>
    <row r="78" spans="1:12" ht="15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1:12" ht="15.75" customHeight="1">
      <c r="A79" s="326"/>
      <c r="B79" s="324"/>
      <c r="C79" s="324"/>
      <c r="D79" s="324"/>
      <c r="E79" s="324"/>
      <c r="F79" s="324"/>
      <c r="G79" s="324"/>
      <c r="H79" s="324"/>
      <c r="I79" s="324"/>
      <c r="J79" s="324"/>
      <c r="K79" s="324"/>
      <c r="L79" s="327"/>
    </row>
    <row r="80" spans="1:12" ht="15.75" customHeight="1">
      <c r="A80" s="328"/>
      <c r="B80" s="333" t="s">
        <v>33</v>
      </c>
      <c r="C80" s="15"/>
      <c r="D80" s="15"/>
      <c r="E80" s="15"/>
      <c r="F80" s="15"/>
      <c r="G80" s="15"/>
      <c r="H80" s="15"/>
      <c r="I80" s="15"/>
      <c r="J80" s="15"/>
      <c r="K80" s="15"/>
      <c r="L80" s="329"/>
    </row>
    <row r="81" spans="1:12" ht="15.75" customHeight="1">
      <c r="A81" s="32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329"/>
    </row>
    <row r="82" spans="1:12" ht="15.75" customHeight="1">
      <c r="A82" s="328"/>
      <c r="B82" s="394" t="s">
        <v>34</v>
      </c>
      <c r="C82" s="394"/>
      <c r="D82" s="394"/>
      <c r="E82" s="330"/>
      <c r="F82" s="330"/>
      <c r="G82" s="330"/>
      <c r="H82" s="15" t="s">
        <v>35</v>
      </c>
      <c r="I82" s="15"/>
      <c r="J82" s="15"/>
      <c r="K82" s="15"/>
      <c r="L82" s="329"/>
    </row>
    <row r="83" spans="1:12" ht="15.75" customHeight="1">
      <c r="A83" s="328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329"/>
    </row>
    <row r="84" spans="1:12" ht="15.75" customHeight="1">
      <c r="A84" s="328"/>
      <c r="B84" s="372" t="s">
        <v>872</v>
      </c>
      <c r="C84" s="371"/>
      <c r="D84" s="371"/>
      <c r="E84" s="371"/>
      <c r="F84" s="371"/>
      <c r="G84" s="371"/>
      <c r="H84" s="371"/>
      <c r="I84" s="371"/>
      <c r="J84" s="371"/>
      <c r="K84" s="15"/>
      <c r="L84" s="329"/>
    </row>
    <row r="85" spans="1:12" ht="15.75" customHeight="1">
      <c r="A85" s="328"/>
      <c r="B85" s="372" t="s">
        <v>906</v>
      </c>
      <c r="C85" s="371"/>
      <c r="D85" s="371"/>
      <c r="E85" s="371"/>
      <c r="F85" s="371"/>
      <c r="G85" s="371"/>
      <c r="H85" s="371"/>
      <c r="I85" s="371"/>
      <c r="J85" s="371"/>
      <c r="K85" s="15"/>
      <c r="L85" s="329"/>
    </row>
    <row r="86" spans="1:12" ht="15.75" customHeight="1">
      <c r="A86" s="328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9"/>
    </row>
    <row r="87" spans="1:12" ht="15.75" customHeight="1">
      <c r="A87" s="328"/>
      <c r="B87" s="372" t="s">
        <v>873</v>
      </c>
      <c r="C87" s="372"/>
      <c r="D87" s="372"/>
      <c r="E87" s="372"/>
      <c r="F87" s="372"/>
      <c r="G87" s="372"/>
      <c r="H87" s="372"/>
      <c r="I87" s="372"/>
      <c r="J87" s="372"/>
      <c r="K87" s="15"/>
      <c r="L87" s="329"/>
    </row>
    <row r="88" spans="1:12" ht="15.75" customHeight="1">
      <c r="A88" s="328"/>
      <c r="B88" s="372" t="s">
        <v>907</v>
      </c>
      <c r="C88" s="372"/>
      <c r="D88" s="372"/>
      <c r="E88" s="372"/>
      <c r="F88" s="372"/>
      <c r="G88" s="372"/>
      <c r="H88" s="372"/>
      <c r="I88" s="372"/>
      <c r="J88" s="372"/>
      <c r="K88" s="15"/>
      <c r="L88" s="329"/>
    </row>
    <row r="89" spans="1:12" ht="15.75" customHeight="1">
      <c r="A89" s="32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9"/>
    </row>
    <row r="90" spans="1:12" ht="15.75" customHeight="1">
      <c r="A90" s="328"/>
      <c r="B90" s="393" t="s">
        <v>874</v>
      </c>
      <c r="C90" s="394"/>
      <c r="D90" s="394"/>
      <c r="E90" s="394"/>
      <c r="F90" s="394"/>
      <c r="G90" s="394"/>
      <c r="H90" s="394"/>
      <c r="I90" s="15"/>
      <c r="J90" s="15"/>
      <c r="K90" s="15"/>
      <c r="L90" s="329"/>
    </row>
    <row r="91" spans="1:12" ht="15.75" customHeight="1">
      <c r="A91" s="328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329"/>
    </row>
    <row r="92" spans="1:12" ht="15.75" customHeight="1">
      <c r="A92" s="328"/>
      <c r="B92" s="393" t="s">
        <v>875</v>
      </c>
      <c r="C92" s="394"/>
      <c r="D92" s="394"/>
      <c r="E92" s="394"/>
      <c r="F92" s="394"/>
      <c r="G92" s="394"/>
      <c r="H92" s="394"/>
      <c r="I92" s="15"/>
      <c r="J92" s="15"/>
      <c r="K92" s="15"/>
      <c r="L92" s="329"/>
    </row>
    <row r="93" spans="1:12" ht="15.75" customHeight="1">
      <c r="A93" s="32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329"/>
    </row>
    <row r="94" spans="1:12" ht="15.75" customHeight="1">
      <c r="A94" s="328"/>
      <c r="B94" s="372" t="s">
        <v>908</v>
      </c>
      <c r="C94" s="372"/>
      <c r="D94" s="372"/>
      <c r="E94" s="372"/>
      <c r="F94" s="372"/>
      <c r="G94" s="372"/>
      <c r="H94" s="372"/>
      <c r="I94" s="372"/>
      <c r="J94" s="372"/>
      <c r="K94" s="15"/>
      <c r="L94" s="329"/>
    </row>
    <row r="95" spans="1:12" ht="15.75" customHeight="1">
      <c r="A95" s="328"/>
      <c r="B95" s="372" t="s">
        <v>909</v>
      </c>
      <c r="C95" s="372"/>
      <c r="D95" s="372"/>
      <c r="E95" s="372"/>
      <c r="F95" s="372"/>
      <c r="G95" s="372"/>
      <c r="H95" s="372"/>
      <c r="I95" s="372"/>
      <c r="J95" s="372"/>
      <c r="L95" s="329"/>
    </row>
    <row r="96" spans="1:12" ht="15.75" customHeight="1">
      <c r="A96" s="328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9"/>
    </row>
    <row r="97" spans="1:12" ht="15.75" customHeight="1">
      <c r="A97" s="328"/>
      <c r="B97" s="15" t="s">
        <v>910</v>
      </c>
      <c r="C97" s="15"/>
      <c r="D97" s="15"/>
      <c r="E97" s="15"/>
      <c r="F97" s="15"/>
      <c r="G97" s="15"/>
      <c r="H97" s="15"/>
      <c r="I97" s="15"/>
      <c r="J97" s="15"/>
      <c r="K97" s="15"/>
      <c r="L97" s="329"/>
    </row>
    <row r="98" spans="1:12" ht="15.75" customHeight="1">
      <c r="A98" s="32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329"/>
    </row>
    <row r="99" spans="1:12" ht="15.75" customHeight="1">
      <c r="A99" s="328"/>
      <c r="B99" s="394" t="s">
        <v>37</v>
      </c>
      <c r="C99" s="394"/>
      <c r="D99" s="394"/>
      <c r="E99" s="394"/>
      <c r="F99" s="394"/>
      <c r="G99" s="394"/>
      <c r="H99" s="15"/>
      <c r="I99" s="15"/>
      <c r="J99" s="15"/>
      <c r="K99" s="15"/>
      <c r="L99" s="329"/>
    </row>
    <row r="100" spans="1:12" ht="15.75" customHeight="1">
      <c r="A100" s="328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329"/>
    </row>
    <row r="101" spans="1:12" ht="15.75" customHeight="1">
      <c r="A101" s="328"/>
      <c r="B101" s="15" t="s">
        <v>527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329"/>
    </row>
    <row r="102" spans="1:12" ht="15.75" customHeight="1">
      <c r="A102" s="331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2"/>
    </row>
    <row r="103" spans="1:12" ht="15" customHeight="1">
      <c r="A103" s="309" t="s">
        <v>904</v>
      </c>
      <c r="B103" s="309"/>
      <c r="C103" s="309"/>
      <c r="D103" s="309"/>
      <c r="E103" s="309"/>
      <c r="F103" s="309"/>
      <c r="G103" s="309"/>
      <c r="H103" s="309"/>
      <c r="I103" s="309"/>
      <c r="J103" s="309"/>
      <c r="K103" s="309"/>
      <c r="L103" s="309"/>
    </row>
    <row r="104" spans="1:12" ht="15" customHeight="1">
      <c r="A104" s="370" t="s">
        <v>905</v>
      </c>
      <c r="B104" s="370"/>
      <c r="C104" s="370"/>
      <c r="D104" s="370"/>
      <c r="E104" s="370"/>
      <c r="F104" s="370"/>
      <c r="G104" s="370"/>
      <c r="H104" s="370"/>
      <c r="I104" s="370"/>
      <c r="J104" s="370"/>
      <c r="K104" s="370"/>
      <c r="L104" s="370"/>
    </row>
    <row r="105" spans="1:12" ht="15" customHeight="1">
      <c r="A105" s="370" t="s">
        <v>903</v>
      </c>
      <c r="B105" s="370"/>
      <c r="C105" s="370"/>
      <c r="D105" s="370"/>
      <c r="E105" s="370"/>
      <c r="F105" s="370"/>
      <c r="G105" s="370"/>
      <c r="H105" s="370"/>
      <c r="I105" s="370"/>
      <c r="J105" s="370"/>
      <c r="K105" s="370"/>
      <c r="L105" s="370"/>
    </row>
    <row r="106" spans="1:12">
      <c r="A106" s="403" t="s">
        <v>38</v>
      </c>
      <c r="B106" s="404"/>
      <c r="C106" s="404"/>
      <c r="D106" s="404"/>
      <c r="E106" s="404"/>
      <c r="F106" s="404"/>
      <c r="G106" s="404"/>
      <c r="H106" s="404"/>
      <c r="I106" s="404"/>
      <c r="J106" s="404"/>
      <c r="K106" s="404"/>
      <c r="L106" s="405"/>
    </row>
    <row r="108" spans="1:12" ht="16.5" customHeight="1">
      <c r="A108" s="326"/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7"/>
    </row>
    <row r="109" spans="1:12" ht="16.5" customHeight="1">
      <c r="A109" s="328"/>
      <c r="B109" s="15" t="s">
        <v>543</v>
      </c>
      <c r="C109" s="15"/>
      <c r="D109" s="15"/>
      <c r="E109" s="15"/>
      <c r="F109" s="15"/>
      <c r="G109" s="15"/>
      <c r="H109" s="15"/>
      <c r="I109" s="15"/>
      <c r="J109" s="15"/>
      <c r="K109" s="15"/>
      <c r="L109" s="329"/>
    </row>
    <row r="110" spans="1:12" ht="16.5" customHeight="1">
      <c r="A110" s="328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329"/>
    </row>
    <row r="111" spans="1:12" ht="16.5" customHeight="1">
      <c r="A111" s="328"/>
      <c r="B111" s="15" t="s">
        <v>895</v>
      </c>
      <c r="C111" s="596" t="s">
        <v>896</v>
      </c>
      <c r="D111" s="597"/>
      <c r="E111" s="598" t="s">
        <v>49</v>
      </c>
      <c r="F111" s="599"/>
      <c r="G111" s="600" t="s">
        <v>544</v>
      </c>
      <c r="H111" s="596"/>
      <c r="I111" s="597"/>
      <c r="J111" s="566" t="str">
        <f>DATOS!D12</f>
        <v>-</v>
      </c>
      <c r="K111" s="601"/>
      <c r="L111" s="329"/>
    </row>
    <row r="112" spans="1:12" ht="16.5" customHeight="1">
      <c r="A112" s="328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329"/>
    </row>
    <row r="113" spans="1:12" ht="16.5" customHeight="1">
      <c r="A113" s="328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9"/>
    </row>
    <row r="114" spans="1:12" ht="16.5" customHeight="1">
      <c r="A114" s="328"/>
      <c r="B114" s="15" t="s">
        <v>39</v>
      </c>
      <c r="C114" s="15"/>
      <c r="D114" s="15"/>
      <c r="E114" s="566" t="s">
        <v>201</v>
      </c>
      <c r="F114" s="569"/>
      <c r="G114" s="569"/>
      <c r="H114" s="569"/>
      <c r="I114" s="569"/>
      <c r="J114" s="569"/>
      <c r="K114" s="601"/>
      <c r="L114" s="329"/>
    </row>
    <row r="115" spans="1:12" ht="16.5" customHeight="1">
      <c r="A115" s="328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9"/>
    </row>
    <row r="116" spans="1:12" ht="16.5" customHeight="1">
      <c r="A116" s="331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2"/>
    </row>
    <row r="117" spans="1:1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ht="16.5" customHeight="1">
      <c r="A118" s="326"/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7"/>
    </row>
    <row r="119" spans="1:12" ht="16.5" customHeight="1">
      <c r="A119" s="328"/>
      <c r="B119" s="15" t="s">
        <v>545</v>
      </c>
      <c r="C119" s="15"/>
      <c r="D119" s="15"/>
      <c r="E119" s="15"/>
      <c r="F119" s="15"/>
      <c r="G119" s="15"/>
      <c r="H119" s="15"/>
      <c r="I119" s="15"/>
      <c r="J119" s="15"/>
      <c r="K119" s="15"/>
      <c r="L119" s="329"/>
    </row>
    <row r="120" spans="1:12" ht="16.5" customHeight="1">
      <c r="A120" s="328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329"/>
    </row>
    <row r="121" spans="1:12" ht="16.5" customHeight="1">
      <c r="A121" s="328"/>
      <c r="B121" s="15" t="s">
        <v>40</v>
      </c>
      <c r="C121" s="15"/>
      <c r="D121" s="408"/>
      <c r="E121" s="409"/>
      <c r="F121" s="409"/>
      <c r="G121" s="409"/>
      <c r="H121" s="409"/>
      <c r="I121" s="409"/>
      <c r="J121" s="409"/>
      <c r="K121" s="410"/>
      <c r="L121" s="329"/>
    </row>
    <row r="122" spans="1:12" ht="16.5" customHeight="1">
      <c r="A122" s="328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329"/>
    </row>
    <row r="123" spans="1:12" ht="16.5" customHeight="1">
      <c r="A123" s="328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9"/>
    </row>
    <row r="124" spans="1:12" ht="16.5" customHeight="1">
      <c r="A124" s="328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329"/>
    </row>
    <row r="125" spans="1:12" ht="16.5" customHeight="1">
      <c r="A125" s="328"/>
      <c r="B125" s="15" t="s">
        <v>546</v>
      </c>
      <c r="C125" s="15"/>
      <c r="D125" s="15"/>
      <c r="E125" s="15"/>
      <c r="F125" s="15"/>
      <c r="G125" s="15"/>
      <c r="H125" s="15"/>
      <c r="I125" s="15"/>
      <c r="J125" s="15"/>
      <c r="K125" s="15"/>
      <c r="L125" s="329"/>
    </row>
    <row r="126" spans="1:12" ht="16.5" customHeight="1">
      <c r="A126" s="328"/>
      <c r="B126" s="15" t="s">
        <v>547</v>
      </c>
      <c r="C126" s="15"/>
      <c r="D126" s="15"/>
      <c r="E126" s="408"/>
      <c r="F126" s="409"/>
      <c r="G126" s="409"/>
      <c r="H126" s="409"/>
      <c r="I126" s="409"/>
      <c r="J126" s="409"/>
      <c r="K126" s="410"/>
      <c r="L126" s="329"/>
    </row>
    <row r="127" spans="1:12" ht="16.5" customHeight="1">
      <c r="A127" s="328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9"/>
    </row>
    <row r="128" spans="1:12" ht="16.5" customHeight="1">
      <c r="A128" s="328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329"/>
    </row>
    <row r="129" spans="1:12" ht="16.5" customHeight="1">
      <c r="A129" s="328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329"/>
    </row>
    <row r="130" spans="1:12" ht="16.5" customHeight="1">
      <c r="A130" s="328"/>
      <c r="B130" s="15" t="s">
        <v>548</v>
      </c>
      <c r="C130" s="15"/>
      <c r="D130" s="15"/>
      <c r="E130" s="15" t="s">
        <v>42</v>
      </c>
      <c r="F130" s="408"/>
      <c r="G130" s="410"/>
      <c r="H130" s="335" t="s">
        <v>41</v>
      </c>
      <c r="I130" s="408"/>
      <c r="J130" s="409"/>
      <c r="K130" s="410"/>
      <c r="L130" s="329"/>
    </row>
    <row r="131" spans="1:12" ht="16.5" customHeight="1">
      <c r="A131" s="328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9"/>
    </row>
    <row r="132" spans="1:12" ht="16.5" customHeight="1">
      <c r="A132" s="328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9"/>
    </row>
    <row r="133" spans="1:12" ht="16.5" customHeight="1">
      <c r="A133" s="331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2"/>
    </row>
    <row r="134" spans="1:1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ht="16.5" customHeight="1">
      <c r="A135" s="326"/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7"/>
    </row>
    <row r="136" spans="1:12" ht="16.5" customHeight="1">
      <c r="A136" s="328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329"/>
    </row>
    <row r="137" spans="1:12" ht="16.5" customHeight="1">
      <c r="A137" s="328"/>
      <c r="B137" s="15" t="s">
        <v>549</v>
      </c>
      <c r="C137" s="15"/>
      <c r="D137" s="15"/>
      <c r="E137" s="15"/>
      <c r="F137" s="15"/>
      <c r="G137" s="15"/>
      <c r="H137" s="15"/>
      <c r="I137" s="15"/>
      <c r="J137" s="15"/>
      <c r="K137" s="15"/>
      <c r="L137" s="329"/>
    </row>
    <row r="138" spans="1:12" ht="16.5" customHeight="1">
      <c r="A138" s="328"/>
      <c r="B138" s="15" t="s">
        <v>550</v>
      </c>
      <c r="C138" s="15"/>
      <c r="D138" s="15"/>
      <c r="E138" s="15"/>
      <c r="F138" s="15"/>
      <c r="G138" s="15"/>
      <c r="H138" s="15"/>
      <c r="I138" s="15"/>
      <c r="J138" s="15"/>
      <c r="K138" s="15"/>
      <c r="L138" s="329"/>
    </row>
    <row r="139" spans="1:12" ht="16.5" customHeight="1">
      <c r="A139" s="328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9"/>
    </row>
    <row r="140" spans="1:12" ht="16.5" customHeight="1">
      <c r="A140" s="328"/>
      <c r="B140" s="15" t="s">
        <v>43</v>
      </c>
      <c r="C140" s="15"/>
      <c r="D140" s="15"/>
      <c r="E140" s="312" t="s">
        <v>44</v>
      </c>
      <c r="F140" s="15"/>
      <c r="H140" s="15" t="s">
        <v>551</v>
      </c>
      <c r="I140" s="15"/>
      <c r="J140" s="15"/>
      <c r="K140" s="15"/>
      <c r="L140" s="329"/>
    </row>
    <row r="141" spans="1:12" ht="16.5" customHeight="1">
      <c r="A141" s="328"/>
      <c r="B141" s="15"/>
      <c r="C141" s="15"/>
      <c r="D141" s="15"/>
      <c r="E141" s="312"/>
      <c r="F141" s="15"/>
      <c r="H141" s="15"/>
      <c r="I141" s="15"/>
      <c r="J141" s="15"/>
      <c r="K141" s="15"/>
      <c r="L141" s="329"/>
    </row>
    <row r="142" spans="1:12" ht="16.5" customHeight="1">
      <c r="A142" s="328"/>
      <c r="B142" s="15" t="s">
        <v>552</v>
      </c>
      <c r="C142" s="15"/>
      <c r="D142" s="15"/>
      <c r="E142" s="312" t="s">
        <v>553</v>
      </c>
      <c r="F142" s="15"/>
      <c r="H142" s="325" t="s">
        <v>554</v>
      </c>
      <c r="I142" s="325"/>
      <c r="J142" s="15"/>
      <c r="K142" s="15"/>
      <c r="L142" s="329"/>
    </row>
    <row r="143" spans="1:12" ht="16.5" customHeight="1">
      <c r="A143" s="328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329"/>
    </row>
    <row r="144" spans="1:12" ht="16.5" customHeight="1">
      <c r="A144" s="328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329"/>
    </row>
    <row r="145" spans="1:12" ht="16.5" customHeight="1">
      <c r="A145" s="328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329"/>
    </row>
    <row r="146" spans="1:12" ht="16.5" customHeight="1">
      <c r="A146" s="328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9"/>
    </row>
    <row r="147" spans="1:12" ht="16.5" customHeight="1">
      <c r="A147" s="328"/>
      <c r="B147" s="394" t="s">
        <v>45</v>
      </c>
      <c r="C147" s="394"/>
      <c r="D147" s="397"/>
      <c r="E147" s="397"/>
      <c r="F147" s="397"/>
      <c r="G147" s="397"/>
      <c r="H147" s="397"/>
      <c r="I147" s="397"/>
      <c r="J147" s="397"/>
      <c r="K147" s="15"/>
      <c r="L147" s="329"/>
    </row>
    <row r="148" spans="1:12" ht="16.5" customHeight="1">
      <c r="A148" s="328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9"/>
    </row>
    <row r="149" spans="1:12" ht="16.5" customHeight="1">
      <c r="A149" s="328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9"/>
    </row>
    <row r="150" spans="1:12" ht="16.5" customHeight="1">
      <c r="A150" s="328"/>
      <c r="B150" s="15" t="s">
        <v>46</v>
      </c>
      <c r="C150" s="15"/>
      <c r="D150" s="397"/>
      <c r="E150" s="397"/>
      <c r="F150" s="397"/>
      <c r="G150" s="397"/>
      <c r="H150" s="397"/>
      <c r="I150" s="397"/>
      <c r="J150" s="397"/>
      <c r="K150" s="15"/>
      <c r="L150" s="329"/>
    </row>
    <row r="151" spans="1:12" ht="16.5" customHeight="1">
      <c r="A151" s="328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9"/>
    </row>
    <row r="152" spans="1:12" ht="16.5" customHeight="1">
      <c r="A152" s="328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9"/>
    </row>
    <row r="153" spans="1:12" ht="16.5" customHeight="1">
      <c r="A153" s="328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329"/>
    </row>
    <row r="154" spans="1:12" ht="16.5" customHeight="1">
      <c r="A154" s="331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2"/>
    </row>
    <row r="155" spans="1:12" ht="16.5" customHeight="1">
      <c r="A155" s="326"/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7"/>
    </row>
    <row r="156" spans="1:12" ht="16.5" customHeight="1">
      <c r="A156" s="328"/>
      <c r="B156" s="595" t="s">
        <v>47</v>
      </c>
      <c r="C156" s="595"/>
      <c r="D156" s="595"/>
      <c r="E156" s="595"/>
      <c r="F156" s="15"/>
      <c r="G156" s="15"/>
      <c r="H156" s="15"/>
      <c r="I156" s="15"/>
      <c r="J156" s="15"/>
      <c r="K156" s="15"/>
      <c r="L156" s="329"/>
    </row>
    <row r="157" spans="1:12" ht="16.5" customHeight="1">
      <c r="A157" s="328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329"/>
    </row>
    <row r="158" spans="1:12" ht="16.5" customHeight="1">
      <c r="A158" s="328"/>
      <c r="B158" s="15" t="s">
        <v>913</v>
      </c>
      <c r="C158" s="15"/>
      <c r="D158" s="15"/>
      <c r="E158" s="15"/>
      <c r="F158" s="15"/>
      <c r="G158" s="15"/>
      <c r="H158" s="15"/>
      <c r="I158" s="15"/>
      <c r="J158" s="15"/>
      <c r="K158" s="15"/>
      <c r="L158" s="329"/>
    </row>
    <row r="159" spans="1:12" ht="16.5" customHeight="1">
      <c r="A159" s="328"/>
      <c r="B159" s="15" t="s">
        <v>914</v>
      </c>
      <c r="C159" s="15"/>
      <c r="D159" s="15"/>
      <c r="E159" s="15"/>
      <c r="F159" s="15"/>
      <c r="G159" s="15"/>
      <c r="H159" s="15"/>
      <c r="I159" s="15"/>
      <c r="J159" s="15"/>
      <c r="K159" s="15"/>
      <c r="L159" s="329"/>
    </row>
    <row r="160" spans="1:12" ht="16.5" customHeight="1">
      <c r="A160" s="328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9"/>
    </row>
    <row r="161" spans="1:12" ht="16.5" customHeight="1">
      <c r="A161" s="328"/>
      <c r="B161" s="15" t="s">
        <v>34</v>
      </c>
      <c r="C161" s="15"/>
      <c r="D161" s="330"/>
      <c r="E161" s="330"/>
      <c r="F161" s="330"/>
      <c r="G161" s="330"/>
      <c r="H161" s="15" t="s">
        <v>48</v>
      </c>
      <c r="I161" s="15"/>
      <c r="J161" s="15"/>
      <c r="K161" s="15"/>
      <c r="L161" s="329"/>
    </row>
    <row r="162" spans="1:12" ht="16.5" customHeight="1">
      <c r="A162" s="328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329"/>
    </row>
    <row r="163" spans="1:12" ht="16.5" customHeight="1">
      <c r="A163" s="328"/>
      <c r="B163" s="341" t="s">
        <v>911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329"/>
    </row>
    <row r="164" spans="1:12" ht="16.5" customHeight="1">
      <c r="A164" s="328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329"/>
    </row>
    <row r="165" spans="1:12" ht="16.5" customHeight="1">
      <c r="A165" s="328"/>
      <c r="B165" s="330"/>
      <c r="C165" s="330"/>
      <c r="D165" s="330"/>
      <c r="E165" s="330"/>
      <c r="F165" s="330"/>
      <c r="G165" s="330"/>
      <c r="H165" s="330"/>
      <c r="I165" s="330"/>
      <c r="J165" s="15"/>
      <c r="K165" s="15"/>
      <c r="L165" s="329"/>
    </row>
    <row r="166" spans="1:12" ht="16.5" customHeight="1">
      <c r="A166" s="328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329"/>
    </row>
    <row r="167" spans="1:12" ht="16.5" customHeight="1">
      <c r="A167" s="328"/>
      <c r="B167" s="341" t="s">
        <v>912</v>
      </c>
      <c r="C167" s="15"/>
      <c r="D167" s="15"/>
      <c r="E167" s="15"/>
      <c r="F167" s="15"/>
      <c r="G167" s="15"/>
      <c r="H167" s="15"/>
      <c r="I167" s="15"/>
      <c r="J167" s="15"/>
      <c r="K167" s="15"/>
      <c r="L167" s="329"/>
    </row>
    <row r="168" spans="1:12" ht="16.5" customHeight="1">
      <c r="A168" s="328"/>
      <c r="B168" s="15" t="s">
        <v>555</v>
      </c>
      <c r="D168" s="15"/>
      <c r="E168" s="15"/>
      <c r="F168" s="15"/>
      <c r="G168" s="15"/>
      <c r="H168" s="15"/>
      <c r="I168" s="15"/>
      <c r="J168" s="15"/>
      <c r="K168" s="15"/>
      <c r="L168" s="329"/>
    </row>
    <row r="169" spans="1:12" ht="16.5" customHeight="1">
      <c r="A169" s="328"/>
      <c r="B169" s="15"/>
      <c r="D169" s="15"/>
      <c r="E169" s="15"/>
      <c r="F169" s="15"/>
      <c r="G169" s="15"/>
      <c r="H169" s="15"/>
      <c r="I169" s="15"/>
      <c r="J169" s="15"/>
      <c r="K169" s="15"/>
      <c r="L169" s="329"/>
    </row>
    <row r="170" spans="1:12" ht="16.5" customHeight="1">
      <c r="A170" s="328"/>
      <c r="B170" s="15" t="s">
        <v>50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9"/>
    </row>
    <row r="171" spans="1:12" ht="16.5" customHeight="1">
      <c r="A171" s="328"/>
      <c r="B171" s="15"/>
      <c r="D171" s="15"/>
      <c r="E171" s="15"/>
      <c r="F171" s="15"/>
      <c r="G171" s="15"/>
      <c r="H171" s="15"/>
      <c r="I171" s="15"/>
      <c r="J171" s="15"/>
      <c r="K171" s="15"/>
      <c r="L171" s="329"/>
    </row>
    <row r="172" spans="1:12" ht="16.5" customHeight="1">
      <c r="A172" s="328"/>
      <c r="B172" s="15" t="s">
        <v>51</v>
      </c>
      <c r="C172" s="15"/>
      <c r="D172" s="15"/>
      <c r="E172" s="15"/>
      <c r="F172" s="15"/>
      <c r="G172" s="15"/>
      <c r="H172" s="15"/>
      <c r="I172" s="15"/>
      <c r="J172" s="15"/>
      <c r="K172" s="15"/>
      <c r="L172" s="329"/>
    </row>
    <row r="173" spans="1:12" ht="30" customHeight="1">
      <c r="A173" s="328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329"/>
    </row>
    <row r="174" spans="1:12" ht="16.5" customHeight="1">
      <c r="A174" s="328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329"/>
    </row>
    <row r="175" spans="1:12" ht="16.5" customHeight="1">
      <c r="A175" s="328"/>
      <c r="B175" s="15" t="s">
        <v>556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9"/>
    </row>
    <row r="176" spans="1:12" ht="16.5" customHeight="1">
      <c r="A176" s="331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2"/>
    </row>
    <row r="177" spans="1:12" ht="16.5" customHeight="1">
      <c r="A177" s="33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37"/>
    </row>
    <row r="178" spans="1:12">
      <c r="A178" s="326"/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7"/>
    </row>
    <row r="179" spans="1:12" ht="16.5" customHeight="1">
      <c r="A179" s="328"/>
      <c r="B179" s="333" t="s">
        <v>52</v>
      </c>
      <c r="C179" s="15"/>
      <c r="D179" s="15"/>
      <c r="E179" s="15"/>
      <c r="F179" s="15"/>
      <c r="G179" s="15"/>
      <c r="H179" s="15"/>
      <c r="I179" s="15"/>
      <c r="J179" s="15"/>
      <c r="K179" s="15"/>
      <c r="L179" s="329"/>
    </row>
    <row r="180" spans="1:12" ht="16.5" customHeight="1">
      <c r="A180" s="328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29"/>
    </row>
    <row r="181" spans="1:12" ht="16.5" customHeight="1">
      <c r="A181" s="328"/>
      <c r="B181" s="394" t="s">
        <v>557</v>
      </c>
      <c r="C181" s="394"/>
      <c r="D181" s="394"/>
      <c r="E181" s="394"/>
      <c r="F181" s="394"/>
      <c r="G181" s="394"/>
      <c r="H181" s="394"/>
      <c r="I181" s="394"/>
      <c r="J181" s="394"/>
      <c r="K181" s="394"/>
      <c r="L181" s="329"/>
    </row>
    <row r="182" spans="1:12" ht="16.5" customHeight="1">
      <c r="A182" s="328"/>
      <c r="B182" s="394" t="s">
        <v>897</v>
      </c>
      <c r="C182" s="394"/>
      <c r="D182" s="394"/>
      <c r="E182" s="394"/>
      <c r="F182" s="394"/>
      <c r="G182" s="394"/>
      <c r="H182" s="394"/>
      <c r="I182" s="394"/>
      <c r="J182" s="394"/>
      <c r="K182" s="394"/>
      <c r="L182" s="329"/>
    </row>
    <row r="183" spans="1:12" ht="16.5" customHeight="1">
      <c r="A183" s="328"/>
      <c r="B183" s="394" t="s">
        <v>558</v>
      </c>
      <c r="C183" s="394"/>
      <c r="D183" s="394"/>
      <c r="E183" s="394"/>
      <c r="F183" s="394"/>
      <c r="G183" s="394"/>
      <c r="H183" s="394"/>
      <c r="I183" s="394"/>
      <c r="J183" s="394"/>
      <c r="K183" s="394"/>
      <c r="L183" s="329"/>
    </row>
    <row r="184" spans="1:12" ht="16.5" customHeight="1">
      <c r="A184" s="328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329"/>
    </row>
    <row r="185" spans="1:12" ht="16.5" customHeight="1">
      <c r="A185" s="328"/>
      <c r="B185" s="15" t="s">
        <v>34</v>
      </c>
      <c r="C185" s="15"/>
      <c r="D185" s="330"/>
      <c r="E185" s="330"/>
      <c r="F185" s="330"/>
      <c r="G185" s="330"/>
      <c r="H185" s="394" t="s">
        <v>53</v>
      </c>
      <c r="I185" s="394"/>
      <c r="J185" s="394"/>
      <c r="K185" s="394"/>
      <c r="L185" s="329"/>
    </row>
    <row r="186" spans="1:12" ht="16.5" customHeight="1">
      <c r="A186" s="328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329"/>
    </row>
    <row r="187" spans="1:12" ht="16.5" customHeight="1">
      <c r="A187" s="328"/>
      <c r="B187" s="335" t="s">
        <v>49</v>
      </c>
      <c r="C187" s="15" t="s">
        <v>559</v>
      </c>
      <c r="D187" s="15"/>
      <c r="E187" s="15"/>
      <c r="F187" s="15"/>
      <c r="G187" s="15"/>
      <c r="H187" s="15"/>
      <c r="I187" s="15"/>
      <c r="J187" s="15"/>
      <c r="K187" s="15"/>
      <c r="L187" s="329"/>
    </row>
    <row r="188" spans="1:12" ht="16.5" customHeight="1">
      <c r="A188" s="328"/>
      <c r="B188" s="335"/>
      <c r="C188" s="15"/>
      <c r="D188" s="15"/>
      <c r="E188" s="15"/>
      <c r="F188" s="15"/>
      <c r="G188" s="15"/>
      <c r="H188" s="15"/>
      <c r="I188" s="15"/>
      <c r="J188" s="15"/>
      <c r="K188" s="15"/>
      <c r="L188" s="329"/>
    </row>
    <row r="189" spans="1:12" ht="16.5" customHeight="1">
      <c r="A189" s="328"/>
      <c r="B189" s="335" t="s">
        <v>49</v>
      </c>
      <c r="C189" s="15" t="s">
        <v>560</v>
      </c>
      <c r="D189" s="15"/>
      <c r="E189" s="15"/>
      <c r="F189" s="15"/>
      <c r="G189" s="15"/>
      <c r="H189" s="15"/>
      <c r="I189" s="15"/>
      <c r="J189" s="15"/>
      <c r="K189" s="15"/>
      <c r="L189" s="329"/>
    </row>
    <row r="190" spans="1:12" ht="16.5" customHeight="1">
      <c r="A190" s="328"/>
      <c r="B190" s="335"/>
      <c r="C190" s="15" t="s">
        <v>54</v>
      </c>
      <c r="D190" s="15"/>
      <c r="E190" s="15"/>
      <c r="F190" s="15"/>
      <c r="G190" s="15"/>
      <c r="H190" s="15"/>
      <c r="I190" s="15"/>
      <c r="J190" s="15"/>
      <c r="K190" s="15"/>
      <c r="L190" s="329"/>
    </row>
    <row r="191" spans="1:12" ht="16.5" customHeight="1">
      <c r="A191" s="328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329"/>
    </row>
    <row r="192" spans="1:12" ht="16.5" customHeight="1">
      <c r="A192" s="328"/>
      <c r="B192" s="15" t="s">
        <v>51</v>
      </c>
      <c r="C192" s="15"/>
      <c r="D192" s="15"/>
      <c r="E192" s="15"/>
      <c r="F192" s="15"/>
      <c r="G192" s="15"/>
      <c r="H192" s="15"/>
      <c r="I192" s="15"/>
      <c r="J192" s="15"/>
      <c r="K192" s="15"/>
      <c r="L192" s="329"/>
    </row>
    <row r="193" spans="1:12" ht="16.5" customHeight="1">
      <c r="A193" s="328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329"/>
    </row>
    <row r="194" spans="1:12" ht="16.5" customHeight="1">
      <c r="A194" s="328"/>
      <c r="B194" s="326"/>
      <c r="C194" s="324"/>
      <c r="D194" s="324"/>
      <c r="E194" s="324"/>
      <c r="F194" s="324"/>
      <c r="G194" s="324"/>
      <c r="H194" s="324"/>
      <c r="I194" s="324"/>
      <c r="J194" s="327"/>
      <c r="K194" s="15"/>
      <c r="L194" s="329"/>
    </row>
    <row r="195" spans="1:12" ht="16.5" customHeight="1">
      <c r="A195" s="328"/>
      <c r="B195" s="331"/>
      <c r="C195" s="330"/>
      <c r="D195" s="330"/>
      <c r="E195" s="330"/>
      <c r="F195" s="330"/>
      <c r="G195" s="330"/>
      <c r="H195" s="330"/>
      <c r="I195" s="330"/>
      <c r="J195" s="332"/>
      <c r="K195" s="15"/>
      <c r="L195" s="329"/>
    </row>
    <row r="196" spans="1:12" ht="16.5" customHeight="1">
      <c r="A196" s="328"/>
      <c r="B196" s="326"/>
      <c r="C196" s="324"/>
      <c r="D196" s="324"/>
      <c r="E196" s="324"/>
      <c r="F196" s="324"/>
      <c r="G196" s="324"/>
      <c r="H196" s="324"/>
      <c r="I196" s="324"/>
      <c r="J196" s="327"/>
      <c r="K196" s="15"/>
      <c r="L196" s="329"/>
    </row>
    <row r="197" spans="1:12" ht="16.5" customHeight="1">
      <c r="A197" s="328"/>
      <c r="B197" s="331"/>
      <c r="C197" s="330"/>
      <c r="D197" s="330"/>
      <c r="E197" s="330"/>
      <c r="F197" s="330"/>
      <c r="G197" s="330"/>
      <c r="H197" s="330"/>
      <c r="I197" s="330"/>
      <c r="J197" s="332"/>
      <c r="K197" s="15"/>
      <c r="L197" s="329"/>
    </row>
    <row r="198" spans="1:12" ht="16.5" customHeight="1">
      <c r="A198" s="328"/>
      <c r="B198" s="326"/>
      <c r="C198" s="324"/>
      <c r="D198" s="324"/>
      <c r="E198" s="324"/>
      <c r="F198" s="324"/>
      <c r="G198" s="324"/>
      <c r="H198" s="324"/>
      <c r="I198" s="324"/>
      <c r="J198" s="327"/>
      <c r="K198" s="15"/>
      <c r="L198" s="329"/>
    </row>
    <row r="199" spans="1:12" ht="16.5" customHeight="1">
      <c r="A199" s="328"/>
      <c r="B199" s="331"/>
      <c r="C199" s="330"/>
      <c r="D199" s="330"/>
      <c r="E199" s="330"/>
      <c r="F199" s="330"/>
      <c r="G199" s="330"/>
      <c r="H199" s="330"/>
      <c r="I199" s="330"/>
      <c r="J199" s="332"/>
      <c r="K199" s="15"/>
      <c r="L199" s="329"/>
    </row>
    <row r="200" spans="1:12" ht="16.5" customHeight="1">
      <c r="A200" s="328"/>
      <c r="B200" s="324"/>
      <c r="C200" s="324"/>
      <c r="D200" s="324"/>
      <c r="E200" s="324"/>
      <c r="F200" s="324"/>
      <c r="G200" s="324"/>
      <c r="H200" s="324"/>
      <c r="I200" s="324"/>
      <c r="J200" s="324"/>
      <c r="K200" s="15"/>
      <c r="L200" s="329"/>
    </row>
    <row r="201" spans="1:12" ht="16.5" customHeight="1">
      <c r="A201" s="331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2"/>
    </row>
    <row r="202" spans="1:12" ht="9.9499999999999993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</row>
    <row r="203" spans="1:12">
      <c r="A203" s="589" t="s">
        <v>561</v>
      </c>
      <c r="B203" s="589"/>
      <c r="C203" s="589"/>
      <c r="D203" s="589"/>
      <c r="E203" s="589"/>
      <c r="F203" s="589"/>
      <c r="G203" s="589"/>
      <c r="H203" s="589"/>
      <c r="I203" s="589"/>
      <c r="J203" s="589"/>
      <c r="K203" s="589"/>
      <c r="L203" s="589"/>
    </row>
    <row r="204" spans="1:12">
      <c r="A204" s="306" t="s">
        <v>902</v>
      </c>
      <c r="B204" s="306"/>
      <c r="C204" s="306"/>
      <c r="D204" s="306"/>
      <c r="E204" s="306"/>
      <c r="F204" s="306"/>
      <c r="G204" s="306"/>
      <c r="H204" s="306"/>
      <c r="I204" s="306"/>
      <c r="J204" s="306"/>
      <c r="K204" s="306"/>
      <c r="L204" s="306"/>
    </row>
    <row r="205" spans="1:12">
      <c r="A205" s="590" t="s">
        <v>562</v>
      </c>
      <c r="B205" s="590"/>
      <c r="C205" s="590"/>
      <c r="D205" s="590"/>
      <c r="E205" s="590"/>
      <c r="F205" s="590"/>
      <c r="G205" s="590"/>
      <c r="H205" s="590"/>
      <c r="I205" s="590"/>
      <c r="J205" s="590"/>
      <c r="K205" s="590"/>
      <c r="L205" s="590"/>
    </row>
    <row r="206" spans="1:12" ht="9.9499999999999993" customHeight="1"/>
    <row r="207" spans="1:12" ht="34.5" customHeight="1">
      <c r="D207" s="591" t="s">
        <v>917</v>
      </c>
      <c r="E207" s="591"/>
      <c r="F207" s="591"/>
      <c r="G207" s="591"/>
      <c r="H207" s="591"/>
      <c r="I207" s="591"/>
    </row>
    <row r="209" spans="1:12">
      <c r="A209" s="403" t="s">
        <v>918</v>
      </c>
      <c r="B209" s="404"/>
      <c r="C209" s="404"/>
      <c r="D209" s="404"/>
      <c r="E209" s="404"/>
      <c r="F209" s="404"/>
      <c r="G209" s="404"/>
      <c r="H209" s="404"/>
      <c r="I209" s="404"/>
      <c r="J209" s="404"/>
      <c r="K209" s="404"/>
      <c r="L209" s="405"/>
    </row>
    <row r="210" spans="1:12" ht="11.25" customHeight="1">
      <c r="D210" s="67"/>
    </row>
    <row r="211" spans="1:12" ht="19.5" customHeight="1">
      <c r="A211" s="15" t="s">
        <v>563</v>
      </c>
      <c r="B211" s="15"/>
      <c r="C211" s="329"/>
      <c r="D211" s="592" t="e">
        <f>G226*G227</f>
        <v>#VALUE!</v>
      </c>
      <c r="E211" s="593"/>
      <c r="G211" s="391" t="s">
        <v>928</v>
      </c>
      <c r="I211" s="354"/>
      <c r="J211" s="594"/>
      <c r="K211" s="594"/>
      <c r="L211" s="594"/>
    </row>
    <row r="213" spans="1:12" ht="12" customHeight="1">
      <c r="A213" s="418" t="s">
        <v>56</v>
      </c>
      <c r="B213" s="418"/>
      <c r="C213" s="418"/>
      <c r="D213" s="418"/>
      <c r="E213" s="418" t="s">
        <v>57</v>
      </c>
      <c r="F213" s="418"/>
      <c r="G213" s="418" t="s">
        <v>58</v>
      </c>
      <c r="H213" s="418"/>
      <c r="I213" s="418" t="s">
        <v>59</v>
      </c>
      <c r="J213" s="418"/>
      <c r="K213" s="418"/>
      <c r="L213" s="418"/>
    </row>
    <row r="214" spans="1:12" ht="16.5" customHeight="1">
      <c r="A214" s="418"/>
      <c r="B214" s="418"/>
      <c r="C214" s="418"/>
      <c r="D214" s="418"/>
      <c r="E214" s="418"/>
      <c r="F214" s="418"/>
      <c r="G214" s="418"/>
      <c r="H214" s="418"/>
      <c r="I214" s="418"/>
      <c r="J214" s="418"/>
      <c r="K214" s="418"/>
      <c r="L214" s="418"/>
    </row>
    <row r="215" spans="1:12" s="60" customFormat="1" ht="19.5" customHeight="1">
      <c r="A215" s="579"/>
      <c r="B215" s="579"/>
      <c r="C215" s="579"/>
      <c r="D215" s="579"/>
      <c r="E215" s="355"/>
      <c r="F215" s="356"/>
      <c r="G215" s="357"/>
      <c r="H215" s="356"/>
      <c r="I215" s="580"/>
      <c r="J215" s="581"/>
      <c r="K215" s="582"/>
      <c r="L215" s="583"/>
    </row>
    <row r="216" spans="1:12" s="60" customFormat="1" ht="19.5" customHeight="1">
      <c r="A216" s="579"/>
      <c r="B216" s="579"/>
      <c r="C216" s="579"/>
      <c r="D216" s="579"/>
      <c r="E216" s="392"/>
      <c r="F216" s="356"/>
      <c r="G216" s="357"/>
      <c r="H216" s="356"/>
      <c r="I216" s="580"/>
      <c r="J216" s="581"/>
      <c r="K216" s="582"/>
      <c r="L216" s="583"/>
    </row>
    <row r="217" spans="1:12" s="60" customFormat="1" ht="19.5" customHeight="1">
      <c r="A217" s="579"/>
      <c r="B217" s="579"/>
      <c r="C217" s="579"/>
      <c r="D217" s="579"/>
      <c r="E217" s="355"/>
      <c r="F217" s="356"/>
      <c r="G217" s="357"/>
      <c r="H217" s="356"/>
      <c r="I217" s="580"/>
      <c r="J217" s="581"/>
      <c r="K217" s="582"/>
      <c r="L217" s="583"/>
    </row>
    <row r="218" spans="1:12" s="60" customFormat="1" ht="19.5" customHeight="1">
      <c r="A218" s="579"/>
      <c r="B218" s="579"/>
      <c r="C218" s="579"/>
      <c r="D218" s="579"/>
      <c r="E218" s="355"/>
      <c r="F218" s="356"/>
      <c r="G218" s="357"/>
      <c r="H218" s="356"/>
      <c r="I218" s="580"/>
      <c r="J218" s="581"/>
      <c r="K218" s="582"/>
      <c r="L218" s="583"/>
    </row>
    <row r="219" spans="1:12" s="60" customFormat="1" ht="19.5" customHeight="1">
      <c r="A219" s="579"/>
      <c r="B219" s="579"/>
      <c r="C219" s="579"/>
      <c r="D219" s="579"/>
      <c r="E219" s="355"/>
      <c r="F219" s="356"/>
      <c r="G219" s="357"/>
      <c r="H219" s="356"/>
      <c r="I219" s="580"/>
      <c r="J219" s="581"/>
      <c r="K219" s="582"/>
      <c r="L219" s="583"/>
    </row>
    <row r="220" spans="1:12" s="60" customFormat="1" ht="19.5" customHeight="1">
      <c r="A220" s="579"/>
      <c r="B220" s="579"/>
      <c r="C220" s="579"/>
      <c r="D220" s="579"/>
      <c r="E220" s="392"/>
      <c r="F220" s="356"/>
      <c r="G220" s="357"/>
      <c r="H220" s="356"/>
      <c r="I220" s="580"/>
      <c r="J220" s="581"/>
      <c r="K220" s="582"/>
      <c r="L220" s="583"/>
    </row>
    <row r="221" spans="1:12" s="60" customFormat="1" ht="19.5" customHeight="1">
      <c r="A221" s="579"/>
      <c r="B221" s="579"/>
      <c r="C221" s="579"/>
      <c r="D221" s="579"/>
      <c r="E221" s="355"/>
      <c r="F221" s="356"/>
      <c r="G221" s="357"/>
      <c r="H221" s="356"/>
      <c r="I221" s="580"/>
      <c r="J221" s="581"/>
      <c r="K221" s="582"/>
      <c r="L221" s="583"/>
    </row>
    <row r="222" spans="1:12" s="60" customFormat="1" ht="19.5" customHeight="1" thickBot="1">
      <c r="A222" s="565"/>
      <c r="B222" s="565"/>
      <c r="C222" s="565"/>
      <c r="D222" s="565"/>
      <c r="E222" s="361"/>
      <c r="F222" s="362"/>
      <c r="G222" s="363"/>
      <c r="H222" s="362"/>
      <c r="I222" s="586"/>
      <c r="J222" s="587"/>
      <c r="K222" s="587"/>
      <c r="L222" s="588"/>
    </row>
    <row r="223" spans="1:12" s="60" customFormat="1" ht="19.5" customHeight="1">
      <c r="A223" s="565"/>
      <c r="B223" s="565"/>
      <c r="C223" s="565"/>
      <c r="D223" s="566"/>
      <c r="E223" s="584" t="s">
        <v>438</v>
      </c>
      <c r="F223" s="585"/>
      <c r="G223" s="364">
        <f>SUM(G215:G222)</f>
        <v>0</v>
      </c>
      <c r="H223" s="365" t="s">
        <v>198</v>
      </c>
      <c r="I223" s="574"/>
      <c r="J223" s="575"/>
      <c r="K223" s="575"/>
      <c r="L223" s="576"/>
    </row>
    <row r="224" spans="1:12" s="60" customFormat="1" ht="19.5" customHeight="1">
      <c r="A224" s="565"/>
      <c r="B224" s="565"/>
      <c r="C224" s="565"/>
      <c r="D224" s="566"/>
      <c r="E224" s="572" t="s">
        <v>434</v>
      </c>
      <c r="F224" s="573"/>
      <c r="G224" s="358">
        <v>0</v>
      </c>
      <c r="H224" s="366" t="s">
        <v>198</v>
      </c>
      <c r="I224" s="574"/>
      <c r="J224" s="575"/>
      <c r="K224" s="575"/>
      <c r="L224" s="576"/>
    </row>
    <row r="225" spans="1:12" s="60" customFormat="1" ht="19.5" customHeight="1">
      <c r="A225" s="565"/>
      <c r="B225" s="565"/>
      <c r="C225" s="565"/>
      <c r="D225" s="566"/>
      <c r="E225" s="572"/>
      <c r="F225" s="573"/>
      <c r="G225" s="359"/>
      <c r="H225" s="366"/>
      <c r="I225" s="574"/>
      <c r="J225" s="575"/>
      <c r="K225" s="575"/>
      <c r="L225" s="576"/>
    </row>
    <row r="226" spans="1:12" s="60" customFormat="1" ht="19.5" customHeight="1">
      <c r="A226" s="565"/>
      <c r="B226" s="565"/>
      <c r="C226" s="565"/>
      <c r="D226" s="566"/>
      <c r="E226" s="577" t="s">
        <v>435</v>
      </c>
      <c r="F226" s="578"/>
      <c r="G226" s="358">
        <f>G223</f>
        <v>0</v>
      </c>
      <c r="H226" s="366" t="s">
        <v>198</v>
      </c>
      <c r="I226" s="574"/>
      <c r="J226" s="575"/>
      <c r="K226" s="575"/>
      <c r="L226" s="576"/>
    </row>
    <row r="227" spans="1:12" s="60" customFormat="1" ht="19.5" customHeight="1">
      <c r="A227" s="565"/>
      <c r="B227" s="565"/>
      <c r="C227" s="565"/>
      <c r="D227" s="566"/>
      <c r="E227" s="577" t="s">
        <v>436</v>
      </c>
      <c r="F227" s="578"/>
      <c r="G227" s="357" t="str">
        <f>DATOS!D13</f>
        <v>-</v>
      </c>
      <c r="H227" s="366" t="s">
        <v>437</v>
      </c>
      <c r="I227" s="574"/>
      <c r="J227" s="575"/>
      <c r="K227" s="575"/>
      <c r="L227" s="576"/>
    </row>
    <row r="228" spans="1:12" s="60" customFormat="1" ht="19.5" customHeight="1" thickBot="1">
      <c r="A228" s="565"/>
      <c r="B228" s="565"/>
      <c r="C228" s="565"/>
      <c r="D228" s="566"/>
      <c r="E228" s="567" t="s">
        <v>496</v>
      </c>
      <c r="F228" s="568"/>
      <c r="G228" s="360">
        <v>0</v>
      </c>
      <c r="H228" s="367" t="s">
        <v>198</v>
      </c>
      <c r="I228" s="569"/>
      <c r="J228" s="570"/>
      <c r="K228" s="570"/>
      <c r="L228" s="571"/>
    </row>
    <row r="229" spans="1:12" ht="15" customHeight="1">
      <c r="H229" s="540"/>
      <c r="I229" s="540"/>
      <c r="J229" s="540"/>
    </row>
    <row r="230" spans="1:12" ht="16.5" customHeight="1">
      <c r="A230" s="403" t="s">
        <v>864</v>
      </c>
      <c r="B230" s="404"/>
      <c r="C230" s="404"/>
      <c r="D230" s="404"/>
      <c r="E230" s="404"/>
      <c r="F230" s="404"/>
      <c r="G230" s="404"/>
      <c r="H230" s="404"/>
      <c r="I230" s="404"/>
      <c r="J230" s="404"/>
      <c r="K230" s="404"/>
      <c r="L230" s="405"/>
    </row>
    <row r="231" spans="1:12" ht="19.5" customHeight="1">
      <c r="A231" s="15"/>
      <c r="B231" s="15"/>
      <c r="C231" s="15"/>
      <c r="D231" s="15"/>
      <c r="E231" s="15"/>
      <c r="F231" s="15"/>
      <c r="G231" s="15" t="s">
        <v>60</v>
      </c>
      <c r="H231" s="15"/>
      <c r="I231" s="15"/>
      <c r="J231" s="15"/>
      <c r="K231" s="15"/>
      <c r="L231" s="15"/>
    </row>
    <row r="232" spans="1:12" ht="19.5" customHeight="1">
      <c r="A232" s="15"/>
      <c r="B232" s="15" t="s">
        <v>564</v>
      </c>
      <c r="C232" s="15"/>
      <c r="D232" s="15"/>
      <c r="E232" s="15" t="s">
        <v>565</v>
      </c>
      <c r="F232" s="15"/>
      <c r="G232" s="15"/>
      <c r="H232" s="15"/>
      <c r="I232" s="15" t="s">
        <v>566</v>
      </c>
      <c r="J232" s="15"/>
      <c r="K232" s="15"/>
      <c r="L232" s="15"/>
    </row>
    <row r="233" spans="1:12" ht="19.5" customHeight="1">
      <c r="A233" s="15"/>
      <c r="B233" s="15"/>
      <c r="C233" s="15"/>
      <c r="D233" s="15"/>
      <c r="E233" s="15"/>
      <c r="F233" s="15"/>
      <c r="G233" s="15" t="s">
        <v>61</v>
      </c>
      <c r="H233" s="15"/>
      <c r="I233" s="15"/>
      <c r="J233" s="15"/>
      <c r="K233" s="15"/>
      <c r="L233" s="15"/>
    </row>
    <row r="234" spans="1:12" ht="14.2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1:12" ht="13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1:12" ht="19.5" customHeight="1">
      <c r="A236" s="15"/>
      <c r="B236" s="15" t="s">
        <v>567</v>
      </c>
      <c r="C236" s="15"/>
      <c r="D236" s="15"/>
      <c r="E236" s="15" t="s">
        <v>568</v>
      </c>
      <c r="F236" s="15"/>
      <c r="G236" s="15"/>
      <c r="H236" s="15"/>
      <c r="I236" s="15" t="s">
        <v>569</v>
      </c>
      <c r="J236" s="15"/>
      <c r="K236" s="15"/>
      <c r="L236" s="15"/>
    </row>
    <row r="237" spans="1:1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8" customHeight="1">
      <c r="A238" s="140" t="s">
        <v>865</v>
      </c>
      <c r="B238" s="140"/>
    </row>
    <row r="239" spans="1:12" ht="18" customHeight="1">
      <c r="A239" s="563" t="s">
        <v>927</v>
      </c>
      <c r="B239" s="563"/>
      <c r="C239" s="563"/>
      <c r="D239" s="563"/>
      <c r="E239" s="563"/>
      <c r="F239" s="563"/>
      <c r="G239" s="563"/>
      <c r="H239" s="563"/>
      <c r="I239" s="563"/>
      <c r="J239" s="563"/>
      <c r="K239" s="563"/>
      <c r="L239" s="563"/>
    </row>
    <row r="240" spans="1:12" ht="18" customHeight="1">
      <c r="A240" s="563"/>
      <c r="B240" s="563"/>
      <c r="C240" s="563"/>
      <c r="D240" s="563"/>
      <c r="E240" s="563"/>
      <c r="F240" s="563"/>
      <c r="G240" s="563"/>
      <c r="H240" s="563"/>
      <c r="I240" s="563"/>
      <c r="J240" s="563"/>
      <c r="K240" s="563"/>
      <c r="L240" s="563"/>
    </row>
    <row r="241" spans="1:12" ht="18" customHeight="1">
      <c r="A241" s="563"/>
      <c r="B241" s="563"/>
      <c r="C241" s="563"/>
      <c r="D241" s="563"/>
      <c r="E241" s="563"/>
      <c r="F241" s="563"/>
      <c r="G241" s="563"/>
      <c r="H241" s="563"/>
      <c r="I241" s="563"/>
      <c r="J241" s="563"/>
      <c r="K241" s="563"/>
      <c r="L241" s="563"/>
    </row>
    <row r="242" spans="1:12" ht="18" customHeight="1">
      <c r="A242" s="563"/>
      <c r="B242" s="563"/>
      <c r="C242" s="563"/>
      <c r="D242" s="563"/>
      <c r="E242" s="563"/>
      <c r="F242" s="563"/>
      <c r="G242" s="563"/>
      <c r="H242" s="563"/>
      <c r="I242" s="563"/>
      <c r="J242" s="563"/>
      <c r="K242" s="563"/>
      <c r="L242" s="563"/>
    </row>
    <row r="243" spans="1:12" ht="18" customHeight="1">
      <c r="A243" s="563"/>
      <c r="B243" s="563"/>
      <c r="C243" s="563"/>
      <c r="D243" s="563"/>
      <c r="E243" s="563"/>
      <c r="F243" s="563"/>
      <c r="G243" s="563"/>
      <c r="H243" s="563"/>
      <c r="I243" s="563"/>
      <c r="J243" s="563"/>
      <c r="K243" s="563"/>
      <c r="L243" s="563"/>
    </row>
    <row r="244" spans="1:12" ht="18" customHeight="1">
      <c r="A244" s="563"/>
      <c r="B244" s="563"/>
      <c r="C244" s="563"/>
      <c r="D244" s="563"/>
      <c r="E244" s="563"/>
      <c r="F244" s="563"/>
      <c r="G244" s="563"/>
      <c r="H244" s="563"/>
      <c r="I244" s="563"/>
      <c r="J244" s="563"/>
      <c r="K244" s="563"/>
      <c r="L244" s="563"/>
    </row>
    <row r="245" spans="1:12" ht="18" customHeight="1">
      <c r="A245" s="563"/>
      <c r="B245" s="563"/>
      <c r="C245" s="563"/>
      <c r="D245" s="563"/>
      <c r="E245" s="563"/>
      <c r="F245" s="563"/>
      <c r="G245" s="563"/>
      <c r="H245" s="563"/>
      <c r="I245" s="563"/>
      <c r="J245" s="563"/>
      <c r="K245" s="563"/>
      <c r="L245" s="563"/>
    </row>
    <row r="246" spans="1:12" ht="18" customHeight="1">
      <c r="A246" s="563"/>
      <c r="B246" s="563"/>
      <c r="C246" s="563"/>
      <c r="D246" s="563"/>
      <c r="E246" s="563"/>
      <c r="F246" s="563"/>
      <c r="G246" s="563"/>
      <c r="H246" s="563"/>
      <c r="I246" s="563"/>
      <c r="J246" s="563"/>
      <c r="K246" s="563"/>
      <c r="L246" s="563"/>
    </row>
    <row r="247" spans="1:12" ht="18" customHeight="1">
      <c r="A247" s="563"/>
      <c r="B247" s="563"/>
      <c r="C247" s="563"/>
      <c r="D247" s="563"/>
      <c r="E247" s="563"/>
      <c r="F247" s="563"/>
      <c r="G247" s="563"/>
      <c r="H247" s="563"/>
      <c r="I247" s="563"/>
      <c r="J247" s="563"/>
      <c r="K247" s="563"/>
      <c r="L247" s="563"/>
    </row>
    <row r="248" spans="1:12" ht="18" customHeight="1">
      <c r="A248" s="429"/>
      <c r="B248" s="429"/>
      <c r="C248" s="429"/>
      <c r="D248" s="429"/>
      <c r="E248" s="429"/>
      <c r="F248" s="429"/>
      <c r="G248" s="429"/>
      <c r="H248" s="429"/>
      <c r="I248" s="429"/>
      <c r="J248" s="429"/>
      <c r="K248" s="429"/>
      <c r="L248" s="429"/>
    </row>
    <row r="249" spans="1:12" ht="10.5" customHeight="1">
      <c r="A249" s="429"/>
      <c r="B249" s="429"/>
      <c r="C249" s="429"/>
      <c r="D249" s="429"/>
      <c r="E249" s="429"/>
      <c r="F249" s="429"/>
      <c r="G249" s="429"/>
      <c r="H249" s="429"/>
      <c r="I249" s="429"/>
      <c r="J249" s="429"/>
      <c r="K249" s="429"/>
      <c r="L249" s="429"/>
    </row>
    <row r="250" spans="1:12" ht="18" customHeight="1">
      <c r="A250" s="564" t="s">
        <v>69</v>
      </c>
      <c r="B250" s="564"/>
      <c r="C250" s="564"/>
      <c r="D250" s="564"/>
      <c r="E250" s="564"/>
      <c r="F250" s="564"/>
      <c r="G250" s="564"/>
      <c r="H250" s="564"/>
      <c r="I250" s="564"/>
      <c r="J250" s="564"/>
      <c r="K250" s="564"/>
      <c r="L250" s="564"/>
    </row>
    <row r="251" spans="1:12" s="66" customFormat="1" ht="15" customHeight="1">
      <c r="A251" s="560" t="s">
        <v>70</v>
      </c>
      <c r="B251" s="560"/>
      <c r="C251" s="560"/>
      <c r="D251" s="560"/>
      <c r="E251" s="560"/>
      <c r="F251" s="560"/>
      <c r="G251" s="560"/>
      <c r="H251" s="560"/>
      <c r="I251" s="465"/>
      <c r="J251" s="561" t="s">
        <v>62</v>
      </c>
      <c r="K251" s="562"/>
      <c r="L251" s="562"/>
    </row>
    <row r="252" spans="1:12" s="66" customFormat="1" ht="15.75" customHeight="1">
      <c r="A252" s="560" t="s">
        <v>71</v>
      </c>
      <c r="B252" s="560"/>
      <c r="C252" s="560"/>
      <c r="D252" s="560"/>
      <c r="E252" s="560"/>
      <c r="F252" s="560"/>
      <c r="G252" s="560"/>
      <c r="H252" s="560"/>
      <c r="I252" s="465"/>
      <c r="J252" s="561" t="s">
        <v>63</v>
      </c>
      <c r="K252" s="562"/>
      <c r="L252" s="562"/>
    </row>
    <row r="253" spans="1:12" s="66" customFormat="1" ht="15" customHeight="1">
      <c r="A253" s="560" t="s">
        <v>72</v>
      </c>
      <c r="B253" s="560"/>
      <c r="C253" s="560"/>
      <c r="D253" s="560"/>
      <c r="E253" s="560"/>
      <c r="F253" s="560"/>
      <c r="G253" s="560"/>
      <c r="H253" s="560"/>
      <c r="I253" s="465"/>
      <c r="J253" s="561" t="s">
        <v>64</v>
      </c>
      <c r="K253" s="562"/>
      <c r="L253" s="562"/>
    </row>
    <row r="254" spans="1:12" s="66" customFormat="1" ht="15.75" customHeight="1">
      <c r="A254" s="560" t="s">
        <v>73</v>
      </c>
      <c r="B254" s="560"/>
      <c r="C254" s="560"/>
      <c r="D254" s="560"/>
      <c r="E254" s="560"/>
      <c r="F254" s="560"/>
      <c r="G254" s="560"/>
      <c r="H254" s="560"/>
      <c r="I254" s="465"/>
      <c r="J254" s="561" t="s">
        <v>65</v>
      </c>
      <c r="K254" s="562"/>
      <c r="L254" s="562"/>
    </row>
    <row r="255" spans="1:12" s="66" customFormat="1" ht="15" customHeight="1">
      <c r="A255" s="560" t="s">
        <v>74</v>
      </c>
      <c r="B255" s="560"/>
      <c r="C255" s="560"/>
      <c r="D255" s="560"/>
      <c r="E255" s="560"/>
      <c r="F255" s="560"/>
      <c r="G255" s="560"/>
      <c r="H255" s="560"/>
      <c r="I255" s="465"/>
      <c r="J255" s="561" t="s">
        <v>66</v>
      </c>
      <c r="K255" s="562"/>
      <c r="L255" s="562"/>
    </row>
    <row r="256" spans="1:12" s="66" customFormat="1" ht="15" customHeight="1">
      <c r="A256" s="560" t="s">
        <v>75</v>
      </c>
      <c r="B256" s="560"/>
      <c r="C256" s="560"/>
      <c r="D256" s="560"/>
      <c r="E256" s="560"/>
      <c r="F256" s="560"/>
      <c r="G256" s="560"/>
      <c r="H256" s="560"/>
      <c r="I256" s="465"/>
      <c r="J256" s="561" t="s">
        <v>67</v>
      </c>
      <c r="K256" s="562"/>
      <c r="L256" s="562"/>
    </row>
    <row r="257" spans="1:12" s="66" customFormat="1" ht="15" customHeight="1">
      <c r="A257" s="560" t="s">
        <v>76</v>
      </c>
      <c r="B257" s="560"/>
      <c r="C257" s="560"/>
      <c r="D257" s="560"/>
      <c r="E257" s="560"/>
      <c r="F257" s="560"/>
      <c r="G257" s="560"/>
      <c r="H257" s="560"/>
      <c r="I257" s="465"/>
      <c r="J257" s="561" t="s">
        <v>68</v>
      </c>
      <c r="K257" s="562"/>
      <c r="L257" s="562"/>
    </row>
    <row r="258" spans="1:12" s="66" customFormat="1" ht="1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374"/>
      <c r="K258" s="374"/>
      <c r="L258" s="374"/>
    </row>
    <row r="259" spans="1:12">
      <c r="A259" s="306" t="s">
        <v>570</v>
      </c>
    </row>
    <row r="260" spans="1:12">
      <c r="A260" s="306" t="s">
        <v>571</v>
      </c>
    </row>
    <row r="261" spans="1:12">
      <c r="A261" s="306" t="s">
        <v>572</v>
      </c>
    </row>
    <row r="262" spans="1:12">
      <c r="A262" s="403" t="s">
        <v>77</v>
      </c>
      <c r="B262" s="404"/>
      <c r="C262" s="404"/>
      <c r="D262" s="404"/>
      <c r="E262" s="404"/>
      <c r="F262" s="404"/>
      <c r="G262" s="404"/>
      <c r="H262" s="404"/>
      <c r="I262" s="404"/>
      <c r="J262" s="404"/>
      <c r="K262" s="404"/>
      <c r="L262" s="405"/>
    </row>
    <row r="263" spans="1:1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</row>
    <row r="264" spans="1:12" ht="19.7" customHeight="1">
      <c r="A264" s="429"/>
      <c r="B264" s="429"/>
      <c r="C264" s="429"/>
      <c r="D264" s="429"/>
      <c r="E264" s="429"/>
      <c r="F264" s="429"/>
      <c r="G264" s="429"/>
      <c r="H264" s="429"/>
      <c r="I264" s="429"/>
      <c r="J264" s="429"/>
      <c r="K264" s="429"/>
      <c r="L264" s="429"/>
    </row>
    <row r="265" spans="1:12" ht="19.7" customHeight="1">
      <c r="A265" s="429"/>
      <c r="B265" s="429"/>
      <c r="C265" s="429"/>
      <c r="D265" s="429"/>
      <c r="E265" s="429"/>
      <c r="F265" s="429"/>
      <c r="G265" s="429"/>
      <c r="H265" s="429"/>
      <c r="I265" s="429"/>
      <c r="J265" s="429"/>
      <c r="K265" s="429"/>
      <c r="L265" s="429"/>
    </row>
    <row r="266" spans="1:12" ht="19.7" customHeight="1">
      <c r="A266" s="429"/>
      <c r="B266" s="429"/>
      <c r="C266" s="429"/>
      <c r="D266" s="429"/>
      <c r="E266" s="429"/>
      <c r="F266" s="429"/>
      <c r="G266" s="429"/>
      <c r="H266" s="429"/>
      <c r="I266" s="429"/>
      <c r="J266" s="429"/>
      <c r="K266" s="429"/>
      <c r="L266" s="429"/>
    </row>
    <row r="267" spans="1:12" ht="19.7" customHeight="1">
      <c r="A267" s="429"/>
      <c r="B267" s="429"/>
      <c r="C267" s="429"/>
      <c r="D267" s="429"/>
      <c r="E267" s="429"/>
      <c r="F267" s="429"/>
      <c r="G267" s="429"/>
      <c r="H267" s="429"/>
      <c r="I267" s="429"/>
      <c r="J267" s="429"/>
      <c r="K267" s="429"/>
      <c r="L267" s="429"/>
    </row>
    <row r="268" spans="1:12" ht="19.7" customHeight="1">
      <c r="A268" s="429"/>
      <c r="B268" s="429"/>
      <c r="C268" s="429"/>
      <c r="D268" s="429"/>
      <c r="E268" s="429"/>
      <c r="F268" s="429"/>
      <c r="G268" s="429"/>
      <c r="H268" s="429"/>
      <c r="I268" s="429"/>
      <c r="J268" s="429"/>
      <c r="K268" s="429"/>
      <c r="L268" s="429"/>
    </row>
    <row r="269" spans="1:12" ht="19.7" customHeight="1">
      <c r="A269" s="429"/>
      <c r="B269" s="429"/>
      <c r="C269" s="429"/>
      <c r="D269" s="429"/>
      <c r="E269" s="429"/>
      <c r="F269" s="429"/>
      <c r="G269" s="429"/>
      <c r="H269" s="429"/>
      <c r="I269" s="429"/>
      <c r="J269" s="429"/>
      <c r="K269" s="429"/>
      <c r="L269" s="429"/>
    </row>
    <row r="270" spans="1:12" ht="19.7" customHeight="1">
      <c r="A270" s="429"/>
      <c r="B270" s="429"/>
      <c r="C270" s="429"/>
      <c r="D270" s="429"/>
      <c r="E270" s="429"/>
      <c r="F270" s="429"/>
      <c r="G270" s="429"/>
      <c r="H270" s="429"/>
      <c r="I270" s="429"/>
      <c r="J270" s="429"/>
      <c r="K270" s="429"/>
      <c r="L270" s="429"/>
    </row>
    <row r="271" spans="1:12" ht="19.7" customHeight="1">
      <c r="A271" s="429"/>
      <c r="B271" s="429"/>
      <c r="C271" s="429"/>
      <c r="D271" s="429"/>
      <c r="E271" s="429"/>
      <c r="F271" s="429"/>
      <c r="G271" s="429"/>
      <c r="H271" s="429"/>
      <c r="I271" s="429"/>
      <c r="J271" s="429"/>
      <c r="K271" s="429"/>
      <c r="L271" s="429"/>
    </row>
    <row r="272" spans="1:12" ht="19.7" customHeight="1">
      <c r="A272" s="429"/>
      <c r="B272" s="429"/>
      <c r="C272" s="429"/>
      <c r="D272" s="429"/>
      <c r="E272" s="429"/>
      <c r="F272" s="429"/>
      <c r="G272" s="429"/>
      <c r="H272" s="429"/>
      <c r="I272" s="429"/>
      <c r="J272" s="429"/>
      <c r="K272" s="429"/>
      <c r="L272" s="429"/>
    </row>
    <row r="273" spans="1:1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</row>
    <row r="274" spans="1:12">
      <c r="A274" s="403" t="s">
        <v>78</v>
      </c>
      <c r="B274" s="404"/>
      <c r="C274" s="404"/>
      <c r="D274" s="404"/>
      <c r="E274" s="404"/>
      <c r="F274" s="404"/>
      <c r="G274" s="404"/>
      <c r="H274" s="404"/>
      <c r="I274" s="404"/>
      <c r="J274" s="404"/>
      <c r="K274" s="404"/>
      <c r="L274" s="405"/>
    </row>
    <row r="275" spans="1:1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</row>
    <row r="276" spans="1:12">
      <c r="A276" s="326"/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7"/>
    </row>
    <row r="277" spans="1:12">
      <c r="A277" s="328"/>
      <c r="B277" s="15" t="s">
        <v>79</v>
      </c>
      <c r="D277" s="15"/>
      <c r="E277" s="15"/>
      <c r="F277" s="15"/>
      <c r="G277" s="15" t="s">
        <v>81</v>
      </c>
      <c r="H277" s="15"/>
      <c r="I277" s="15"/>
      <c r="J277" s="15"/>
      <c r="K277" s="15"/>
      <c r="L277" s="329"/>
    </row>
    <row r="278" spans="1:12">
      <c r="A278" s="328"/>
      <c r="B278" s="15"/>
      <c r="D278" s="15"/>
      <c r="E278" s="15"/>
      <c r="F278" s="15"/>
      <c r="G278" s="15"/>
      <c r="H278" s="15"/>
      <c r="I278" s="15"/>
      <c r="J278" s="15"/>
      <c r="K278" s="15"/>
      <c r="L278" s="329"/>
    </row>
    <row r="279" spans="1:12">
      <c r="A279" s="328"/>
      <c r="B279" s="15" t="s">
        <v>573</v>
      </c>
      <c r="D279" s="15"/>
      <c r="E279" s="15"/>
      <c r="F279" s="15"/>
      <c r="G279" s="15" t="s">
        <v>574</v>
      </c>
      <c r="H279" s="15"/>
      <c r="I279" s="15"/>
      <c r="J279" s="15"/>
      <c r="K279" s="15"/>
      <c r="L279" s="329"/>
    </row>
    <row r="280" spans="1:12">
      <c r="A280" s="328"/>
      <c r="B280" s="15" t="s">
        <v>575</v>
      </c>
      <c r="D280" s="15"/>
      <c r="E280" s="15"/>
      <c r="F280" s="15"/>
      <c r="G280" s="15" t="s">
        <v>82</v>
      </c>
      <c r="H280" s="15"/>
      <c r="I280" s="15"/>
      <c r="J280" s="15"/>
      <c r="K280" s="15"/>
      <c r="L280" s="329"/>
    </row>
    <row r="281" spans="1:12">
      <c r="A281" s="328"/>
      <c r="B281" s="15"/>
      <c r="D281" s="15"/>
      <c r="E281" s="15"/>
      <c r="F281" s="15"/>
      <c r="G281" s="15"/>
      <c r="H281" s="15"/>
      <c r="I281" s="15"/>
      <c r="J281" s="15"/>
      <c r="K281" s="15"/>
      <c r="L281" s="329"/>
    </row>
    <row r="282" spans="1:12">
      <c r="A282" s="328"/>
      <c r="B282" s="15" t="s">
        <v>80</v>
      </c>
      <c r="D282" s="15"/>
      <c r="E282" s="15"/>
      <c r="F282" s="15"/>
      <c r="G282" s="15" t="s">
        <v>576</v>
      </c>
      <c r="H282" s="15"/>
      <c r="I282" s="15"/>
      <c r="J282" s="15"/>
      <c r="K282" s="15"/>
      <c r="L282" s="329"/>
    </row>
    <row r="283" spans="1:12">
      <c r="A283" s="328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329"/>
    </row>
    <row r="284" spans="1:12">
      <c r="A284" s="328"/>
      <c r="B284" s="15"/>
      <c r="C284" s="15"/>
      <c r="D284" s="15"/>
      <c r="E284" s="15"/>
      <c r="F284" s="15"/>
      <c r="G284" s="15" t="s">
        <v>83</v>
      </c>
      <c r="H284" s="330"/>
      <c r="I284" s="330"/>
      <c r="J284" s="330"/>
      <c r="K284" s="15"/>
      <c r="L284" s="329"/>
    </row>
    <row r="285" spans="1:12">
      <c r="A285" s="328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329"/>
    </row>
    <row r="286" spans="1:12">
      <c r="A286" s="331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2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403" t="s">
        <v>84</v>
      </c>
      <c r="B288" s="404"/>
      <c r="C288" s="404"/>
      <c r="D288" s="404"/>
      <c r="E288" s="404"/>
      <c r="F288" s="404"/>
      <c r="G288" s="404"/>
      <c r="H288" s="404"/>
      <c r="I288" s="404"/>
      <c r="J288" s="404"/>
      <c r="K288" s="404"/>
      <c r="L288" s="405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22.5" customHeight="1">
      <c r="A290" s="559" t="s">
        <v>85</v>
      </c>
      <c r="B290" s="559"/>
      <c r="C290" s="557" t="s">
        <v>577</v>
      </c>
      <c r="D290" s="557"/>
      <c r="E290" s="557" t="s">
        <v>86</v>
      </c>
      <c r="F290" s="559" t="s">
        <v>87</v>
      </c>
      <c r="G290" s="557" t="s">
        <v>88</v>
      </c>
      <c r="H290" s="557" t="s">
        <v>578</v>
      </c>
      <c r="I290" s="557" t="s">
        <v>579</v>
      </c>
      <c r="J290" s="557" t="s">
        <v>580</v>
      </c>
      <c r="K290" s="558"/>
      <c r="L290" s="558"/>
    </row>
    <row r="291" spans="1:12" ht="22.5" customHeight="1">
      <c r="A291" s="559"/>
      <c r="B291" s="559"/>
      <c r="C291" s="557"/>
      <c r="D291" s="557"/>
      <c r="E291" s="557"/>
      <c r="F291" s="559"/>
      <c r="G291" s="557"/>
      <c r="H291" s="557"/>
      <c r="I291" s="557"/>
      <c r="J291" s="557"/>
      <c r="K291" s="558"/>
      <c r="L291" s="558"/>
    </row>
    <row r="292" spans="1:12" ht="22.5" customHeight="1">
      <c r="A292" s="559"/>
      <c r="B292" s="559"/>
      <c r="C292" s="557"/>
      <c r="D292" s="557"/>
      <c r="E292" s="557"/>
      <c r="F292" s="559"/>
      <c r="G292" s="557"/>
      <c r="H292" s="557"/>
      <c r="I292" s="557"/>
      <c r="J292" s="557"/>
      <c r="K292" s="558"/>
      <c r="L292" s="558"/>
    </row>
    <row r="293" spans="1:12" ht="22.5" customHeight="1">
      <c r="A293" s="550"/>
      <c r="B293" s="550"/>
      <c r="C293" s="551"/>
      <c r="D293" s="551"/>
      <c r="E293" s="344"/>
      <c r="F293" s="343"/>
      <c r="G293" s="344"/>
      <c r="H293" s="345"/>
      <c r="I293" s="345"/>
      <c r="J293" s="552"/>
      <c r="K293" s="552"/>
      <c r="L293" s="552"/>
    </row>
    <row r="294" spans="1:12" ht="22.5" customHeight="1">
      <c r="A294" s="550"/>
      <c r="B294" s="550"/>
      <c r="C294" s="551"/>
      <c r="D294" s="551"/>
      <c r="E294" s="344"/>
      <c r="F294" s="343"/>
      <c r="G294" s="344"/>
      <c r="H294" s="345"/>
      <c r="I294" s="345"/>
      <c r="J294" s="552"/>
      <c r="K294" s="552"/>
      <c r="L294" s="552"/>
    </row>
    <row r="295" spans="1:12" ht="22.5" customHeight="1">
      <c r="A295" s="550"/>
      <c r="B295" s="550"/>
      <c r="C295" s="551"/>
      <c r="D295" s="551"/>
      <c r="E295" s="344"/>
      <c r="F295" s="343"/>
      <c r="G295" s="344"/>
      <c r="H295" s="345"/>
      <c r="I295" s="345"/>
      <c r="J295" s="552"/>
      <c r="K295" s="552"/>
      <c r="L295" s="552"/>
    </row>
    <row r="296" spans="1:12" ht="22.5" customHeight="1">
      <c r="A296" s="550"/>
      <c r="B296" s="550"/>
      <c r="C296" s="551"/>
      <c r="D296" s="551"/>
      <c r="E296" s="344"/>
      <c r="F296" s="343"/>
      <c r="G296" s="344"/>
      <c r="H296" s="345"/>
      <c r="I296" s="345"/>
      <c r="J296" s="552"/>
      <c r="K296" s="552"/>
      <c r="L296" s="552"/>
    </row>
    <row r="297" spans="1:12" ht="22.5" customHeight="1">
      <c r="A297" s="550"/>
      <c r="B297" s="550"/>
      <c r="C297" s="551"/>
      <c r="D297" s="551"/>
      <c r="E297" s="343"/>
      <c r="F297" s="343"/>
      <c r="G297" s="344"/>
      <c r="H297" s="345"/>
      <c r="I297" s="345"/>
      <c r="J297" s="555"/>
      <c r="K297" s="555"/>
      <c r="L297" s="555"/>
    </row>
    <row r="298" spans="1:12" ht="22.5" customHeight="1">
      <c r="A298" s="550"/>
      <c r="B298" s="550"/>
      <c r="C298" s="551"/>
      <c r="D298" s="551"/>
      <c r="E298" s="343"/>
      <c r="F298" s="343"/>
      <c r="G298" s="344"/>
      <c r="H298" s="345"/>
      <c r="I298" s="345"/>
      <c r="J298" s="555"/>
      <c r="K298" s="555"/>
      <c r="L298" s="555"/>
    </row>
    <row r="299" spans="1:12" ht="22.5" customHeight="1">
      <c r="A299" s="465"/>
      <c r="B299" s="466"/>
      <c r="C299" s="553"/>
      <c r="D299" s="554"/>
      <c r="E299" s="343"/>
      <c r="F299" s="343"/>
      <c r="G299" s="344"/>
      <c r="H299" s="345"/>
      <c r="I299" s="345"/>
      <c r="J299" s="555"/>
      <c r="K299" s="556"/>
      <c r="L299" s="556"/>
    </row>
    <row r="300" spans="1:12" ht="22.5" customHeight="1">
      <c r="A300" s="465"/>
      <c r="B300" s="466"/>
      <c r="C300" s="553"/>
      <c r="D300" s="554"/>
      <c r="E300" s="343"/>
      <c r="F300" s="343"/>
      <c r="G300" s="344"/>
      <c r="H300" s="345"/>
      <c r="I300" s="342"/>
      <c r="J300" s="555"/>
      <c r="K300" s="556"/>
      <c r="L300" s="556"/>
    </row>
    <row r="301" spans="1:12" ht="22.5" customHeight="1">
      <c r="A301" s="560"/>
      <c r="B301" s="560"/>
      <c r="C301" s="550"/>
      <c r="D301" s="550"/>
      <c r="E301" s="342"/>
      <c r="F301" s="342"/>
      <c r="G301" s="342"/>
      <c r="H301" s="342"/>
      <c r="I301" s="342"/>
      <c r="J301" s="550"/>
      <c r="K301" s="430"/>
      <c r="L301" s="430"/>
    </row>
    <row r="302" spans="1:12" ht="22.5" customHeight="1">
      <c r="A302" s="560"/>
      <c r="B302" s="560"/>
      <c r="C302" s="550"/>
      <c r="D302" s="550"/>
      <c r="E302" s="342"/>
      <c r="F302" s="342"/>
      <c r="G302" s="342"/>
      <c r="H302" s="342"/>
      <c r="I302" s="342"/>
      <c r="J302" s="550"/>
      <c r="K302" s="430"/>
      <c r="L302" s="430"/>
    </row>
    <row r="303" spans="1:12" ht="22.5" customHeight="1">
      <c r="A303" s="560"/>
      <c r="B303" s="560"/>
      <c r="C303" s="550"/>
      <c r="D303" s="550"/>
      <c r="E303" s="342"/>
      <c r="F303" s="342"/>
      <c r="G303" s="342"/>
      <c r="H303" s="342"/>
      <c r="I303" s="342"/>
      <c r="J303" s="550"/>
      <c r="K303" s="430"/>
      <c r="L303" s="430"/>
    </row>
    <row r="304" spans="1:12" ht="22.5" customHeight="1">
      <c r="A304" s="465"/>
      <c r="B304" s="466"/>
      <c r="C304" s="408"/>
      <c r="D304" s="410"/>
      <c r="E304" s="342"/>
      <c r="F304" s="342"/>
      <c r="G304" s="342"/>
      <c r="H304" s="342"/>
      <c r="I304" s="346" t="s">
        <v>159</v>
      </c>
      <c r="J304" s="617">
        <v>100</v>
      </c>
      <c r="K304" s="618"/>
      <c r="L304" s="619"/>
    </row>
    <row r="305" spans="1:1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>
      <c r="A306" s="306" t="s">
        <v>915</v>
      </c>
    </row>
    <row r="307" spans="1:12">
      <c r="A307" s="306" t="s">
        <v>916</v>
      </c>
    </row>
    <row r="308" spans="1:12">
      <c r="A308" s="306"/>
    </row>
    <row r="310" spans="1:12" ht="44.25" customHeight="1">
      <c r="D310" s="549" t="s">
        <v>89</v>
      </c>
      <c r="E310" s="549"/>
      <c r="F310" s="549"/>
      <c r="G310" s="549"/>
      <c r="H310" s="549"/>
      <c r="I310" s="549"/>
    </row>
    <row r="311" spans="1:12" ht="9.9499999999999993" customHeight="1"/>
    <row r="312" spans="1:12" ht="16.5" customHeight="1">
      <c r="A312" s="453" t="s">
        <v>90</v>
      </c>
      <c r="B312" s="453"/>
      <c r="C312" s="453"/>
      <c r="D312" s="453"/>
      <c r="E312" s="453"/>
      <c r="F312" s="453"/>
      <c r="G312" s="453"/>
      <c r="H312" s="453"/>
      <c r="I312" s="453"/>
      <c r="J312" s="453"/>
      <c r="K312" s="453"/>
      <c r="L312" s="453"/>
    </row>
    <row r="313" spans="1:12" ht="11.25" customHeight="1" thickBot="1"/>
    <row r="314" spans="1:12" ht="27.75" customHeight="1" thickBot="1">
      <c r="A314" s="542" t="s">
        <v>93</v>
      </c>
      <c r="B314" s="543"/>
      <c r="C314" s="544"/>
      <c r="D314" s="545" t="s">
        <v>650</v>
      </c>
      <c r="E314" s="546"/>
      <c r="F314" s="547" t="s">
        <v>651</v>
      </c>
      <c r="G314" s="543"/>
      <c r="H314" s="543"/>
      <c r="I314" s="543"/>
      <c r="J314" s="543"/>
      <c r="K314" s="543"/>
      <c r="L314" s="548"/>
    </row>
    <row r="315" spans="1:12" ht="15" customHeight="1">
      <c r="A315" s="506" t="s">
        <v>830</v>
      </c>
      <c r="B315" s="507"/>
      <c r="C315" s="508"/>
      <c r="D315" s="512" t="s">
        <v>57</v>
      </c>
      <c r="E315" s="514"/>
      <c r="F315" s="516" t="s">
        <v>91</v>
      </c>
      <c r="G315" s="517"/>
      <c r="H315" s="518"/>
      <c r="I315" s="519"/>
      <c r="J315" s="519"/>
      <c r="K315" s="519"/>
      <c r="L315" s="520"/>
    </row>
    <row r="316" spans="1:12" ht="15" customHeight="1">
      <c r="A316" s="509"/>
      <c r="B316" s="510"/>
      <c r="C316" s="511"/>
      <c r="D316" s="513"/>
      <c r="E316" s="515"/>
      <c r="F316" s="347"/>
      <c r="G316" s="348" t="s">
        <v>813</v>
      </c>
      <c r="H316" s="487"/>
      <c r="I316" s="488"/>
      <c r="J316" s="488"/>
      <c r="K316" s="488"/>
      <c r="L316" s="489"/>
    </row>
    <row r="317" spans="1:12" ht="15" customHeight="1">
      <c r="A317" s="509"/>
      <c r="B317" s="510"/>
      <c r="C317" s="511"/>
      <c r="D317" s="521" t="s">
        <v>58</v>
      </c>
      <c r="E317" s="501"/>
      <c r="F317" s="491" t="s">
        <v>92</v>
      </c>
      <c r="G317" s="492"/>
      <c r="H317" s="493"/>
      <c r="I317" s="494"/>
      <c r="J317" s="494"/>
      <c r="K317" s="494"/>
      <c r="L317" s="495"/>
    </row>
    <row r="318" spans="1:12" ht="15" customHeight="1">
      <c r="A318" s="509"/>
      <c r="B318" s="510"/>
      <c r="C318" s="511"/>
      <c r="D318" s="522"/>
      <c r="E318" s="502"/>
      <c r="F318" s="347"/>
      <c r="G318" s="348" t="s">
        <v>813</v>
      </c>
      <c r="H318" s="487"/>
      <c r="I318" s="488"/>
      <c r="J318" s="488"/>
      <c r="K318" s="488"/>
      <c r="L318" s="489"/>
    </row>
    <row r="319" spans="1:12">
      <c r="A319" s="490" t="s">
        <v>652</v>
      </c>
      <c r="B319" s="422"/>
      <c r="C319" s="440"/>
      <c r="D319" s="523"/>
      <c r="E319" s="515"/>
      <c r="F319" s="491" t="s">
        <v>30</v>
      </c>
      <c r="G319" s="492"/>
      <c r="H319" s="493"/>
      <c r="I319" s="494"/>
      <c r="J319" s="494"/>
      <c r="K319" s="494"/>
      <c r="L319" s="495"/>
    </row>
    <row r="320" spans="1:12">
      <c r="A320" s="496"/>
      <c r="B320" s="497"/>
      <c r="C320" s="464"/>
      <c r="D320" s="498" t="s">
        <v>59</v>
      </c>
      <c r="E320" s="501">
        <f>E315-E317</f>
        <v>0</v>
      </c>
      <c r="F320" s="347"/>
      <c r="G320" s="348" t="s">
        <v>813</v>
      </c>
      <c r="H320" s="487"/>
      <c r="I320" s="488"/>
      <c r="J320" s="488"/>
      <c r="K320" s="488"/>
      <c r="L320" s="489"/>
    </row>
    <row r="321" spans="1:12" ht="15" customHeight="1">
      <c r="A321" s="490" t="s">
        <v>653</v>
      </c>
      <c r="B321" s="422"/>
      <c r="C321" s="440"/>
      <c r="D321" s="499"/>
      <c r="E321" s="502"/>
      <c r="F321" s="491" t="s">
        <v>31</v>
      </c>
      <c r="G321" s="492"/>
      <c r="H321" s="475"/>
      <c r="I321" s="476"/>
      <c r="J321" s="476"/>
      <c r="K321" s="476"/>
      <c r="L321" s="477"/>
    </row>
    <row r="322" spans="1:12" ht="15" customHeight="1" thickBot="1">
      <c r="A322" s="478"/>
      <c r="B322" s="479"/>
      <c r="C322" s="480"/>
      <c r="D322" s="500"/>
      <c r="E322" s="503"/>
      <c r="F322" s="351"/>
      <c r="G322" s="352" t="s">
        <v>813</v>
      </c>
      <c r="H322" s="481"/>
      <c r="I322" s="482"/>
      <c r="J322" s="482"/>
      <c r="K322" s="482"/>
      <c r="L322" s="483"/>
    </row>
    <row r="323" spans="1:12" ht="15" customHeight="1">
      <c r="A323" s="506"/>
      <c r="B323" s="507"/>
      <c r="C323" s="508"/>
      <c r="D323" s="512"/>
      <c r="E323" s="514"/>
      <c r="F323" s="516"/>
      <c r="G323" s="517"/>
      <c r="H323" s="518"/>
      <c r="I323" s="519"/>
      <c r="J323" s="519"/>
      <c r="K323" s="519"/>
      <c r="L323" s="520"/>
    </row>
    <row r="324" spans="1:12" ht="15" customHeight="1">
      <c r="A324" s="509"/>
      <c r="B324" s="510"/>
      <c r="C324" s="511"/>
      <c r="D324" s="513"/>
      <c r="E324" s="515"/>
      <c r="F324" s="347"/>
      <c r="G324" s="348"/>
      <c r="H324" s="475"/>
      <c r="I324" s="476"/>
      <c r="J324" s="476"/>
      <c r="K324" s="476"/>
      <c r="L324" s="477"/>
    </row>
    <row r="325" spans="1:12" ht="15" customHeight="1">
      <c r="A325" s="509"/>
      <c r="B325" s="510"/>
      <c r="C325" s="511"/>
      <c r="D325" s="521"/>
      <c r="E325" s="501"/>
      <c r="F325" s="491"/>
      <c r="G325" s="492"/>
      <c r="H325" s="493"/>
      <c r="I325" s="494"/>
      <c r="J325" s="494"/>
      <c r="K325" s="494"/>
      <c r="L325" s="495"/>
    </row>
    <row r="326" spans="1:12" ht="15" customHeight="1">
      <c r="A326" s="509"/>
      <c r="B326" s="510"/>
      <c r="C326" s="511"/>
      <c r="D326" s="522"/>
      <c r="E326" s="502"/>
      <c r="F326" s="347"/>
      <c r="G326" s="348"/>
      <c r="H326" s="487"/>
      <c r="I326" s="488"/>
      <c r="J326" s="488"/>
      <c r="K326" s="488"/>
      <c r="L326" s="489"/>
    </row>
    <row r="327" spans="1:12" ht="15" customHeight="1">
      <c r="A327" s="490"/>
      <c r="B327" s="422"/>
      <c r="C327" s="440"/>
      <c r="D327" s="523"/>
      <c r="E327" s="515"/>
      <c r="F327" s="491"/>
      <c r="G327" s="492"/>
      <c r="H327" s="493"/>
      <c r="I327" s="494"/>
      <c r="J327" s="494"/>
      <c r="K327" s="494"/>
      <c r="L327" s="495"/>
    </row>
    <row r="328" spans="1:12" ht="15" customHeight="1">
      <c r="A328" s="496"/>
      <c r="B328" s="497"/>
      <c r="C328" s="464"/>
      <c r="D328" s="498"/>
      <c r="E328" s="501"/>
      <c r="F328" s="347"/>
      <c r="G328" s="348"/>
      <c r="H328" s="487"/>
      <c r="I328" s="488"/>
      <c r="J328" s="488"/>
      <c r="K328" s="488"/>
      <c r="L328" s="489"/>
    </row>
    <row r="329" spans="1:12" ht="15" customHeight="1">
      <c r="A329" s="490"/>
      <c r="B329" s="422"/>
      <c r="C329" s="440"/>
      <c r="D329" s="499"/>
      <c r="E329" s="502"/>
      <c r="F329" s="491"/>
      <c r="G329" s="492"/>
      <c r="H329" s="475"/>
      <c r="I329" s="476"/>
      <c r="J329" s="476"/>
      <c r="K329" s="476"/>
      <c r="L329" s="477"/>
    </row>
    <row r="330" spans="1:12" ht="15" customHeight="1" thickBot="1">
      <c r="A330" s="478"/>
      <c r="B330" s="479"/>
      <c r="C330" s="480"/>
      <c r="D330" s="500"/>
      <c r="E330" s="503"/>
      <c r="F330" s="351"/>
      <c r="G330" s="352"/>
      <c r="H330" s="481"/>
      <c r="I330" s="482"/>
      <c r="J330" s="482"/>
      <c r="K330" s="482"/>
      <c r="L330" s="483"/>
    </row>
    <row r="331" spans="1:12" ht="15" customHeight="1">
      <c r="A331" s="506"/>
      <c r="B331" s="507"/>
      <c r="C331" s="508"/>
      <c r="D331" s="512"/>
      <c r="E331" s="514"/>
      <c r="F331" s="516"/>
      <c r="G331" s="517"/>
      <c r="H331" s="518"/>
      <c r="I331" s="519"/>
      <c r="J331" s="519"/>
      <c r="K331" s="519"/>
      <c r="L331" s="520"/>
    </row>
    <row r="332" spans="1:12" ht="15" customHeight="1">
      <c r="A332" s="509"/>
      <c r="B332" s="510"/>
      <c r="C332" s="511"/>
      <c r="D332" s="513"/>
      <c r="E332" s="515"/>
      <c r="F332" s="347"/>
      <c r="G332" s="348"/>
      <c r="H332" s="475"/>
      <c r="I332" s="476"/>
      <c r="J332" s="476"/>
      <c r="K332" s="476"/>
      <c r="L332" s="477"/>
    </row>
    <row r="333" spans="1:12" ht="15" customHeight="1">
      <c r="A333" s="509"/>
      <c r="B333" s="510"/>
      <c r="C333" s="511"/>
      <c r="D333" s="521"/>
      <c r="E333" s="501"/>
      <c r="F333" s="491"/>
      <c r="G333" s="492"/>
      <c r="H333" s="493"/>
      <c r="I333" s="494"/>
      <c r="J333" s="494"/>
      <c r="K333" s="494"/>
      <c r="L333" s="495"/>
    </row>
    <row r="334" spans="1:12" ht="15" customHeight="1">
      <c r="A334" s="509"/>
      <c r="B334" s="510"/>
      <c r="C334" s="511"/>
      <c r="D334" s="522"/>
      <c r="E334" s="502"/>
      <c r="F334" s="347"/>
      <c r="G334" s="348"/>
      <c r="H334" s="487"/>
      <c r="I334" s="488"/>
      <c r="J334" s="488"/>
      <c r="K334" s="488"/>
      <c r="L334" s="489"/>
    </row>
    <row r="335" spans="1:12" ht="15" customHeight="1">
      <c r="A335" s="490"/>
      <c r="B335" s="422"/>
      <c r="C335" s="440"/>
      <c r="D335" s="523"/>
      <c r="E335" s="515"/>
      <c r="F335" s="491"/>
      <c r="G335" s="492"/>
      <c r="H335" s="493"/>
      <c r="I335" s="494"/>
      <c r="J335" s="494"/>
      <c r="K335" s="494"/>
      <c r="L335" s="495"/>
    </row>
    <row r="336" spans="1:12" ht="15" customHeight="1">
      <c r="A336" s="496"/>
      <c r="B336" s="497"/>
      <c r="C336" s="464"/>
      <c r="D336" s="498"/>
      <c r="E336" s="501"/>
      <c r="F336" s="347"/>
      <c r="G336" s="348"/>
      <c r="H336" s="487"/>
      <c r="I336" s="488"/>
      <c r="J336" s="488"/>
      <c r="K336" s="488"/>
      <c r="L336" s="489"/>
    </row>
    <row r="337" spans="1:12" ht="15" customHeight="1">
      <c r="A337" s="490"/>
      <c r="B337" s="422"/>
      <c r="C337" s="440"/>
      <c r="D337" s="499"/>
      <c r="E337" s="502"/>
      <c r="F337" s="491"/>
      <c r="G337" s="492"/>
      <c r="H337" s="475"/>
      <c r="I337" s="476"/>
      <c r="J337" s="476"/>
      <c r="K337" s="476"/>
      <c r="L337" s="477"/>
    </row>
    <row r="338" spans="1:12" ht="15" customHeight="1" thickBot="1">
      <c r="A338" s="478"/>
      <c r="B338" s="479"/>
      <c r="C338" s="480"/>
      <c r="D338" s="500"/>
      <c r="E338" s="503"/>
      <c r="F338" s="351"/>
      <c r="G338" s="352"/>
      <c r="H338" s="481"/>
      <c r="I338" s="482"/>
      <c r="J338" s="482"/>
      <c r="K338" s="482"/>
      <c r="L338" s="483"/>
    </row>
    <row r="339" spans="1:12" ht="15" customHeight="1">
      <c r="A339" s="506"/>
      <c r="B339" s="507"/>
      <c r="C339" s="508"/>
      <c r="D339" s="512"/>
      <c r="E339" s="514"/>
      <c r="F339" s="516"/>
      <c r="G339" s="517"/>
      <c r="H339" s="518"/>
      <c r="I339" s="519"/>
      <c r="J339" s="519"/>
      <c r="K339" s="519"/>
      <c r="L339" s="520"/>
    </row>
    <row r="340" spans="1:12" ht="15" customHeight="1">
      <c r="A340" s="509"/>
      <c r="B340" s="510"/>
      <c r="C340" s="511"/>
      <c r="D340" s="513"/>
      <c r="E340" s="515"/>
      <c r="F340" s="347"/>
      <c r="G340" s="348"/>
      <c r="H340" s="475"/>
      <c r="I340" s="476"/>
      <c r="J340" s="476"/>
      <c r="K340" s="476"/>
      <c r="L340" s="477"/>
    </row>
    <row r="341" spans="1:12" ht="15" customHeight="1">
      <c r="A341" s="509"/>
      <c r="B341" s="510"/>
      <c r="C341" s="511"/>
      <c r="D341" s="521"/>
      <c r="E341" s="501"/>
      <c r="F341" s="491"/>
      <c r="G341" s="492"/>
      <c r="H341" s="493"/>
      <c r="I341" s="494"/>
      <c r="J341" s="494"/>
      <c r="K341" s="494"/>
      <c r="L341" s="495"/>
    </row>
    <row r="342" spans="1:12" ht="15" customHeight="1">
      <c r="A342" s="509"/>
      <c r="B342" s="510"/>
      <c r="C342" s="511"/>
      <c r="D342" s="522"/>
      <c r="E342" s="502"/>
      <c r="F342" s="347"/>
      <c r="G342" s="348"/>
      <c r="H342" s="487"/>
      <c r="I342" s="488"/>
      <c r="J342" s="488"/>
      <c r="K342" s="488"/>
      <c r="L342" s="489"/>
    </row>
    <row r="343" spans="1:12" ht="15" customHeight="1">
      <c r="A343" s="490"/>
      <c r="B343" s="422"/>
      <c r="C343" s="440"/>
      <c r="D343" s="523"/>
      <c r="E343" s="515"/>
      <c r="F343" s="491"/>
      <c r="G343" s="492"/>
      <c r="H343" s="493"/>
      <c r="I343" s="494"/>
      <c r="J343" s="494"/>
      <c r="K343" s="494"/>
      <c r="L343" s="495"/>
    </row>
    <row r="344" spans="1:12" ht="15" customHeight="1">
      <c r="A344" s="496"/>
      <c r="B344" s="497"/>
      <c r="C344" s="464"/>
      <c r="D344" s="498"/>
      <c r="E344" s="501"/>
      <c r="F344" s="347"/>
      <c r="G344" s="348"/>
      <c r="H344" s="487"/>
      <c r="I344" s="488"/>
      <c r="J344" s="488"/>
      <c r="K344" s="488"/>
      <c r="L344" s="489"/>
    </row>
    <row r="345" spans="1:12" ht="15" customHeight="1">
      <c r="A345" s="490"/>
      <c r="B345" s="422"/>
      <c r="C345" s="440"/>
      <c r="D345" s="499"/>
      <c r="E345" s="502"/>
      <c r="F345" s="491"/>
      <c r="G345" s="492"/>
      <c r="H345" s="475"/>
      <c r="I345" s="476"/>
      <c r="J345" s="476"/>
      <c r="K345" s="476"/>
      <c r="L345" s="477"/>
    </row>
    <row r="346" spans="1:12" ht="15" customHeight="1" thickBot="1">
      <c r="A346" s="478"/>
      <c r="B346" s="479"/>
      <c r="C346" s="480"/>
      <c r="D346" s="500"/>
      <c r="E346" s="503"/>
      <c r="F346" s="351"/>
      <c r="G346" s="352"/>
      <c r="H346" s="481"/>
      <c r="I346" s="482"/>
      <c r="J346" s="482"/>
      <c r="K346" s="482"/>
      <c r="L346" s="483"/>
    </row>
    <row r="347" spans="1:12" ht="15" customHeight="1">
      <c r="A347" s="506"/>
      <c r="B347" s="507"/>
      <c r="C347" s="508"/>
      <c r="D347" s="512"/>
      <c r="E347" s="514"/>
      <c r="F347" s="516"/>
      <c r="G347" s="517"/>
      <c r="H347" s="518"/>
      <c r="I347" s="519"/>
      <c r="J347" s="519"/>
      <c r="K347" s="519"/>
      <c r="L347" s="520"/>
    </row>
    <row r="348" spans="1:12" ht="15" customHeight="1">
      <c r="A348" s="509"/>
      <c r="B348" s="510"/>
      <c r="C348" s="511"/>
      <c r="D348" s="513"/>
      <c r="E348" s="515"/>
      <c r="F348" s="347"/>
      <c r="G348" s="348"/>
      <c r="H348" s="475"/>
      <c r="I348" s="476"/>
      <c r="J348" s="476"/>
      <c r="K348" s="476"/>
      <c r="L348" s="477"/>
    </row>
    <row r="349" spans="1:12" ht="15" customHeight="1">
      <c r="A349" s="509"/>
      <c r="B349" s="510"/>
      <c r="C349" s="511"/>
      <c r="D349" s="521"/>
      <c r="E349" s="501"/>
      <c r="F349" s="491"/>
      <c r="G349" s="492"/>
      <c r="H349" s="493"/>
      <c r="I349" s="494"/>
      <c r="J349" s="494"/>
      <c r="K349" s="494"/>
      <c r="L349" s="495"/>
    </row>
    <row r="350" spans="1:12" ht="15" customHeight="1">
      <c r="A350" s="509"/>
      <c r="B350" s="510"/>
      <c r="C350" s="511"/>
      <c r="D350" s="522"/>
      <c r="E350" s="502"/>
      <c r="F350" s="347"/>
      <c r="G350" s="348"/>
      <c r="H350" s="487"/>
      <c r="I350" s="488"/>
      <c r="J350" s="488"/>
      <c r="K350" s="488"/>
      <c r="L350" s="489"/>
    </row>
    <row r="351" spans="1:12" ht="15" customHeight="1">
      <c r="A351" s="490"/>
      <c r="B351" s="422"/>
      <c r="C351" s="440"/>
      <c r="D351" s="523"/>
      <c r="E351" s="515"/>
      <c r="F351" s="491"/>
      <c r="G351" s="492"/>
      <c r="H351" s="493"/>
      <c r="I351" s="494"/>
      <c r="J351" s="494"/>
      <c r="K351" s="494"/>
      <c r="L351" s="495"/>
    </row>
    <row r="352" spans="1:12" ht="15" customHeight="1">
      <c r="A352" s="496"/>
      <c r="B352" s="497"/>
      <c r="C352" s="464"/>
      <c r="D352" s="498"/>
      <c r="E352" s="501"/>
      <c r="F352" s="347"/>
      <c r="G352" s="348"/>
      <c r="H352" s="487"/>
      <c r="I352" s="488"/>
      <c r="J352" s="488"/>
      <c r="K352" s="488"/>
      <c r="L352" s="489"/>
    </row>
    <row r="353" spans="1:12" ht="15" customHeight="1">
      <c r="A353" s="490"/>
      <c r="B353" s="422"/>
      <c r="C353" s="440"/>
      <c r="D353" s="499"/>
      <c r="E353" s="502"/>
      <c r="F353" s="491"/>
      <c r="G353" s="492"/>
      <c r="H353" s="475"/>
      <c r="I353" s="476"/>
      <c r="J353" s="476"/>
      <c r="K353" s="476"/>
      <c r="L353" s="477"/>
    </row>
    <row r="354" spans="1:12" ht="15" customHeight="1" thickBot="1">
      <c r="A354" s="478"/>
      <c r="B354" s="479"/>
      <c r="C354" s="480"/>
      <c r="D354" s="500"/>
      <c r="E354" s="503"/>
      <c r="F354" s="351"/>
      <c r="G354" s="352"/>
      <c r="H354" s="481"/>
      <c r="I354" s="482"/>
      <c r="J354" s="482"/>
      <c r="K354" s="482"/>
      <c r="L354" s="483"/>
    </row>
    <row r="355" spans="1:12" ht="15" customHeight="1">
      <c r="A355" s="506"/>
      <c r="B355" s="507"/>
      <c r="C355" s="508"/>
      <c r="D355" s="512"/>
      <c r="E355" s="514"/>
      <c r="F355" s="516"/>
      <c r="G355" s="517"/>
      <c r="H355" s="518"/>
      <c r="I355" s="519"/>
      <c r="J355" s="519"/>
      <c r="K355" s="519"/>
      <c r="L355" s="520"/>
    </row>
    <row r="356" spans="1:12" ht="13.5" customHeight="1">
      <c r="A356" s="509"/>
      <c r="B356" s="510"/>
      <c r="C356" s="511"/>
      <c r="D356" s="513"/>
      <c r="E356" s="515"/>
      <c r="F356" s="347"/>
      <c r="G356" s="348"/>
      <c r="H356" s="475"/>
      <c r="I356" s="476"/>
      <c r="J356" s="476"/>
      <c r="K356" s="476"/>
      <c r="L356" s="477"/>
    </row>
    <row r="357" spans="1:12" ht="13.5" customHeight="1">
      <c r="A357" s="509"/>
      <c r="B357" s="510"/>
      <c r="C357" s="511"/>
      <c r="D357" s="521"/>
      <c r="E357" s="501"/>
      <c r="F357" s="491"/>
      <c r="G357" s="492"/>
      <c r="H357" s="493"/>
      <c r="I357" s="494"/>
      <c r="J357" s="494"/>
      <c r="K357" s="494"/>
      <c r="L357" s="495"/>
    </row>
    <row r="358" spans="1:12" ht="15.75" customHeight="1">
      <c r="A358" s="509"/>
      <c r="B358" s="510"/>
      <c r="C358" s="511"/>
      <c r="D358" s="522"/>
      <c r="E358" s="502"/>
      <c r="F358" s="347"/>
      <c r="G358" s="348"/>
      <c r="H358" s="487"/>
      <c r="I358" s="488"/>
      <c r="J358" s="488"/>
      <c r="K358" s="488"/>
      <c r="L358" s="489"/>
    </row>
    <row r="359" spans="1:12" ht="15.75" customHeight="1">
      <c r="A359" s="535"/>
      <c r="B359" s="536"/>
      <c r="C359" s="462"/>
      <c r="D359" s="523"/>
      <c r="E359" s="515"/>
      <c r="F359" s="491"/>
      <c r="G359" s="492"/>
      <c r="H359" s="493"/>
      <c r="I359" s="494"/>
      <c r="J359" s="494"/>
      <c r="K359" s="494"/>
      <c r="L359" s="495"/>
    </row>
    <row r="360" spans="1:12" ht="14.25" customHeight="1">
      <c r="A360" s="496"/>
      <c r="B360" s="497"/>
      <c r="C360" s="464"/>
      <c r="D360" s="499"/>
      <c r="E360" s="502"/>
      <c r="F360" s="491"/>
      <c r="G360" s="492"/>
      <c r="H360" s="487"/>
      <c r="I360" s="488"/>
      <c r="J360" s="488"/>
      <c r="K360" s="488"/>
      <c r="L360" s="489"/>
    </row>
    <row r="361" spans="1:12" ht="14.25" customHeight="1">
      <c r="A361" s="539"/>
      <c r="B361" s="540"/>
      <c r="C361" s="541"/>
      <c r="D361" s="499"/>
      <c r="E361" s="502"/>
      <c r="F361" s="349"/>
      <c r="G361" s="350"/>
      <c r="H361" s="475"/>
      <c r="I361" s="476"/>
      <c r="J361" s="476"/>
      <c r="K361" s="476"/>
      <c r="L361" s="477"/>
    </row>
    <row r="362" spans="1:12" ht="13.5" customHeight="1" thickBot="1">
      <c r="A362" s="478"/>
      <c r="B362" s="479"/>
      <c r="C362" s="480"/>
      <c r="D362" s="537"/>
      <c r="E362" s="538"/>
      <c r="F362" s="307"/>
      <c r="G362" s="308"/>
      <c r="H362" s="532"/>
      <c r="I362" s="533"/>
      <c r="J362" s="533"/>
      <c r="K362" s="533"/>
      <c r="L362" s="534"/>
    </row>
    <row r="363" spans="1:12" ht="15" customHeight="1" thickBot="1">
      <c r="B363" s="13"/>
      <c r="C363" s="13"/>
      <c r="D363" s="313"/>
      <c r="E363" s="314"/>
      <c r="F363" s="315"/>
      <c r="G363" s="71"/>
      <c r="H363" s="311"/>
      <c r="I363" s="311"/>
      <c r="J363" s="311"/>
      <c r="K363" s="311"/>
    </row>
    <row r="364" spans="1:12" ht="27.75" customHeight="1" thickBot="1">
      <c r="A364" s="542" t="s">
        <v>93</v>
      </c>
      <c r="B364" s="543"/>
      <c r="C364" s="544"/>
      <c r="D364" s="545" t="s">
        <v>650</v>
      </c>
      <c r="E364" s="546"/>
      <c r="F364" s="547" t="s">
        <v>651</v>
      </c>
      <c r="G364" s="543"/>
      <c r="H364" s="543"/>
      <c r="I364" s="543"/>
      <c r="J364" s="543"/>
      <c r="K364" s="543"/>
      <c r="L364" s="548"/>
    </row>
    <row r="365" spans="1:12" ht="15" customHeight="1">
      <c r="A365" s="506"/>
      <c r="B365" s="507"/>
      <c r="C365" s="508"/>
      <c r="D365" s="512"/>
      <c r="E365" s="514"/>
      <c r="F365" s="516"/>
      <c r="G365" s="517"/>
      <c r="H365" s="518"/>
      <c r="I365" s="519"/>
      <c r="J365" s="519"/>
      <c r="K365" s="519"/>
      <c r="L365" s="520"/>
    </row>
    <row r="366" spans="1:12" ht="15" customHeight="1">
      <c r="A366" s="509"/>
      <c r="B366" s="510"/>
      <c r="C366" s="511"/>
      <c r="D366" s="513"/>
      <c r="E366" s="515"/>
      <c r="F366" s="347"/>
      <c r="G366" s="348"/>
      <c r="H366" s="487"/>
      <c r="I366" s="488"/>
      <c r="J366" s="488"/>
      <c r="K366" s="488"/>
      <c r="L366" s="489"/>
    </row>
    <row r="367" spans="1:12" ht="15" customHeight="1">
      <c r="A367" s="509"/>
      <c r="B367" s="510"/>
      <c r="C367" s="511"/>
      <c r="D367" s="521"/>
      <c r="E367" s="501"/>
      <c r="F367" s="491"/>
      <c r="G367" s="492"/>
      <c r="H367" s="493"/>
      <c r="I367" s="494"/>
      <c r="J367" s="494"/>
      <c r="K367" s="494"/>
      <c r="L367" s="495"/>
    </row>
    <row r="368" spans="1:12" ht="15" customHeight="1">
      <c r="A368" s="509"/>
      <c r="B368" s="510"/>
      <c r="C368" s="511"/>
      <c r="D368" s="522"/>
      <c r="E368" s="502"/>
      <c r="F368" s="347"/>
      <c r="G368" s="348"/>
      <c r="H368" s="487"/>
      <c r="I368" s="488"/>
      <c r="J368" s="488"/>
      <c r="K368" s="488"/>
      <c r="L368" s="489"/>
    </row>
    <row r="369" spans="1:12">
      <c r="A369" s="490"/>
      <c r="B369" s="422"/>
      <c r="C369" s="440"/>
      <c r="D369" s="523"/>
      <c r="E369" s="515"/>
      <c r="F369" s="491"/>
      <c r="G369" s="492"/>
      <c r="H369" s="493"/>
      <c r="I369" s="494"/>
      <c r="J369" s="494"/>
      <c r="K369" s="494"/>
      <c r="L369" s="495"/>
    </row>
    <row r="370" spans="1:12">
      <c r="A370" s="496"/>
      <c r="B370" s="497"/>
      <c r="C370" s="464"/>
      <c r="D370" s="498"/>
      <c r="E370" s="501"/>
      <c r="F370" s="347"/>
      <c r="G370" s="348"/>
      <c r="H370" s="487"/>
      <c r="I370" s="488"/>
      <c r="J370" s="488"/>
      <c r="K370" s="488"/>
      <c r="L370" s="489"/>
    </row>
    <row r="371" spans="1:12" ht="15" customHeight="1">
      <c r="A371" s="490"/>
      <c r="B371" s="422"/>
      <c r="C371" s="440"/>
      <c r="D371" s="499"/>
      <c r="E371" s="502"/>
      <c r="F371" s="491"/>
      <c r="G371" s="492"/>
      <c r="H371" s="475"/>
      <c r="I371" s="476"/>
      <c r="J371" s="476"/>
      <c r="K371" s="476"/>
      <c r="L371" s="477"/>
    </row>
    <row r="372" spans="1:12" ht="15" customHeight="1" thickBot="1">
      <c r="A372" s="478"/>
      <c r="B372" s="479"/>
      <c r="C372" s="480"/>
      <c r="D372" s="500"/>
      <c r="E372" s="503"/>
      <c r="F372" s="351"/>
      <c r="G372" s="352"/>
      <c r="H372" s="481"/>
      <c r="I372" s="482"/>
      <c r="J372" s="482"/>
      <c r="K372" s="482"/>
      <c r="L372" s="483"/>
    </row>
    <row r="373" spans="1:12" ht="15" customHeight="1">
      <c r="A373" s="506"/>
      <c r="B373" s="507"/>
      <c r="C373" s="508"/>
      <c r="D373" s="512"/>
      <c r="E373" s="514"/>
      <c r="F373" s="516"/>
      <c r="G373" s="517"/>
      <c r="H373" s="518"/>
      <c r="I373" s="519"/>
      <c r="J373" s="519"/>
      <c r="K373" s="519"/>
      <c r="L373" s="520"/>
    </row>
    <row r="374" spans="1:12" ht="15" customHeight="1">
      <c r="A374" s="509"/>
      <c r="B374" s="510"/>
      <c r="C374" s="511"/>
      <c r="D374" s="513"/>
      <c r="E374" s="515"/>
      <c r="F374" s="347"/>
      <c r="G374" s="348"/>
      <c r="H374" s="475"/>
      <c r="I374" s="476"/>
      <c r="J374" s="476"/>
      <c r="K374" s="476"/>
      <c r="L374" s="477"/>
    </row>
    <row r="375" spans="1:12" ht="15" customHeight="1">
      <c r="A375" s="509"/>
      <c r="B375" s="510"/>
      <c r="C375" s="511"/>
      <c r="D375" s="521"/>
      <c r="E375" s="501"/>
      <c r="F375" s="491"/>
      <c r="G375" s="492"/>
      <c r="H375" s="493"/>
      <c r="I375" s="494"/>
      <c r="J375" s="494"/>
      <c r="K375" s="494"/>
      <c r="L375" s="495"/>
    </row>
    <row r="376" spans="1:12" ht="15" customHeight="1">
      <c r="A376" s="509"/>
      <c r="B376" s="510"/>
      <c r="C376" s="511"/>
      <c r="D376" s="522"/>
      <c r="E376" s="502"/>
      <c r="F376" s="347"/>
      <c r="G376" s="348"/>
      <c r="H376" s="487"/>
      <c r="I376" s="488"/>
      <c r="J376" s="488"/>
      <c r="K376" s="488"/>
      <c r="L376" s="489"/>
    </row>
    <row r="377" spans="1:12" ht="15" customHeight="1">
      <c r="A377" s="490"/>
      <c r="B377" s="422"/>
      <c r="C377" s="440"/>
      <c r="D377" s="523"/>
      <c r="E377" s="515"/>
      <c r="F377" s="491"/>
      <c r="G377" s="492"/>
      <c r="H377" s="493"/>
      <c r="I377" s="494"/>
      <c r="J377" s="494"/>
      <c r="K377" s="494"/>
      <c r="L377" s="495"/>
    </row>
    <row r="378" spans="1:12" ht="15" customHeight="1">
      <c r="A378" s="496"/>
      <c r="B378" s="497"/>
      <c r="C378" s="464"/>
      <c r="D378" s="498"/>
      <c r="E378" s="501"/>
      <c r="F378" s="347"/>
      <c r="G378" s="348"/>
      <c r="H378" s="487"/>
      <c r="I378" s="488"/>
      <c r="J378" s="488"/>
      <c r="K378" s="488"/>
      <c r="L378" s="489"/>
    </row>
    <row r="379" spans="1:12" ht="15" customHeight="1">
      <c r="A379" s="490"/>
      <c r="B379" s="422"/>
      <c r="C379" s="440"/>
      <c r="D379" s="499"/>
      <c r="E379" s="502"/>
      <c r="F379" s="491"/>
      <c r="G379" s="492"/>
      <c r="H379" s="475"/>
      <c r="I379" s="476"/>
      <c r="J379" s="476"/>
      <c r="K379" s="476"/>
      <c r="L379" s="477"/>
    </row>
    <row r="380" spans="1:12" ht="15" customHeight="1" thickBot="1">
      <c r="A380" s="478"/>
      <c r="B380" s="479"/>
      <c r="C380" s="480"/>
      <c r="D380" s="500"/>
      <c r="E380" s="503"/>
      <c r="F380" s="351"/>
      <c r="G380" s="352"/>
      <c r="H380" s="481"/>
      <c r="I380" s="482"/>
      <c r="J380" s="482"/>
      <c r="K380" s="482"/>
      <c r="L380" s="483"/>
    </row>
    <row r="381" spans="1:12" ht="15" customHeight="1">
      <c r="A381" s="506"/>
      <c r="B381" s="507"/>
      <c r="C381" s="508"/>
      <c r="D381" s="512"/>
      <c r="E381" s="514"/>
      <c r="F381" s="516"/>
      <c r="G381" s="517"/>
      <c r="H381" s="518"/>
      <c r="I381" s="519"/>
      <c r="J381" s="519"/>
      <c r="K381" s="519"/>
      <c r="L381" s="520"/>
    </row>
    <row r="382" spans="1:12" ht="15" customHeight="1">
      <c r="A382" s="509"/>
      <c r="B382" s="510"/>
      <c r="C382" s="511"/>
      <c r="D382" s="513"/>
      <c r="E382" s="515"/>
      <c r="F382" s="347"/>
      <c r="G382" s="348"/>
      <c r="H382" s="475"/>
      <c r="I382" s="476"/>
      <c r="J382" s="476"/>
      <c r="K382" s="476"/>
      <c r="L382" s="477"/>
    </row>
    <row r="383" spans="1:12" ht="15" customHeight="1">
      <c r="A383" s="509"/>
      <c r="B383" s="510"/>
      <c r="C383" s="511"/>
      <c r="D383" s="521"/>
      <c r="E383" s="501"/>
      <c r="F383" s="491"/>
      <c r="G383" s="492"/>
      <c r="H383" s="493"/>
      <c r="I383" s="494"/>
      <c r="J383" s="494"/>
      <c r="K383" s="494"/>
      <c r="L383" s="495"/>
    </row>
    <row r="384" spans="1:12" ht="15" customHeight="1">
      <c r="A384" s="509"/>
      <c r="B384" s="510"/>
      <c r="C384" s="511"/>
      <c r="D384" s="522"/>
      <c r="E384" s="502"/>
      <c r="F384" s="347"/>
      <c r="G384" s="348"/>
      <c r="H384" s="487"/>
      <c r="I384" s="488"/>
      <c r="J384" s="488"/>
      <c r="K384" s="488"/>
      <c r="L384" s="489"/>
    </row>
    <row r="385" spans="1:12" ht="15" customHeight="1">
      <c r="A385" s="490"/>
      <c r="B385" s="422"/>
      <c r="C385" s="440"/>
      <c r="D385" s="523"/>
      <c r="E385" s="515"/>
      <c r="F385" s="491"/>
      <c r="G385" s="492"/>
      <c r="H385" s="493"/>
      <c r="I385" s="494"/>
      <c r="J385" s="494"/>
      <c r="K385" s="494"/>
      <c r="L385" s="495"/>
    </row>
    <row r="386" spans="1:12" ht="15" customHeight="1">
      <c r="A386" s="496"/>
      <c r="B386" s="497"/>
      <c r="C386" s="464"/>
      <c r="D386" s="498"/>
      <c r="E386" s="501"/>
      <c r="F386" s="347"/>
      <c r="G386" s="348"/>
      <c r="H386" s="487"/>
      <c r="I386" s="488"/>
      <c r="J386" s="488"/>
      <c r="K386" s="488"/>
      <c r="L386" s="489"/>
    </row>
    <row r="387" spans="1:12" ht="15" customHeight="1">
      <c r="A387" s="490"/>
      <c r="B387" s="422"/>
      <c r="C387" s="440"/>
      <c r="D387" s="499"/>
      <c r="E387" s="502"/>
      <c r="F387" s="491"/>
      <c r="G387" s="492"/>
      <c r="H387" s="475"/>
      <c r="I387" s="476"/>
      <c r="J387" s="476"/>
      <c r="K387" s="476"/>
      <c r="L387" s="477"/>
    </row>
    <row r="388" spans="1:12" ht="15" customHeight="1" thickBot="1">
      <c r="A388" s="478"/>
      <c r="B388" s="479"/>
      <c r="C388" s="480"/>
      <c r="D388" s="500"/>
      <c r="E388" s="503"/>
      <c r="F388" s="351"/>
      <c r="G388" s="352"/>
      <c r="H388" s="481"/>
      <c r="I388" s="482"/>
      <c r="J388" s="482"/>
      <c r="K388" s="482"/>
      <c r="L388" s="483"/>
    </row>
    <row r="389" spans="1:12" ht="15" customHeight="1">
      <c r="A389" s="506"/>
      <c r="B389" s="507"/>
      <c r="C389" s="508"/>
      <c r="D389" s="512"/>
      <c r="E389" s="514"/>
      <c r="F389" s="516"/>
      <c r="G389" s="517"/>
      <c r="H389" s="518"/>
      <c r="I389" s="519"/>
      <c r="J389" s="519"/>
      <c r="K389" s="519"/>
      <c r="L389" s="520"/>
    </row>
    <row r="390" spans="1:12" ht="15" customHeight="1">
      <c r="A390" s="509"/>
      <c r="B390" s="510"/>
      <c r="C390" s="511"/>
      <c r="D390" s="513"/>
      <c r="E390" s="515"/>
      <c r="F390" s="347"/>
      <c r="G390" s="348"/>
      <c r="H390" s="475"/>
      <c r="I390" s="476"/>
      <c r="J390" s="476"/>
      <c r="K390" s="476"/>
      <c r="L390" s="477"/>
    </row>
    <row r="391" spans="1:12" ht="15" customHeight="1">
      <c r="A391" s="509"/>
      <c r="B391" s="510"/>
      <c r="C391" s="511"/>
      <c r="D391" s="521"/>
      <c r="E391" s="501"/>
      <c r="F391" s="491"/>
      <c r="G391" s="492"/>
      <c r="H391" s="493"/>
      <c r="I391" s="494"/>
      <c r="J391" s="494"/>
      <c r="K391" s="494"/>
      <c r="L391" s="495"/>
    </row>
    <row r="392" spans="1:12" ht="15" customHeight="1">
      <c r="A392" s="509"/>
      <c r="B392" s="510"/>
      <c r="C392" s="511"/>
      <c r="D392" s="522"/>
      <c r="E392" s="502"/>
      <c r="F392" s="347"/>
      <c r="G392" s="348"/>
      <c r="H392" s="487"/>
      <c r="I392" s="488"/>
      <c r="J392" s="488"/>
      <c r="K392" s="488"/>
      <c r="L392" s="489"/>
    </row>
    <row r="393" spans="1:12" ht="15" customHeight="1">
      <c r="A393" s="490"/>
      <c r="B393" s="422"/>
      <c r="C393" s="440"/>
      <c r="D393" s="523"/>
      <c r="E393" s="515"/>
      <c r="F393" s="491"/>
      <c r="G393" s="492"/>
      <c r="H393" s="493"/>
      <c r="I393" s="494"/>
      <c r="J393" s="494"/>
      <c r="K393" s="494"/>
      <c r="L393" s="495"/>
    </row>
    <row r="394" spans="1:12" ht="15" customHeight="1">
      <c r="A394" s="496"/>
      <c r="B394" s="497"/>
      <c r="C394" s="464"/>
      <c r="D394" s="498"/>
      <c r="E394" s="501"/>
      <c r="F394" s="347"/>
      <c r="G394" s="348"/>
      <c r="H394" s="487"/>
      <c r="I394" s="488"/>
      <c r="J394" s="488"/>
      <c r="K394" s="488"/>
      <c r="L394" s="489"/>
    </row>
    <row r="395" spans="1:12" ht="15" customHeight="1">
      <c r="A395" s="490"/>
      <c r="B395" s="422"/>
      <c r="C395" s="440"/>
      <c r="D395" s="499"/>
      <c r="E395" s="502"/>
      <c r="F395" s="491"/>
      <c r="G395" s="492"/>
      <c r="H395" s="475"/>
      <c r="I395" s="476"/>
      <c r="J395" s="476"/>
      <c r="K395" s="476"/>
      <c r="L395" s="477"/>
    </row>
    <row r="396" spans="1:12" ht="15" customHeight="1" thickBot="1">
      <c r="A396" s="478"/>
      <c r="B396" s="479"/>
      <c r="C396" s="480"/>
      <c r="D396" s="500"/>
      <c r="E396" s="503"/>
      <c r="F396" s="351"/>
      <c r="G396" s="352"/>
      <c r="H396" s="481"/>
      <c r="I396" s="482"/>
      <c r="J396" s="482"/>
      <c r="K396" s="482"/>
      <c r="L396" s="483"/>
    </row>
    <row r="397" spans="1:12" ht="15" customHeight="1">
      <c r="A397" s="506"/>
      <c r="B397" s="507"/>
      <c r="C397" s="508"/>
      <c r="D397" s="512"/>
      <c r="E397" s="514"/>
      <c r="F397" s="516"/>
      <c r="G397" s="517"/>
      <c r="H397" s="518"/>
      <c r="I397" s="519"/>
      <c r="J397" s="519"/>
      <c r="K397" s="519"/>
      <c r="L397" s="520"/>
    </row>
    <row r="398" spans="1:12" ht="15" customHeight="1">
      <c r="A398" s="509"/>
      <c r="B398" s="510"/>
      <c r="C398" s="511"/>
      <c r="D398" s="513"/>
      <c r="E398" s="515"/>
      <c r="F398" s="347"/>
      <c r="G398" s="348"/>
      <c r="H398" s="475"/>
      <c r="I398" s="476"/>
      <c r="J398" s="476"/>
      <c r="K398" s="476"/>
      <c r="L398" s="477"/>
    </row>
    <row r="399" spans="1:12" ht="15" customHeight="1">
      <c r="A399" s="509"/>
      <c r="B399" s="510"/>
      <c r="C399" s="511"/>
      <c r="D399" s="521"/>
      <c r="E399" s="501"/>
      <c r="F399" s="491"/>
      <c r="G399" s="492"/>
      <c r="H399" s="493"/>
      <c r="I399" s="494"/>
      <c r="J399" s="494"/>
      <c r="K399" s="494"/>
      <c r="L399" s="495"/>
    </row>
    <row r="400" spans="1:12" ht="15" customHeight="1">
      <c r="A400" s="509"/>
      <c r="B400" s="510"/>
      <c r="C400" s="511"/>
      <c r="D400" s="522"/>
      <c r="E400" s="502"/>
      <c r="F400" s="347"/>
      <c r="G400" s="348"/>
      <c r="H400" s="487"/>
      <c r="I400" s="488"/>
      <c r="J400" s="488"/>
      <c r="K400" s="488"/>
      <c r="L400" s="489"/>
    </row>
    <row r="401" spans="1:12" ht="15" customHeight="1">
      <c r="A401" s="490"/>
      <c r="B401" s="422"/>
      <c r="C401" s="440"/>
      <c r="D401" s="523"/>
      <c r="E401" s="515"/>
      <c r="F401" s="491"/>
      <c r="G401" s="492"/>
      <c r="H401" s="493"/>
      <c r="I401" s="494"/>
      <c r="J401" s="494"/>
      <c r="K401" s="494"/>
      <c r="L401" s="495"/>
    </row>
    <row r="402" spans="1:12" ht="15" customHeight="1">
      <c r="A402" s="496"/>
      <c r="B402" s="497"/>
      <c r="C402" s="464"/>
      <c r="D402" s="498"/>
      <c r="E402" s="501"/>
      <c r="F402" s="347"/>
      <c r="G402" s="348"/>
      <c r="H402" s="487"/>
      <c r="I402" s="488"/>
      <c r="J402" s="488"/>
      <c r="K402" s="488"/>
      <c r="L402" s="489"/>
    </row>
    <row r="403" spans="1:12" ht="15" customHeight="1">
      <c r="A403" s="490"/>
      <c r="B403" s="422"/>
      <c r="C403" s="440"/>
      <c r="D403" s="499"/>
      <c r="E403" s="502"/>
      <c r="F403" s="491"/>
      <c r="G403" s="492"/>
      <c r="H403" s="475"/>
      <c r="I403" s="476"/>
      <c r="J403" s="476"/>
      <c r="K403" s="476"/>
      <c r="L403" s="477"/>
    </row>
    <row r="404" spans="1:12" ht="15" customHeight="1" thickBot="1">
      <c r="A404" s="478"/>
      <c r="B404" s="479"/>
      <c r="C404" s="480"/>
      <c r="D404" s="500"/>
      <c r="E404" s="503"/>
      <c r="F404" s="351"/>
      <c r="G404" s="352"/>
      <c r="H404" s="481"/>
      <c r="I404" s="482"/>
      <c r="J404" s="482"/>
      <c r="K404" s="482"/>
      <c r="L404" s="483"/>
    </row>
    <row r="405" spans="1:12" ht="15" customHeight="1">
      <c r="A405" s="506"/>
      <c r="B405" s="507"/>
      <c r="C405" s="508"/>
      <c r="D405" s="512"/>
      <c r="E405" s="514"/>
      <c r="F405" s="516"/>
      <c r="G405" s="517"/>
      <c r="H405" s="518"/>
      <c r="I405" s="519"/>
      <c r="J405" s="519"/>
      <c r="K405" s="519"/>
      <c r="L405" s="520"/>
    </row>
    <row r="406" spans="1:12" ht="13.5" customHeight="1">
      <c r="A406" s="509"/>
      <c r="B406" s="510"/>
      <c r="C406" s="511"/>
      <c r="D406" s="513"/>
      <c r="E406" s="515"/>
      <c r="F406" s="347"/>
      <c r="G406" s="348"/>
      <c r="H406" s="475"/>
      <c r="I406" s="476"/>
      <c r="J406" s="476"/>
      <c r="K406" s="476"/>
      <c r="L406" s="477"/>
    </row>
    <row r="407" spans="1:12" ht="13.5" customHeight="1">
      <c r="A407" s="509"/>
      <c r="B407" s="510"/>
      <c r="C407" s="511"/>
      <c r="D407" s="521"/>
      <c r="E407" s="501"/>
      <c r="F407" s="491"/>
      <c r="G407" s="492"/>
      <c r="H407" s="493"/>
      <c r="I407" s="494"/>
      <c r="J407" s="494"/>
      <c r="K407" s="494"/>
      <c r="L407" s="495"/>
    </row>
    <row r="408" spans="1:12" ht="15.75" customHeight="1">
      <c r="A408" s="509"/>
      <c r="B408" s="510"/>
      <c r="C408" s="511"/>
      <c r="D408" s="522"/>
      <c r="E408" s="502"/>
      <c r="F408" s="347"/>
      <c r="G408" s="348"/>
      <c r="H408" s="487"/>
      <c r="I408" s="488"/>
      <c r="J408" s="488"/>
      <c r="K408" s="488"/>
      <c r="L408" s="489"/>
    </row>
    <row r="409" spans="1:12" ht="15.75" customHeight="1">
      <c r="A409" s="535"/>
      <c r="B409" s="536"/>
      <c r="C409" s="462"/>
      <c r="D409" s="523"/>
      <c r="E409" s="515"/>
      <c r="F409" s="491"/>
      <c r="G409" s="492"/>
      <c r="H409" s="493"/>
      <c r="I409" s="494"/>
      <c r="J409" s="494"/>
      <c r="K409" s="494"/>
      <c r="L409" s="495"/>
    </row>
    <row r="410" spans="1:12" ht="14.25" customHeight="1">
      <c r="A410" s="496"/>
      <c r="B410" s="497"/>
      <c r="C410" s="464"/>
      <c r="D410" s="499"/>
      <c r="E410" s="502"/>
      <c r="F410" s="491"/>
      <c r="G410" s="492"/>
      <c r="H410" s="487"/>
      <c r="I410" s="488"/>
      <c r="J410" s="488"/>
      <c r="K410" s="488"/>
      <c r="L410" s="489"/>
    </row>
    <row r="411" spans="1:12" ht="14.25" customHeight="1">
      <c r="A411" s="539"/>
      <c r="B411" s="540"/>
      <c r="C411" s="541"/>
      <c r="D411" s="499"/>
      <c r="E411" s="502"/>
      <c r="F411" s="349"/>
      <c r="G411" s="350"/>
      <c r="H411" s="475"/>
      <c r="I411" s="476"/>
      <c r="J411" s="476"/>
      <c r="K411" s="476"/>
      <c r="L411" s="477"/>
    </row>
    <row r="412" spans="1:12" ht="13.5" customHeight="1" thickBot="1">
      <c r="A412" s="478"/>
      <c r="B412" s="479"/>
      <c r="C412" s="480"/>
      <c r="D412" s="537"/>
      <c r="E412" s="538"/>
      <c r="F412" s="307"/>
      <c r="G412" s="308"/>
      <c r="H412" s="532"/>
      <c r="I412" s="533"/>
      <c r="J412" s="533"/>
      <c r="K412" s="533"/>
      <c r="L412" s="534"/>
    </row>
    <row r="413" spans="1:12" ht="15" customHeight="1">
      <c r="B413" s="13"/>
      <c r="C413" s="13"/>
      <c r="D413" s="313"/>
      <c r="E413" s="314"/>
      <c r="F413" s="315"/>
      <c r="G413" s="71"/>
      <c r="H413" s="311"/>
      <c r="I413" s="311"/>
      <c r="J413" s="311"/>
      <c r="K413" s="311"/>
    </row>
    <row r="414" spans="1:12">
      <c r="A414" s="453" t="s">
        <v>94</v>
      </c>
      <c r="B414" s="453"/>
      <c r="C414" s="453"/>
      <c r="D414" s="453"/>
      <c r="E414" s="453"/>
      <c r="F414" s="453"/>
      <c r="G414" s="453"/>
      <c r="H414" s="453"/>
      <c r="I414" s="453"/>
      <c r="J414" s="453"/>
      <c r="K414" s="453"/>
      <c r="L414" s="453"/>
    </row>
    <row r="415" spans="1:12" ht="9" customHeight="1" thickBot="1"/>
    <row r="416" spans="1:12" ht="25.5" customHeight="1" thickBot="1">
      <c r="A416" s="525" t="s">
        <v>581</v>
      </c>
      <c r="B416" s="526"/>
      <c r="C416" s="527"/>
      <c r="D416" s="528" t="s">
        <v>601</v>
      </c>
      <c r="E416" s="527"/>
      <c r="F416" s="529" t="s">
        <v>659</v>
      </c>
      <c r="G416" s="530"/>
      <c r="H416" s="530"/>
      <c r="I416" s="530"/>
      <c r="J416" s="530"/>
      <c r="K416" s="530"/>
      <c r="L416" s="531"/>
    </row>
    <row r="417" spans="1:12" ht="14.25" customHeight="1">
      <c r="A417" s="506"/>
      <c r="B417" s="507"/>
      <c r="C417" s="508"/>
      <c r="D417" s="512"/>
      <c r="E417" s="514"/>
      <c r="F417" s="516"/>
      <c r="G417" s="517"/>
      <c r="H417" s="518"/>
      <c r="I417" s="519"/>
      <c r="J417" s="519"/>
      <c r="K417" s="519"/>
      <c r="L417" s="520"/>
    </row>
    <row r="418" spans="1:12" ht="13.5" customHeight="1">
      <c r="A418" s="509"/>
      <c r="B418" s="510"/>
      <c r="C418" s="511"/>
      <c r="D418" s="513"/>
      <c r="E418" s="515"/>
      <c r="F418" s="347"/>
      <c r="G418" s="348"/>
      <c r="H418" s="475"/>
      <c r="I418" s="476"/>
      <c r="J418" s="476"/>
      <c r="K418" s="476"/>
      <c r="L418" s="477"/>
    </row>
    <row r="419" spans="1:12" ht="13.5" customHeight="1">
      <c r="A419" s="509"/>
      <c r="B419" s="510"/>
      <c r="C419" s="511"/>
      <c r="D419" s="521"/>
      <c r="E419" s="501"/>
      <c r="F419" s="491"/>
      <c r="G419" s="492"/>
      <c r="H419" s="493"/>
      <c r="I419" s="494"/>
      <c r="J419" s="494"/>
      <c r="K419" s="494"/>
      <c r="L419" s="495"/>
    </row>
    <row r="420" spans="1:12" ht="13.5" customHeight="1">
      <c r="A420" s="509"/>
      <c r="B420" s="510"/>
      <c r="C420" s="511"/>
      <c r="D420" s="522"/>
      <c r="E420" s="502"/>
      <c r="F420" s="347"/>
      <c r="G420" s="348"/>
      <c r="H420" s="487"/>
      <c r="I420" s="488"/>
      <c r="J420" s="488"/>
      <c r="K420" s="488"/>
      <c r="L420" s="489"/>
    </row>
    <row r="421" spans="1:12" ht="16.5" customHeight="1">
      <c r="A421" s="490"/>
      <c r="B421" s="422"/>
      <c r="C421" s="440"/>
      <c r="D421" s="523"/>
      <c r="E421" s="515"/>
      <c r="F421" s="491"/>
      <c r="G421" s="492"/>
      <c r="H421" s="493"/>
      <c r="I421" s="494"/>
      <c r="J421" s="494"/>
      <c r="K421" s="494"/>
      <c r="L421" s="495"/>
    </row>
    <row r="422" spans="1:12" ht="13.5" customHeight="1">
      <c r="A422" s="496"/>
      <c r="B422" s="497"/>
      <c r="C422" s="464"/>
      <c r="D422" s="498"/>
      <c r="E422" s="501"/>
      <c r="F422" s="347"/>
      <c r="G422" s="348"/>
      <c r="H422" s="487"/>
      <c r="I422" s="488"/>
      <c r="J422" s="488"/>
      <c r="K422" s="488"/>
      <c r="L422" s="489"/>
    </row>
    <row r="423" spans="1:12" ht="15" customHeight="1">
      <c r="A423" s="504"/>
      <c r="B423" s="401"/>
      <c r="C423" s="505"/>
      <c r="D423" s="499"/>
      <c r="E423" s="502"/>
      <c r="F423" s="491"/>
      <c r="G423" s="492"/>
      <c r="H423" s="475"/>
      <c r="I423" s="476"/>
      <c r="J423" s="476"/>
      <c r="K423" s="476"/>
      <c r="L423" s="477"/>
    </row>
    <row r="424" spans="1:12" ht="17.25" customHeight="1" thickBot="1">
      <c r="A424" s="478"/>
      <c r="B424" s="479"/>
      <c r="C424" s="480"/>
      <c r="D424" s="500"/>
      <c r="E424" s="503"/>
      <c r="F424" s="351"/>
      <c r="G424" s="352"/>
      <c r="H424" s="481"/>
      <c r="I424" s="482"/>
      <c r="J424" s="482"/>
      <c r="K424" s="482"/>
      <c r="L424" s="483"/>
    </row>
    <row r="425" spans="1:12" ht="15.75" customHeight="1">
      <c r="A425" s="506"/>
      <c r="B425" s="507"/>
      <c r="C425" s="508"/>
      <c r="D425" s="512"/>
      <c r="E425" s="514"/>
      <c r="F425" s="516"/>
      <c r="G425" s="517"/>
      <c r="H425" s="518"/>
      <c r="I425" s="519"/>
      <c r="J425" s="519"/>
      <c r="K425" s="519"/>
      <c r="L425" s="520"/>
    </row>
    <row r="426" spans="1:12" ht="17.25" customHeight="1">
      <c r="A426" s="509"/>
      <c r="B426" s="510"/>
      <c r="C426" s="511"/>
      <c r="D426" s="513"/>
      <c r="E426" s="515"/>
      <c r="F426" s="347"/>
      <c r="G426" s="348"/>
      <c r="H426" s="475"/>
      <c r="I426" s="476"/>
      <c r="J426" s="476"/>
      <c r="K426" s="476"/>
      <c r="L426" s="477"/>
    </row>
    <row r="427" spans="1:12" ht="12.75" customHeight="1">
      <c r="A427" s="509"/>
      <c r="B427" s="510"/>
      <c r="C427" s="511"/>
      <c r="D427" s="521"/>
      <c r="E427" s="501"/>
      <c r="F427" s="491"/>
      <c r="G427" s="492"/>
      <c r="H427" s="493"/>
      <c r="I427" s="494"/>
      <c r="J427" s="494"/>
      <c r="K427" s="494"/>
      <c r="L427" s="495"/>
    </row>
    <row r="428" spans="1:12" ht="15.75" customHeight="1">
      <c r="A428" s="509"/>
      <c r="B428" s="510"/>
      <c r="C428" s="511"/>
      <c r="D428" s="522"/>
      <c r="E428" s="502"/>
      <c r="F428" s="347"/>
      <c r="G428" s="348"/>
      <c r="H428" s="487"/>
      <c r="I428" s="488"/>
      <c r="J428" s="488"/>
      <c r="K428" s="488"/>
      <c r="L428" s="489"/>
    </row>
    <row r="429" spans="1:12" ht="12.75" customHeight="1">
      <c r="A429" s="490"/>
      <c r="B429" s="422"/>
      <c r="C429" s="440"/>
      <c r="D429" s="523"/>
      <c r="E429" s="515"/>
      <c r="F429" s="491"/>
      <c r="G429" s="492"/>
      <c r="H429" s="493"/>
      <c r="I429" s="494"/>
      <c r="J429" s="494"/>
      <c r="K429" s="494"/>
      <c r="L429" s="495"/>
    </row>
    <row r="430" spans="1:12" ht="17.25" customHeight="1">
      <c r="A430" s="496"/>
      <c r="B430" s="497"/>
      <c r="C430" s="464"/>
      <c r="D430" s="498"/>
      <c r="E430" s="501"/>
      <c r="F430" s="347"/>
      <c r="G430" s="348"/>
      <c r="H430" s="487"/>
      <c r="I430" s="488"/>
      <c r="J430" s="488"/>
      <c r="K430" s="488"/>
      <c r="L430" s="489"/>
    </row>
    <row r="431" spans="1:12" ht="13.5" customHeight="1">
      <c r="A431" s="504"/>
      <c r="B431" s="401"/>
      <c r="C431" s="505"/>
      <c r="D431" s="499"/>
      <c r="E431" s="502"/>
      <c r="F431" s="491"/>
      <c r="G431" s="492"/>
      <c r="H431" s="475"/>
      <c r="I431" s="476"/>
      <c r="J431" s="476"/>
      <c r="K431" s="476"/>
      <c r="L431" s="477"/>
    </row>
    <row r="432" spans="1:12" ht="15.75" customHeight="1" thickBot="1">
      <c r="A432" s="478"/>
      <c r="B432" s="479"/>
      <c r="C432" s="480"/>
      <c r="D432" s="500"/>
      <c r="E432" s="503"/>
      <c r="F432" s="351"/>
      <c r="G432" s="352"/>
      <c r="H432" s="481"/>
      <c r="I432" s="482"/>
      <c r="J432" s="482"/>
      <c r="K432" s="482"/>
      <c r="L432" s="483"/>
    </row>
    <row r="433" spans="1:12" ht="13.5" customHeight="1">
      <c r="A433" s="506"/>
      <c r="B433" s="507"/>
      <c r="C433" s="508"/>
      <c r="D433" s="512"/>
      <c r="E433" s="514"/>
      <c r="F433" s="516"/>
      <c r="G433" s="517"/>
      <c r="H433" s="518"/>
      <c r="I433" s="519"/>
      <c r="J433" s="519"/>
      <c r="K433" s="519"/>
      <c r="L433" s="520"/>
    </row>
    <row r="434" spans="1:12" ht="15.75" customHeight="1">
      <c r="A434" s="509"/>
      <c r="B434" s="510"/>
      <c r="C434" s="511"/>
      <c r="D434" s="513"/>
      <c r="E434" s="515"/>
      <c r="F434" s="347"/>
      <c r="G434" s="348"/>
      <c r="H434" s="475"/>
      <c r="I434" s="476"/>
      <c r="J434" s="476"/>
      <c r="K434" s="476"/>
      <c r="L434" s="477"/>
    </row>
    <row r="435" spans="1:12" ht="15.75" customHeight="1">
      <c r="A435" s="509"/>
      <c r="B435" s="510"/>
      <c r="C435" s="511"/>
      <c r="D435" s="521"/>
      <c r="E435" s="501"/>
      <c r="F435" s="491"/>
      <c r="G435" s="492"/>
      <c r="H435" s="493"/>
      <c r="I435" s="494"/>
      <c r="J435" s="494"/>
      <c r="K435" s="494"/>
      <c r="L435" s="495"/>
    </row>
    <row r="436" spans="1:12" ht="18" customHeight="1">
      <c r="A436" s="509"/>
      <c r="B436" s="510"/>
      <c r="C436" s="511"/>
      <c r="D436" s="522"/>
      <c r="E436" s="502"/>
      <c r="F436" s="347"/>
      <c r="G436" s="348"/>
      <c r="H436" s="487"/>
      <c r="I436" s="488"/>
      <c r="J436" s="488"/>
      <c r="K436" s="488"/>
      <c r="L436" s="489"/>
    </row>
    <row r="437" spans="1:12" ht="13.5" customHeight="1">
      <c r="A437" s="490"/>
      <c r="B437" s="422"/>
      <c r="C437" s="440"/>
      <c r="D437" s="523"/>
      <c r="E437" s="515"/>
      <c r="F437" s="491"/>
      <c r="G437" s="492"/>
      <c r="H437" s="493"/>
      <c r="I437" s="494"/>
      <c r="J437" s="494"/>
      <c r="K437" s="494"/>
      <c r="L437" s="495"/>
    </row>
    <row r="438" spans="1:12" ht="14.25" customHeight="1">
      <c r="A438" s="496"/>
      <c r="B438" s="497"/>
      <c r="C438" s="464"/>
      <c r="D438" s="498"/>
      <c r="E438" s="501"/>
      <c r="F438" s="347"/>
      <c r="G438" s="348"/>
      <c r="H438" s="487"/>
      <c r="I438" s="488"/>
      <c r="J438" s="488"/>
      <c r="K438" s="488"/>
      <c r="L438" s="489"/>
    </row>
    <row r="439" spans="1:12" ht="14.25" customHeight="1">
      <c r="A439" s="504"/>
      <c r="B439" s="401"/>
      <c r="C439" s="505"/>
      <c r="D439" s="499"/>
      <c r="E439" s="502"/>
      <c r="F439" s="491"/>
      <c r="G439" s="492"/>
      <c r="H439" s="475"/>
      <c r="I439" s="476"/>
      <c r="J439" s="476"/>
      <c r="K439" s="476"/>
      <c r="L439" s="477"/>
    </row>
    <row r="440" spans="1:12" ht="15" customHeight="1" thickBot="1">
      <c r="A440" s="478"/>
      <c r="B440" s="479"/>
      <c r="C440" s="480"/>
      <c r="D440" s="500"/>
      <c r="E440" s="503"/>
      <c r="F440" s="351"/>
      <c r="G440" s="352"/>
      <c r="H440" s="481"/>
      <c r="I440" s="482"/>
      <c r="J440" s="482"/>
      <c r="K440" s="482"/>
      <c r="L440" s="483"/>
    </row>
    <row r="441" spans="1:12" ht="14.25" customHeight="1">
      <c r="A441" s="506"/>
      <c r="B441" s="507"/>
      <c r="C441" s="508"/>
      <c r="D441" s="512"/>
      <c r="E441" s="514"/>
      <c r="F441" s="516"/>
      <c r="G441" s="517"/>
      <c r="H441" s="518"/>
      <c r="I441" s="519"/>
      <c r="J441" s="519"/>
      <c r="K441" s="519"/>
      <c r="L441" s="520"/>
    </row>
    <row r="442" spans="1:12" ht="17.25" customHeight="1">
      <c r="A442" s="509"/>
      <c r="B442" s="510"/>
      <c r="C442" s="511"/>
      <c r="D442" s="513"/>
      <c r="E442" s="515"/>
      <c r="F442" s="347"/>
      <c r="G442" s="348"/>
      <c r="H442" s="475"/>
      <c r="I442" s="476"/>
      <c r="J442" s="476"/>
      <c r="K442" s="476"/>
      <c r="L442" s="477"/>
    </row>
    <row r="443" spans="1:12" ht="12.75" customHeight="1">
      <c r="A443" s="509"/>
      <c r="B443" s="510"/>
      <c r="C443" s="511"/>
      <c r="D443" s="521"/>
      <c r="E443" s="501"/>
      <c r="F443" s="491"/>
      <c r="G443" s="492"/>
      <c r="H443" s="493"/>
      <c r="I443" s="494"/>
      <c r="J443" s="494"/>
      <c r="K443" s="494"/>
      <c r="L443" s="495"/>
    </row>
    <row r="444" spans="1:12" ht="15.75" customHeight="1">
      <c r="A444" s="509"/>
      <c r="B444" s="510"/>
      <c r="C444" s="511"/>
      <c r="D444" s="522"/>
      <c r="E444" s="502"/>
      <c r="F444" s="347"/>
      <c r="G444" s="348"/>
      <c r="H444" s="487"/>
      <c r="I444" s="488"/>
      <c r="J444" s="488"/>
      <c r="K444" s="488"/>
      <c r="L444" s="489"/>
    </row>
    <row r="445" spans="1:12" ht="12.75" customHeight="1">
      <c r="A445" s="490"/>
      <c r="B445" s="422"/>
      <c r="C445" s="440"/>
      <c r="D445" s="523"/>
      <c r="E445" s="515"/>
      <c r="F445" s="491"/>
      <c r="G445" s="492"/>
      <c r="H445" s="493"/>
      <c r="I445" s="494"/>
      <c r="J445" s="494"/>
      <c r="K445" s="494"/>
      <c r="L445" s="495"/>
    </row>
    <row r="446" spans="1:12" ht="15.75" customHeight="1">
      <c r="A446" s="496"/>
      <c r="B446" s="497"/>
      <c r="C446" s="464"/>
      <c r="D446" s="498"/>
      <c r="E446" s="501"/>
      <c r="F446" s="347"/>
      <c r="G446" s="348"/>
      <c r="H446" s="487"/>
      <c r="I446" s="488"/>
      <c r="J446" s="488"/>
      <c r="K446" s="488"/>
      <c r="L446" s="489"/>
    </row>
    <row r="447" spans="1:12" ht="12" customHeight="1">
      <c r="A447" s="504"/>
      <c r="B447" s="401"/>
      <c r="C447" s="505"/>
      <c r="D447" s="499"/>
      <c r="E447" s="502"/>
      <c r="F447" s="491"/>
      <c r="G447" s="492"/>
      <c r="H447" s="475"/>
      <c r="I447" s="476"/>
      <c r="J447" s="476"/>
      <c r="K447" s="476"/>
      <c r="L447" s="477"/>
    </row>
    <row r="448" spans="1:12" ht="21" customHeight="1" thickBot="1">
      <c r="A448" s="478"/>
      <c r="B448" s="479"/>
      <c r="C448" s="480"/>
      <c r="D448" s="500"/>
      <c r="E448" s="503"/>
      <c r="F448" s="351"/>
      <c r="G448" s="352"/>
      <c r="H448" s="481"/>
      <c r="I448" s="482"/>
      <c r="J448" s="482"/>
      <c r="K448" s="482"/>
      <c r="L448" s="483"/>
    </row>
    <row r="449" spans="1:12" ht="15" customHeight="1">
      <c r="A449" s="506"/>
      <c r="B449" s="507"/>
      <c r="C449" s="508"/>
      <c r="D449" s="512"/>
      <c r="E449" s="514"/>
      <c r="F449" s="516"/>
      <c r="G449" s="517"/>
      <c r="H449" s="518"/>
      <c r="I449" s="519"/>
      <c r="J449" s="519"/>
      <c r="K449" s="519"/>
      <c r="L449" s="520"/>
    </row>
    <row r="450" spans="1:12" ht="15" customHeight="1">
      <c r="A450" s="509"/>
      <c r="B450" s="510"/>
      <c r="C450" s="511"/>
      <c r="D450" s="513"/>
      <c r="E450" s="515"/>
      <c r="F450" s="347"/>
      <c r="G450" s="348"/>
      <c r="H450" s="475"/>
      <c r="I450" s="476"/>
      <c r="J450" s="476"/>
      <c r="K450" s="476"/>
      <c r="L450" s="477"/>
    </row>
    <row r="451" spans="1:12" ht="15" customHeight="1">
      <c r="A451" s="509"/>
      <c r="B451" s="510"/>
      <c r="C451" s="511"/>
      <c r="D451" s="521"/>
      <c r="E451" s="501"/>
      <c r="F451" s="491"/>
      <c r="G451" s="492"/>
      <c r="H451" s="493"/>
      <c r="I451" s="494"/>
      <c r="J451" s="494"/>
      <c r="K451" s="494"/>
      <c r="L451" s="495"/>
    </row>
    <row r="452" spans="1:12" ht="15.75" customHeight="1">
      <c r="A452" s="509"/>
      <c r="B452" s="510"/>
      <c r="C452" s="511"/>
      <c r="D452" s="522"/>
      <c r="E452" s="502"/>
      <c r="F452" s="347"/>
      <c r="G452" s="348"/>
      <c r="H452" s="487"/>
      <c r="I452" s="488"/>
      <c r="J452" s="488"/>
      <c r="K452" s="488"/>
      <c r="L452" s="489"/>
    </row>
    <row r="453" spans="1:12" ht="12.75" customHeight="1">
      <c r="A453" s="490"/>
      <c r="B453" s="422"/>
      <c r="C453" s="440"/>
      <c r="D453" s="523"/>
      <c r="E453" s="515"/>
      <c r="F453" s="491"/>
      <c r="G453" s="492"/>
      <c r="H453" s="493"/>
      <c r="I453" s="494"/>
      <c r="J453" s="494"/>
      <c r="K453" s="494"/>
      <c r="L453" s="495"/>
    </row>
    <row r="454" spans="1:12" ht="18" customHeight="1">
      <c r="A454" s="524"/>
      <c r="B454" s="397"/>
      <c r="C454" s="442"/>
      <c r="D454" s="498"/>
      <c r="E454" s="501"/>
      <c r="F454" s="347"/>
      <c r="G454" s="348"/>
      <c r="H454" s="487"/>
      <c r="I454" s="488"/>
      <c r="J454" s="488"/>
      <c r="K454" s="488"/>
      <c r="L454" s="489"/>
    </row>
    <row r="455" spans="1:12" ht="14.25" customHeight="1">
      <c r="A455" s="504"/>
      <c r="B455" s="401"/>
      <c r="C455" s="505"/>
      <c r="D455" s="499"/>
      <c r="E455" s="502"/>
      <c r="F455" s="491"/>
      <c r="G455" s="492"/>
      <c r="H455" s="475"/>
      <c r="I455" s="476"/>
      <c r="J455" s="476"/>
      <c r="K455" s="476"/>
      <c r="L455" s="477"/>
    </row>
    <row r="456" spans="1:12" ht="15.75" customHeight="1" thickBot="1">
      <c r="A456" s="478"/>
      <c r="B456" s="479"/>
      <c r="C456" s="480"/>
      <c r="D456" s="500"/>
      <c r="E456" s="503"/>
      <c r="F456" s="351"/>
      <c r="G456" s="352"/>
      <c r="H456" s="481"/>
      <c r="I456" s="482"/>
      <c r="J456" s="482"/>
      <c r="K456" s="482"/>
      <c r="L456" s="483"/>
    </row>
    <row r="457" spans="1:12" ht="13.5" customHeight="1">
      <c r="A457" s="506"/>
      <c r="B457" s="507"/>
      <c r="C457" s="508"/>
      <c r="D457" s="512"/>
      <c r="E457" s="514"/>
      <c r="F457" s="516"/>
      <c r="G457" s="517"/>
      <c r="H457" s="518"/>
      <c r="I457" s="519"/>
      <c r="J457" s="519"/>
      <c r="K457" s="519"/>
      <c r="L457" s="520"/>
    </row>
    <row r="458" spans="1:12" ht="17.25" customHeight="1">
      <c r="A458" s="509"/>
      <c r="B458" s="510"/>
      <c r="C458" s="511"/>
      <c r="D458" s="513"/>
      <c r="E458" s="515"/>
      <c r="F458" s="347"/>
      <c r="G458" s="348"/>
      <c r="H458" s="475"/>
      <c r="I458" s="476"/>
      <c r="J458" s="476"/>
      <c r="K458" s="476"/>
      <c r="L458" s="477"/>
    </row>
    <row r="459" spans="1:12" ht="12" customHeight="1">
      <c r="A459" s="509"/>
      <c r="B459" s="510"/>
      <c r="C459" s="511"/>
      <c r="D459" s="521"/>
      <c r="E459" s="501"/>
      <c r="F459" s="491"/>
      <c r="G459" s="492"/>
      <c r="H459" s="493"/>
      <c r="I459" s="494"/>
      <c r="J459" s="494"/>
      <c r="K459" s="494"/>
      <c r="L459" s="495"/>
    </row>
    <row r="460" spans="1:12" ht="15" customHeight="1">
      <c r="A460" s="509"/>
      <c r="B460" s="510"/>
      <c r="C460" s="511"/>
      <c r="D460" s="522"/>
      <c r="E460" s="502"/>
      <c r="F460" s="347"/>
      <c r="G460" s="348"/>
      <c r="H460" s="487"/>
      <c r="I460" s="488"/>
      <c r="J460" s="488"/>
      <c r="K460" s="488"/>
      <c r="L460" s="489"/>
    </row>
    <row r="461" spans="1:12" ht="14.25" customHeight="1">
      <c r="A461" s="490"/>
      <c r="B461" s="422"/>
      <c r="C461" s="440"/>
      <c r="D461" s="523"/>
      <c r="E461" s="515"/>
      <c r="F461" s="491"/>
      <c r="G461" s="492"/>
      <c r="H461" s="493"/>
      <c r="I461" s="494"/>
      <c r="J461" s="494"/>
      <c r="K461" s="494"/>
      <c r="L461" s="495"/>
    </row>
    <row r="462" spans="1:12" ht="16.5" customHeight="1">
      <c r="A462" s="496"/>
      <c r="B462" s="497"/>
      <c r="C462" s="464"/>
      <c r="D462" s="498"/>
      <c r="E462" s="501"/>
      <c r="F462" s="347"/>
      <c r="G462" s="348"/>
      <c r="H462" s="487"/>
      <c r="I462" s="488"/>
      <c r="J462" s="488"/>
      <c r="K462" s="488"/>
      <c r="L462" s="489"/>
    </row>
    <row r="463" spans="1:12" ht="14.25" customHeight="1">
      <c r="A463" s="504"/>
      <c r="B463" s="401"/>
      <c r="C463" s="505"/>
      <c r="D463" s="499"/>
      <c r="E463" s="502"/>
      <c r="F463" s="491"/>
      <c r="G463" s="492"/>
      <c r="H463" s="475"/>
      <c r="I463" s="476"/>
      <c r="J463" s="476"/>
      <c r="K463" s="476"/>
      <c r="L463" s="477"/>
    </row>
    <row r="464" spans="1:12" ht="15" customHeight="1" thickBot="1">
      <c r="A464" s="478"/>
      <c r="B464" s="479"/>
      <c r="C464" s="480"/>
      <c r="D464" s="500"/>
      <c r="E464" s="503"/>
      <c r="F464" s="351"/>
      <c r="G464" s="352"/>
      <c r="H464" s="481"/>
      <c r="I464" s="482"/>
      <c r="J464" s="482"/>
      <c r="K464" s="482"/>
      <c r="L464" s="483"/>
    </row>
    <row r="465" spans="1:12" ht="12.75" customHeight="1">
      <c r="A465" s="506"/>
      <c r="B465" s="507"/>
      <c r="C465" s="508"/>
      <c r="D465" s="512"/>
      <c r="E465" s="514"/>
      <c r="F465" s="516"/>
      <c r="G465" s="517"/>
      <c r="H465" s="518"/>
      <c r="I465" s="519"/>
      <c r="J465" s="519"/>
      <c r="K465" s="519"/>
      <c r="L465" s="520"/>
    </row>
    <row r="466" spans="1:12" ht="17.25" customHeight="1">
      <c r="A466" s="509"/>
      <c r="B466" s="510"/>
      <c r="C466" s="511"/>
      <c r="D466" s="513"/>
      <c r="E466" s="515"/>
      <c r="F466" s="347"/>
      <c r="G466" s="348"/>
      <c r="H466" s="475"/>
      <c r="I466" s="476"/>
      <c r="J466" s="476"/>
      <c r="K466" s="476"/>
      <c r="L466" s="477"/>
    </row>
    <row r="467" spans="1:12" ht="12.75" customHeight="1">
      <c r="A467" s="509"/>
      <c r="B467" s="510"/>
      <c r="C467" s="511"/>
      <c r="D467" s="521"/>
      <c r="E467" s="501"/>
      <c r="F467" s="491"/>
      <c r="G467" s="492"/>
      <c r="H467" s="493"/>
      <c r="I467" s="494"/>
      <c r="J467" s="494"/>
      <c r="K467" s="494"/>
      <c r="L467" s="495"/>
    </row>
    <row r="468" spans="1:12" ht="15" customHeight="1">
      <c r="A468" s="509"/>
      <c r="B468" s="510"/>
      <c r="C468" s="511"/>
      <c r="D468" s="522"/>
      <c r="E468" s="502"/>
      <c r="F468" s="347"/>
      <c r="G468" s="348"/>
      <c r="H468" s="487"/>
      <c r="I468" s="488"/>
      <c r="J468" s="488"/>
      <c r="K468" s="488"/>
      <c r="L468" s="489"/>
    </row>
    <row r="469" spans="1:12" ht="14.25" customHeight="1">
      <c r="A469" s="490"/>
      <c r="B469" s="422"/>
      <c r="C469" s="440"/>
      <c r="D469" s="523"/>
      <c r="E469" s="515"/>
      <c r="F469" s="491"/>
      <c r="G469" s="492"/>
      <c r="H469" s="493"/>
      <c r="I469" s="494"/>
      <c r="J469" s="494"/>
      <c r="K469" s="494"/>
      <c r="L469" s="495"/>
    </row>
    <row r="470" spans="1:12" ht="16.5" customHeight="1">
      <c r="A470" s="496"/>
      <c r="B470" s="497"/>
      <c r="C470" s="464"/>
      <c r="D470" s="498"/>
      <c r="E470" s="501"/>
      <c r="F470" s="347"/>
      <c r="G470" s="348"/>
      <c r="H470" s="487"/>
      <c r="I470" s="488"/>
      <c r="J470" s="488"/>
      <c r="K470" s="488"/>
      <c r="L470" s="489"/>
    </row>
    <row r="471" spans="1:12" ht="15.75" customHeight="1">
      <c r="A471" s="504"/>
      <c r="B471" s="401"/>
      <c r="C471" s="505"/>
      <c r="D471" s="499"/>
      <c r="E471" s="502"/>
      <c r="F471" s="491"/>
      <c r="G471" s="492"/>
      <c r="H471" s="475"/>
      <c r="I471" s="476"/>
      <c r="J471" s="476"/>
      <c r="K471" s="476"/>
      <c r="L471" s="477"/>
    </row>
    <row r="472" spans="1:12" ht="15" customHeight="1" thickBot="1">
      <c r="A472" s="478"/>
      <c r="B472" s="479"/>
      <c r="C472" s="480"/>
      <c r="D472" s="500"/>
      <c r="E472" s="503"/>
      <c r="F472" s="351"/>
      <c r="G472" s="352"/>
      <c r="H472" s="481"/>
      <c r="I472" s="482"/>
      <c r="J472" s="482"/>
      <c r="K472" s="482"/>
      <c r="L472" s="483"/>
    </row>
    <row r="473" spans="1:12" ht="15" customHeight="1" thickBot="1">
      <c r="A473" s="13"/>
      <c r="B473" s="13"/>
      <c r="C473" s="13"/>
      <c r="D473" s="375"/>
      <c r="E473" s="376"/>
      <c r="F473" s="377"/>
      <c r="G473" s="378"/>
      <c r="H473" s="368"/>
      <c r="I473" s="368"/>
      <c r="J473" s="368"/>
      <c r="K473" s="368"/>
      <c r="L473" s="368"/>
    </row>
    <row r="474" spans="1:12" ht="25.5" customHeight="1" thickBot="1">
      <c r="A474" s="525" t="s">
        <v>581</v>
      </c>
      <c r="B474" s="526"/>
      <c r="C474" s="527"/>
      <c r="D474" s="528" t="s">
        <v>601</v>
      </c>
      <c r="E474" s="527"/>
      <c r="F474" s="529" t="s">
        <v>659</v>
      </c>
      <c r="G474" s="530"/>
      <c r="H474" s="530"/>
      <c r="I474" s="530"/>
      <c r="J474" s="530"/>
      <c r="K474" s="530"/>
      <c r="L474" s="531"/>
    </row>
    <row r="475" spans="1:12" ht="14.25" customHeight="1">
      <c r="A475" s="506"/>
      <c r="B475" s="507"/>
      <c r="C475" s="508"/>
      <c r="D475" s="512"/>
      <c r="E475" s="514"/>
      <c r="F475" s="516"/>
      <c r="G475" s="517"/>
      <c r="H475" s="518"/>
      <c r="I475" s="519"/>
      <c r="J475" s="519"/>
      <c r="K475" s="519"/>
      <c r="L475" s="520"/>
    </row>
    <row r="476" spans="1:12" ht="13.5" customHeight="1">
      <c r="A476" s="509"/>
      <c r="B476" s="510"/>
      <c r="C476" s="511"/>
      <c r="D476" s="513"/>
      <c r="E476" s="515"/>
      <c r="F476" s="347"/>
      <c r="G476" s="348"/>
      <c r="H476" s="475"/>
      <c r="I476" s="476"/>
      <c r="J476" s="476"/>
      <c r="K476" s="476"/>
      <c r="L476" s="477"/>
    </row>
    <row r="477" spans="1:12" ht="13.5" customHeight="1">
      <c r="A477" s="509"/>
      <c r="B477" s="510"/>
      <c r="C477" s="511"/>
      <c r="D477" s="521"/>
      <c r="E477" s="501"/>
      <c r="F477" s="491"/>
      <c r="G477" s="492"/>
      <c r="H477" s="493"/>
      <c r="I477" s="494"/>
      <c r="J477" s="494"/>
      <c r="K477" s="494"/>
      <c r="L477" s="495"/>
    </row>
    <row r="478" spans="1:12" ht="13.5" customHeight="1">
      <c r="A478" s="509"/>
      <c r="B478" s="510"/>
      <c r="C478" s="511"/>
      <c r="D478" s="522"/>
      <c r="E478" s="502"/>
      <c r="F478" s="347"/>
      <c r="G478" s="348"/>
      <c r="H478" s="487"/>
      <c r="I478" s="488"/>
      <c r="J478" s="488"/>
      <c r="K478" s="488"/>
      <c r="L478" s="489"/>
    </row>
    <row r="479" spans="1:12" ht="16.5" customHeight="1">
      <c r="A479" s="490"/>
      <c r="B479" s="422"/>
      <c r="C479" s="440"/>
      <c r="D479" s="523"/>
      <c r="E479" s="515"/>
      <c r="F479" s="491"/>
      <c r="G479" s="492"/>
      <c r="H479" s="493"/>
      <c r="I479" s="494"/>
      <c r="J479" s="494"/>
      <c r="K479" s="494"/>
      <c r="L479" s="495"/>
    </row>
    <row r="480" spans="1:12" ht="13.5" customHeight="1">
      <c r="A480" s="496"/>
      <c r="B480" s="497"/>
      <c r="C480" s="464"/>
      <c r="D480" s="498"/>
      <c r="E480" s="501"/>
      <c r="F480" s="347"/>
      <c r="G480" s="348"/>
      <c r="H480" s="487"/>
      <c r="I480" s="488"/>
      <c r="J480" s="488"/>
      <c r="K480" s="488"/>
      <c r="L480" s="489"/>
    </row>
    <row r="481" spans="1:12" ht="15" customHeight="1">
      <c r="A481" s="504"/>
      <c r="B481" s="401"/>
      <c r="C481" s="505"/>
      <c r="D481" s="499"/>
      <c r="E481" s="502"/>
      <c r="F481" s="491"/>
      <c r="G481" s="492"/>
      <c r="H481" s="475"/>
      <c r="I481" s="476"/>
      <c r="J481" s="476"/>
      <c r="K481" s="476"/>
      <c r="L481" s="477"/>
    </row>
    <row r="482" spans="1:12" ht="17.25" customHeight="1" thickBot="1">
      <c r="A482" s="478"/>
      <c r="B482" s="479"/>
      <c r="C482" s="480"/>
      <c r="D482" s="500"/>
      <c r="E482" s="503"/>
      <c r="F482" s="351"/>
      <c r="G482" s="352"/>
      <c r="H482" s="481"/>
      <c r="I482" s="482"/>
      <c r="J482" s="482"/>
      <c r="K482" s="482"/>
      <c r="L482" s="483"/>
    </row>
    <row r="483" spans="1:12" ht="15.75" customHeight="1">
      <c r="A483" s="506"/>
      <c r="B483" s="507"/>
      <c r="C483" s="508"/>
      <c r="D483" s="512"/>
      <c r="E483" s="514"/>
      <c r="F483" s="516"/>
      <c r="G483" s="517"/>
      <c r="H483" s="518"/>
      <c r="I483" s="519"/>
      <c r="J483" s="519"/>
      <c r="K483" s="519"/>
      <c r="L483" s="520"/>
    </row>
    <row r="484" spans="1:12" ht="17.25" customHeight="1">
      <c r="A484" s="509"/>
      <c r="B484" s="510"/>
      <c r="C484" s="511"/>
      <c r="D484" s="513"/>
      <c r="E484" s="515"/>
      <c r="F484" s="347"/>
      <c r="G484" s="348"/>
      <c r="H484" s="475"/>
      <c r="I484" s="476"/>
      <c r="J484" s="476"/>
      <c r="K484" s="476"/>
      <c r="L484" s="477"/>
    </row>
    <row r="485" spans="1:12" ht="12.75" customHeight="1">
      <c r="A485" s="509"/>
      <c r="B485" s="510"/>
      <c r="C485" s="511"/>
      <c r="D485" s="521"/>
      <c r="E485" s="501"/>
      <c r="F485" s="491"/>
      <c r="G485" s="492"/>
      <c r="H485" s="493"/>
      <c r="I485" s="494"/>
      <c r="J485" s="494"/>
      <c r="K485" s="494"/>
      <c r="L485" s="495"/>
    </row>
    <row r="486" spans="1:12" ht="15.75" customHeight="1">
      <c r="A486" s="509"/>
      <c r="B486" s="510"/>
      <c r="C486" s="511"/>
      <c r="D486" s="522"/>
      <c r="E486" s="502"/>
      <c r="F486" s="347"/>
      <c r="G486" s="348"/>
      <c r="H486" s="487"/>
      <c r="I486" s="488"/>
      <c r="J486" s="488"/>
      <c r="K486" s="488"/>
      <c r="L486" s="489"/>
    </row>
    <row r="487" spans="1:12" ht="12.75" customHeight="1">
      <c r="A487" s="490"/>
      <c r="B487" s="422"/>
      <c r="C487" s="440"/>
      <c r="D487" s="523"/>
      <c r="E487" s="515"/>
      <c r="F487" s="491"/>
      <c r="G487" s="492"/>
      <c r="H487" s="493"/>
      <c r="I487" s="494"/>
      <c r="J487" s="494"/>
      <c r="K487" s="494"/>
      <c r="L487" s="495"/>
    </row>
    <row r="488" spans="1:12" ht="17.25" customHeight="1">
      <c r="A488" s="496"/>
      <c r="B488" s="497"/>
      <c r="C488" s="464"/>
      <c r="D488" s="498"/>
      <c r="E488" s="501"/>
      <c r="F488" s="347"/>
      <c r="G488" s="348"/>
      <c r="H488" s="487"/>
      <c r="I488" s="488"/>
      <c r="J488" s="488"/>
      <c r="K488" s="488"/>
      <c r="L488" s="489"/>
    </row>
    <row r="489" spans="1:12" ht="13.5" customHeight="1">
      <c r="A489" s="504"/>
      <c r="B489" s="401"/>
      <c r="C489" s="505"/>
      <c r="D489" s="499"/>
      <c r="E489" s="502"/>
      <c r="F489" s="491"/>
      <c r="G489" s="492"/>
      <c r="H489" s="475"/>
      <c r="I489" s="476"/>
      <c r="J489" s="476"/>
      <c r="K489" s="476"/>
      <c r="L489" s="477"/>
    </row>
    <row r="490" spans="1:12" ht="15.75" customHeight="1" thickBot="1">
      <c r="A490" s="478"/>
      <c r="B490" s="479"/>
      <c r="C490" s="480"/>
      <c r="D490" s="500"/>
      <c r="E490" s="503"/>
      <c r="F490" s="351"/>
      <c r="G490" s="352"/>
      <c r="H490" s="481"/>
      <c r="I490" s="482"/>
      <c r="J490" s="482"/>
      <c r="K490" s="482"/>
      <c r="L490" s="483"/>
    </row>
    <row r="491" spans="1:12" ht="13.5" customHeight="1">
      <c r="A491" s="506"/>
      <c r="B491" s="507"/>
      <c r="C491" s="508"/>
      <c r="D491" s="512"/>
      <c r="E491" s="514"/>
      <c r="F491" s="516"/>
      <c r="G491" s="517"/>
      <c r="H491" s="518"/>
      <c r="I491" s="519"/>
      <c r="J491" s="519"/>
      <c r="K491" s="519"/>
      <c r="L491" s="520"/>
    </row>
    <row r="492" spans="1:12" ht="15.75" customHeight="1">
      <c r="A492" s="509"/>
      <c r="B492" s="510"/>
      <c r="C492" s="511"/>
      <c r="D492" s="513"/>
      <c r="E492" s="515"/>
      <c r="F492" s="347"/>
      <c r="G492" s="348"/>
      <c r="H492" s="475"/>
      <c r="I492" s="476"/>
      <c r="J492" s="476"/>
      <c r="K492" s="476"/>
      <c r="L492" s="477"/>
    </row>
    <row r="493" spans="1:12" ht="15.75" customHeight="1">
      <c r="A493" s="509"/>
      <c r="B493" s="510"/>
      <c r="C493" s="511"/>
      <c r="D493" s="521"/>
      <c r="E493" s="501"/>
      <c r="F493" s="491"/>
      <c r="G493" s="492"/>
      <c r="H493" s="493"/>
      <c r="I493" s="494"/>
      <c r="J493" s="494"/>
      <c r="K493" s="494"/>
      <c r="L493" s="495"/>
    </row>
    <row r="494" spans="1:12" ht="18" customHeight="1">
      <c r="A494" s="509"/>
      <c r="B494" s="510"/>
      <c r="C494" s="511"/>
      <c r="D494" s="522"/>
      <c r="E494" s="502"/>
      <c r="F494" s="347"/>
      <c r="G494" s="348"/>
      <c r="H494" s="487"/>
      <c r="I494" s="488"/>
      <c r="J494" s="488"/>
      <c r="K494" s="488"/>
      <c r="L494" s="489"/>
    </row>
    <row r="495" spans="1:12" ht="13.5" customHeight="1">
      <c r="A495" s="490"/>
      <c r="B495" s="422"/>
      <c r="C495" s="440"/>
      <c r="D495" s="523"/>
      <c r="E495" s="515"/>
      <c r="F495" s="491"/>
      <c r="G495" s="492"/>
      <c r="H495" s="493"/>
      <c r="I495" s="494"/>
      <c r="J495" s="494"/>
      <c r="K495" s="494"/>
      <c r="L495" s="495"/>
    </row>
    <row r="496" spans="1:12" ht="14.25" customHeight="1">
      <c r="A496" s="496"/>
      <c r="B496" s="497"/>
      <c r="C496" s="464"/>
      <c r="D496" s="498"/>
      <c r="E496" s="501"/>
      <c r="F496" s="347"/>
      <c r="G496" s="348"/>
      <c r="H496" s="487"/>
      <c r="I496" s="488"/>
      <c r="J496" s="488"/>
      <c r="K496" s="488"/>
      <c r="L496" s="489"/>
    </row>
    <row r="497" spans="1:12" ht="14.25" customHeight="1">
      <c r="A497" s="504"/>
      <c r="B497" s="401"/>
      <c r="C497" s="505"/>
      <c r="D497" s="499"/>
      <c r="E497" s="502"/>
      <c r="F497" s="491"/>
      <c r="G497" s="492"/>
      <c r="H497" s="475"/>
      <c r="I497" s="476"/>
      <c r="J497" s="476"/>
      <c r="K497" s="476"/>
      <c r="L497" s="477"/>
    </row>
    <row r="498" spans="1:12" ht="15" customHeight="1" thickBot="1">
      <c r="A498" s="478"/>
      <c r="B498" s="479"/>
      <c r="C498" s="480"/>
      <c r="D498" s="500"/>
      <c r="E498" s="503"/>
      <c r="F498" s="351"/>
      <c r="G498" s="352"/>
      <c r="H498" s="481"/>
      <c r="I498" s="482"/>
      <c r="J498" s="482"/>
      <c r="K498" s="482"/>
      <c r="L498" s="483"/>
    </row>
    <row r="499" spans="1:12" ht="14.25" customHeight="1">
      <c r="A499" s="506"/>
      <c r="B499" s="507"/>
      <c r="C499" s="508"/>
      <c r="D499" s="512"/>
      <c r="E499" s="514"/>
      <c r="F499" s="516"/>
      <c r="G499" s="517"/>
      <c r="H499" s="518"/>
      <c r="I499" s="519"/>
      <c r="J499" s="519"/>
      <c r="K499" s="519"/>
      <c r="L499" s="520"/>
    </row>
    <row r="500" spans="1:12" ht="17.25" customHeight="1">
      <c r="A500" s="509"/>
      <c r="B500" s="510"/>
      <c r="C500" s="511"/>
      <c r="D500" s="513"/>
      <c r="E500" s="515"/>
      <c r="F500" s="347"/>
      <c r="G500" s="348"/>
      <c r="H500" s="475"/>
      <c r="I500" s="476"/>
      <c r="J500" s="476"/>
      <c r="K500" s="476"/>
      <c r="L500" s="477"/>
    </row>
    <row r="501" spans="1:12" ht="12.75" customHeight="1">
      <c r="A501" s="509"/>
      <c r="B501" s="510"/>
      <c r="C501" s="511"/>
      <c r="D501" s="521"/>
      <c r="E501" s="501"/>
      <c r="F501" s="491"/>
      <c r="G501" s="492"/>
      <c r="H501" s="493"/>
      <c r="I501" s="494"/>
      <c r="J501" s="494"/>
      <c r="K501" s="494"/>
      <c r="L501" s="495"/>
    </row>
    <row r="502" spans="1:12" ht="15.75" customHeight="1">
      <c r="A502" s="509"/>
      <c r="B502" s="510"/>
      <c r="C502" s="511"/>
      <c r="D502" s="522"/>
      <c r="E502" s="502"/>
      <c r="F502" s="347"/>
      <c r="G502" s="348"/>
      <c r="H502" s="487"/>
      <c r="I502" s="488"/>
      <c r="J502" s="488"/>
      <c r="K502" s="488"/>
      <c r="L502" s="489"/>
    </row>
    <row r="503" spans="1:12" ht="12.75" customHeight="1">
      <c r="A503" s="490"/>
      <c r="B503" s="422"/>
      <c r="C503" s="440"/>
      <c r="D503" s="523"/>
      <c r="E503" s="515"/>
      <c r="F503" s="491"/>
      <c r="G503" s="492"/>
      <c r="H503" s="493"/>
      <c r="I503" s="494"/>
      <c r="J503" s="494"/>
      <c r="K503" s="494"/>
      <c r="L503" s="495"/>
    </row>
    <row r="504" spans="1:12" ht="15.75" customHeight="1">
      <c r="A504" s="496"/>
      <c r="B504" s="497"/>
      <c r="C504" s="464"/>
      <c r="D504" s="498"/>
      <c r="E504" s="501"/>
      <c r="F504" s="347"/>
      <c r="G504" s="348"/>
      <c r="H504" s="487"/>
      <c r="I504" s="488"/>
      <c r="J504" s="488"/>
      <c r="K504" s="488"/>
      <c r="L504" s="489"/>
    </row>
    <row r="505" spans="1:12" ht="12" customHeight="1">
      <c r="A505" s="504"/>
      <c r="B505" s="401"/>
      <c r="C505" s="505"/>
      <c r="D505" s="499"/>
      <c r="E505" s="502"/>
      <c r="F505" s="491"/>
      <c r="G505" s="492"/>
      <c r="H505" s="475"/>
      <c r="I505" s="476"/>
      <c r="J505" s="476"/>
      <c r="K505" s="476"/>
      <c r="L505" s="477"/>
    </row>
    <row r="506" spans="1:12" ht="21" customHeight="1" thickBot="1">
      <c r="A506" s="478"/>
      <c r="B506" s="479"/>
      <c r="C506" s="480"/>
      <c r="D506" s="500"/>
      <c r="E506" s="503"/>
      <c r="F506" s="351"/>
      <c r="G506" s="352"/>
      <c r="H506" s="481"/>
      <c r="I506" s="482"/>
      <c r="J506" s="482"/>
      <c r="K506" s="482"/>
      <c r="L506" s="483"/>
    </row>
    <row r="507" spans="1:12" ht="15" customHeight="1">
      <c r="A507" s="506"/>
      <c r="B507" s="507"/>
      <c r="C507" s="508"/>
      <c r="D507" s="512"/>
      <c r="E507" s="514"/>
      <c r="F507" s="516"/>
      <c r="G507" s="517"/>
      <c r="H507" s="518"/>
      <c r="I507" s="519"/>
      <c r="J507" s="519"/>
      <c r="K507" s="519"/>
      <c r="L507" s="520"/>
    </row>
    <row r="508" spans="1:12" ht="15" customHeight="1">
      <c r="A508" s="509"/>
      <c r="B508" s="510"/>
      <c r="C508" s="511"/>
      <c r="D508" s="513"/>
      <c r="E508" s="515"/>
      <c r="F508" s="347"/>
      <c r="G508" s="348"/>
      <c r="H508" s="475"/>
      <c r="I508" s="476"/>
      <c r="J508" s="476"/>
      <c r="K508" s="476"/>
      <c r="L508" s="477"/>
    </row>
    <row r="509" spans="1:12" ht="15" customHeight="1">
      <c r="A509" s="509"/>
      <c r="B509" s="510"/>
      <c r="C509" s="511"/>
      <c r="D509" s="521"/>
      <c r="E509" s="501"/>
      <c r="F509" s="491"/>
      <c r="G509" s="492"/>
      <c r="H509" s="493"/>
      <c r="I509" s="494"/>
      <c r="J509" s="494"/>
      <c r="K509" s="494"/>
      <c r="L509" s="495"/>
    </row>
    <row r="510" spans="1:12" ht="15.75" customHeight="1">
      <c r="A510" s="509"/>
      <c r="B510" s="510"/>
      <c r="C510" s="511"/>
      <c r="D510" s="522"/>
      <c r="E510" s="502"/>
      <c r="F510" s="347"/>
      <c r="G510" s="348"/>
      <c r="H510" s="487"/>
      <c r="I510" s="488"/>
      <c r="J510" s="488"/>
      <c r="K510" s="488"/>
      <c r="L510" s="489"/>
    </row>
    <row r="511" spans="1:12" ht="12.75" customHeight="1">
      <c r="A511" s="490"/>
      <c r="B511" s="422"/>
      <c r="C511" s="440"/>
      <c r="D511" s="523"/>
      <c r="E511" s="515"/>
      <c r="F511" s="491"/>
      <c r="G511" s="492"/>
      <c r="H511" s="493"/>
      <c r="I511" s="494"/>
      <c r="J511" s="494"/>
      <c r="K511" s="494"/>
      <c r="L511" s="495"/>
    </row>
    <row r="512" spans="1:12" ht="18" customHeight="1">
      <c r="A512" s="524"/>
      <c r="B512" s="397"/>
      <c r="C512" s="442"/>
      <c r="D512" s="498"/>
      <c r="E512" s="501"/>
      <c r="F512" s="347"/>
      <c r="G512" s="348"/>
      <c r="H512" s="487"/>
      <c r="I512" s="488"/>
      <c r="J512" s="488"/>
      <c r="K512" s="488"/>
      <c r="L512" s="489"/>
    </row>
    <row r="513" spans="1:12" ht="14.25" customHeight="1">
      <c r="A513" s="504"/>
      <c r="B513" s="401"/>
      <c r="C513" s="505"/>
      <c r="D513" s="499"/>
      <c r="E513" s="502"/>
      <c r="F513" s="491"/>
      <c r="G513" s="492"/>
      <c r="H513" s="475"/>
      <c r="I513" s="476"/>
      <c r="J513" s="476"/>
      <c r="K513" s="476"/>
      <c r="L513" s="477"/>
    </row>
    <row r="514" spans="1:12" ht="15.75" customHeight="1" thickBot="1">
      <c r="A514" s="478"/>
      <c r="B514" s="479"/>
      <c r="C514" s="480"/>
      <c r="D514" s="500"/>
      <c r="E514" s="503"/>
      <c r="F514" s="351"/>
      <c r="G514" s="352"/>
      <c r="H514" s="481"/>
      <c r="I514" s="482"/>
      <c r="J514" s="482"/>
      <c r="K514" s="482"/>
      <c r="L514" s="483"/>
    </row>
    <row r="515" spans="1:12" ht="13.5" customHeight="1">
      <c r="A515" s="506"/>
      <c r="B515" s="507"/>
      <c r="C515" s="508"/>
      <c r="D515" s="512"/>
      <c r="E515" s="514"/>
      <c r="F515" s="516"/>
      <c r="G515" s="517"/>
      <c r="H515" s="518"/>
      <c r="I515" s="519"/>
      <c r="J515" s="519"/>
      <c r="K515" s="519"/>
      <c r="L515" s="520"/>
    </row>
    <row r="516" spans="1:12" ht="17.25" customHeight="1">
      <c r="A516" s="509"/>
      <c r="B516" s="510"/>
      <c r="C516" s="511"/>
      <c r="D516" s="513"/>
      <c r="E516" s="515"/>
      <c r="F516" s="347"/>
      <c r="G516" s="348"/>
      <c r="H516" s="475"/>
      <c r="I516" s="476"/>
      <c r="J516" s="476"/>
      <c r="K516" s="476"/>
      <c r="L516" s="477"/>
    </row>
    <row r="517" spans="1:12" ht="12" customHeight="1">
      <c r="A517" s="509"/>
      <c r="B517" s="510"/>
      <c r="C517" s="511"/>
      <c r="D517" s="521"/>
      <c r="E517" s="501"/>
      <c r="F517" s="491"/>
      <c r="G517" s="492"/>
      <c r="H517" s="493"/>
      <c r="I517" s="494"/>
      <c r="J517" s="494"/>
      <c r="K517" s="494"/>
      <c r="L517" s="495"/>
    </row>
    <row r="518" spans="1:12" ht="15" customHeight="1">
      <c r="A518" s="509"/>
      <c r="B518" s="510"/>
      <c r="C518" s="511"/>
      <c r="D518" s="522"/>
      <c r="E518" s="502"/>
      <c r="F518" s="347"/>
      <c r="G518" s="348"/>
      <c r="H518" s="487"/>
      <c r="I518" s="488"/>
      <c r="J518" s="488"/>
      <c r="K518" s="488"/>
      <c r="L518" s="489"/>
    </row>
    <row r="519" spans="1:12" ht="14.25" customHeight="1">
      <c r="A519" s="490"/>
      <c r="B519" s="422"/>
      <c r="C519" s="440"/>
      <c r="D519" s="523"/>
      <c r="E519" s="515"/>
      <c r="F519" s="491"/>
      <c r="G519" s="492"/>
      <c r="H519" s="493"/>
      <c r="I519" s="494"/>
      <c r="J519" s="494"/>
      <c r="K519" s="494"/>
      <c r="L519" s="495"/>
    </row>
    <row r="520" spans="1:12" ht="16.5" customHeight="1">
      <c r="A520" s="496"/>
      <c r="B520" s="497"/>
      <c r="C520" s="464"/>
      <c r="D520" s="498"/>
      <c r="E520" s="501"/>
      <c r="F520" s="347"/>
      <c r="G520" s="348"/>
      <c r="H520" s="487"/>
      <c r="I520" s="488"/>
      <c r="J520" s="488"/>
      <c r="K520" s="488"/>
      <c r="L520" s="489"/>
    </row>
    <row r="521" spans="1:12" ht="14.25" customHeight="1">
      <c r="A521" s="504"/>
      <c r="B521" s="401"/>
      <c r="C521" s="505"/>
      <c r="D521" s="499"/>
      <c r="E521" s="502"/>
      <c r="F521" s="491"/>
      <c r="G521" s="492"/>
      <c r="H521" s="475"/>
      <c r="I521" s="476"/>
      <c r="J521" s="476"/>
      <c r="K521" s="476"/>
      <c r="L521" s="477"/>
    </row>
    <row r="522" spans="1:12" ht="15" customHeight="1" thickBot="1">
      <c r="A522" s="478"/>
      <c r="B522" s="479"/>
      <c r="C522" s="480"/>
      <c r="D522" s="500"/>
      <c r="E522" s="503"/>
      <c r="F522" s="351"/>
      <c r="G522" s="352"/>
      <c r="H522" s="481"/>
      <c r="I522" s="482"/>
      <c r="J522" s="482"/>
      <c r="K522" s="482"/>
      <c r="L522" s="483"/>
    </row>
    <row r="523" spans="1:12" ht="12.75" customHeight="1">
      <c r="A523" s="506"/>
      <c r="B523" s="507"/>
      <c r="C523" s="508"/>
      <c r="D523" s="512"/>
      <c r="E523" s="514"/>
      <c r="F523" s="516"/>
      <c r="G523" s="517"/>
      <c r="H523" s="518"/>
      <c r="I523" s="519"/>
      <c r="J523" s="519"/>
      <c r="K523" s="519"/>
      <c r="L523" s="520"/>
    </row>
    <row r="524" spans="1:12" ht="17.25" customHeight="1">
      <c r="A524" s="509"/>
      <c r="B524" s="510"/>
      <c r="C524" s="511"/>
      <c r="D524" s="513"/>
      <c r="E524" s="515"/>
      <c r="F524" s="347"/>
      <c r="G524" s="348"/>
      <c r="H524" s="475"/>
      <c r="I524" s="476"/>
      <c r="J524" s="476"/>
      <c r="K524" s="476"/>
      <c r="L524" s="477"/>
    </row>
    <row r="525" spans="1:12" ht="12.75" customHeight="1">
      <c r="A525" s="509"/>
      <c r="B525" s="510"/>
      <c r="C525" s="511"/>
      <c r="D525" s="521"/>
      <c r="E525" s="501"/>
      <c r="F525" s="491"/>
      <c r="G525" s="492"/>
      <c r="H525" s="493"/>
      <c r="I525" s="494"/>
      <c r="J525" s="494"/>
      <c r="K525" s="494"/>
      <c r="L525" s="495"/>
    </row>
    <row r="526" spans="1:12" ht="15" customHeight="1">
      <c r="A526" s="509"/>
      <c r="B526" s="510"/>
      <c r="C526" s="511"/>
      <c r="D526" s="522"/>
      <c r="E526" s="502"/>
      <c r="F526" s="347"/>
      <c r="G526" s="348"/>
      <c r="H526" s="487"/>
      <c r="I526" s="488"/>
      <c r="J526" s="488"/>
      <c r="K526" s="488"/>
      <c r="L526" s="489"/>
    </row>
    <row r="527" spans="1:12" ht="14.25" customHeight="1">
      <c r="A527" s="490"/>
      <c r="B527" s="422"/>
      <c r="C527" s="440"/>
      <c r="D527" s="523"/>
      <c r="E527" s="515"/>
      <c r="F527" s="491"/>
      <c r="G527" s="492"/>
      <c r="H527" s="493"/>
      <c r="I527" s="494"/>
      <c r="J527" s="494"/>
      <c r="K527" s="494"/>
      <c r="L527" s="495"/>
    </row>
    <row r="528" spans="1:12" ht="16.5" customHeight="1">
      <c r="A528" s="496"/>
      <c r="B528" s="497"/>
      <c r="C528" s="464"/>
      <c r="D528" s="498"/>
      <c r="E528" s="501"/>
      <c r="F528" s="347"/>
      <c r="G528" s="348"/>
      <c r="H528" s="487"/>
      <c r="I528" s="488"/>
      <c r="J528" s="488"/>
      <c r="K528" s="488"/>
      <c r="L528" s="489"/>
    </row>
    <row r="529" spans="1:12" ht="15.75" customHeight="1">
      <c r="A529" s="504"/>
      <c r="B529" s="401"/>
      <c r="C529" s="505"/>
      <c r="D529" s="499"/>
      <c r="E529" s="502"/>
      <c r="F529" s="491"/>
      <c r="G529" s="492"/>
      <c r="H529" s="475"/>
      <c r="I529" s="476"/>
      <c r="J529" s="476"/>
      <c r="K529" s="476"/>
      <c r="L529" s="477"/>
    </row>
    <row r="530" spans="1:12" ht="15" customHeight="1" thickBot="1">
      <c r="A530" s="478"/>
      <c r="B530" s="479"/>
      <c r="C530" s="480"/>
      <c r="D530" s="500"/>
      <c r="E530" s="503"/>
      <c r="F530" s="351"/>
      <c r="G530" s="352"/>
      <c r="H530" s="481"/>
      <c r="I530" s="482"/>
      <c r="J530" s="482"/>
      <c r="K530" s="482"/>
      <c r="L530" s="483"/>
    </row>
    <row r="531" spans="1:12" ht="9.9499999999999993" customHeight="1">
      <c r="A531" s="13"/>
      <c r="B531" s="13"/>
      <c r="C531" s="13"/>
      <c r="D531" s="375"/>
      <c r="E531" s="376"/>
      <c r="F531" s="377"/>
      <c r="G531" s="378"/>
      <c r="H531" s="368"/>
      <c r="I531" s="368"/>
      <c r="J531" s="368"/>
      <c r="K531" s="368"/>
      <c r="L531" s="368"/>
    </row>
    <row r="532" spans="1:12" ht="9.9499999999999993" customHeight="1">
      <c r="B532" s="312"/>
      <c r="C532" s="312"/>
      <c r="D532" s="313"/>
      <c r="E532" s="314"/>
      <c r="F532" s="71"/>
      <c r="H532" s="311"/>
      <c r="I532" s="311"/>
      <c r="J532" s="311"/>
      <c r="K532" s="311"/>
    </row>
    <row r="533" spans="1:12" ht="50.25" customHeight="1">
      <c r="D533" s="484" t="s">
        <v>95</v>
      </c>
      <c r="E533" s="485"/>
      <c r="F533" s="485"/>
      <c r="G533" s="485"/>
      <c r="H533" s="485"/>
      <c r="I533" s="486"/>
    </row>
    <row r="534" spans="1:1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</row>
    <row r="535" spans="1:12" ht="18.75" customHeight="1">
      <c r="A535" s="453" t="s">
        <v>96</v>
      </c>
      <c r="B535" s="453"/>
      <c r="C535" s="453"/>
      <c r="D535" s="453"/>
      <c r="E535" s="453"/>
      <c r="F535" s="453"/>
      <c r="G535" s="453"/>
      <c r="H535" s="453"/>
      <c r="I535" s="453"/>
      <c r="J535" s="453"/>
      <c r="K535" s="453"/>
      <c r="L535" s="453"/>
    </row>
    <row r="536" spans="1:12" ht="11.2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</row>
    <row r="537" spans="1:12" ht="23.25" customHeight="1">
      <c r="A537" s="17"/>
      <c r="B537" s="460" t="s">
        <v>582</v>
      </c>
      <c r="C537" s="460"/>
      <c r="D537" s="460"/>
      <c r="E537" s="460"/>
      <c r="F537" s="460"/>
      <c r="G537" s="460"/>
      <c r="H537" s="460"/>
      <c r="I537" s="460"/>
      <c r="J537" s="466"/>
      <c r="K537" s="473" t="s">
        <v>929</v>
      </c>
      <c r="L537" s="474"/>
    </row>
    <row r="538" spans="1:12" ht="23.25" customHeight="1">
      <c r="A538" s="17"/>
      <c r="B538" s="460" t="s">
        <v>583</v>
      </c>
      <c r="C538" s="460"/>
      <c r="D538" s="460"/>
      <c r="E538" s="460"/>
      <c r="F538" s="460"/>
      <c r="G538" s="460"/>
      <c r="H538" s="460"/>
      <c r="I538" s="460"/>
      <c r="J538" s="466"/>
      <c r="K538" s="469" t="s">
        <v>929</v>
      </c>
      <c r="L538" s="470"/>
    </row>
    <row r="539" spans="1:12" ht="23.25" customHeight="1">
      <c r="A539" s="17"/>
      <c r="B539" s="460" t="s">
        <v>584</v>
      </c>
      <c r="C539" s="460"/>
      <c r="D539" s="460"/>
      <c r="E539" s="460"/>
      <c r="F539" s="460"/>
      <c r="G539" s="460"/>
      <c r="H539" s="460"/>
      <c r="I539" s="460"/>
      <c r="J539" s="466"/>
      <c r="K539" s="471"/>
      <c r="L539" s="472"/>
    </row>
    <row r="540" spans="1:12" ht="23.25" customHeight="1">
      <c r="A540" s="17"/>
      <c r="B540" s="460" t="s">
        <v>585</v>
      </c>
      <c r="C540" s="460"/>
      <c r="D540" s="460"/>
      <c r="E540" s="460"/>
      <c r="F540" s="460"/>
      <c r="G540" s="460"/>
      <c r="H540" s="460"/>
      <c r="I540" s="460"/>
      <c r="J540" s="466"/>
      <c r="K540" s="473" t="s">
        <v>929</v>
      </c>
      <c r="L540" s="474"/>
    </row>
    <row r="541" spans="1:12" ht="23.25" customHeight="1">
      <c r="A541" s="17"/>
      <c r="B541" s="460" t="s">
        <v>98</v>
      </c>
      <c r="C541" s="460"/>
      <c r="D541" s="460"/>
      <c r="E541" s="460"/>
      <c r="F541" s="460"/>
      <c r="G541" s="460"/>
      <c r="H541" s="460"/>
      <c r="I541" s="460"/>
      <c r="J541" s="466"/>
      <c r="K541" s="473"/>
      <c r="L541" s="474"/>
    </row>
    <row r="542" spans="1:12" ht="23.25" customHeight="1">
      <c r="A542" s="17"/>
      <c r="B542" s="460" t="s">
        <v>586</v>
      </c>
      <c r="C542" s="460"/>
      <c r="D542" s="460"/>
      <c r="E542" s="460"/>
      <c r="F542" s="460"/>
      <c r="G542" s="460"/>
      <c r="H542" s="460"/>
      <c r="I542" s="460"/>
      <c r="J542" s="466"/>
      <c r="K542" s="473" t="s">
        <v>929</v>
      </c>
      <c r="L542" s="474"/>
    </row>
    <row r="543" spans="1:12" ht="23.25" customHeight="1">
      <c r="A543" s="17"/>
      <c r="B543" s="460" t="s">
        <v>587</v>
      </c>
      <c r="C543" s="460"/>
      <c r="D543" s="460"/>
      <c r="E543" s="460"/>
      <c r="F543" s="460"/>
      <c r="G543" s="460"/>
      <c r="H543" s="460"/>
      <c r="I543" s="460"/>
      <c r="J543" s="466"/>
      <c r="K543" s="473" t="s">
        <v>929</v>
      </c>
      <c r="L543" s="474"/>
    </row>
    <row r="544" spans="1:12" ht="23.25" customHeight="1">
      <c r="A544" s="17"/>
      <c r="B544" s="460" t="s">
        <v>588</v>
      </c>
      <c r="C544" s="460"/>
      <c r="D544" s="460"/>
      <c r="E544" s="460"/>
      <c r="F544" s="460"/>
      <c r="G544" s="460"/>
      <c r="H544" s="460"/>
      <c r="I544" s="460"/>
      <c r="J544" s="466"/>
      <c r="K544" s="469" t="s">
        <v>929</v>
      </c>
      <c r="L544" s="470"/>
    </row>
    <row r="545" spans="1:12" ht="23.25" customHeight="1">
      <c r="A545" s="17"/>
      <c r="B545" s="460" t="s">
        <v>500</v>
      </c>
      <c r="C545" s="460"/>
      <c r="D545" s="460"/>
      <c r="E545" s="460"/>
      <c r="F545" s="460"/>
      <c r="G545" s="460"/>
      <c r="H545" s="460"/>
      <c r="I545" s="460"/>
      <c r="J545" s="466"/>
      <c r="K545" s="471"/>
      <c r="L545" s="472"/>
    </row>
    <row r="546" spans="1:12" ht="23.25" customHeight="1">
      <c r="A546" s="17"/>
      <c r="B546" s="460" t="s">
        <v>501</v>
      </c>
      <c r="C546" s="460"/>
      <c r="D546" s="460"/>
      <c r="E546" s="460"/>
      <c r="F546" s="460"/>
      <c r="G546" s="460"/>
      <c r="H546" s="460"/>
      <c r="I546" s="460"/>
      <c r="J546" s="466"/>
      <c r="K546" s="467"/>
      <c r="L546" s="468"/>
    </row>
    <row r="547" spans="1:12" ht="23.25" customHeight="1">
      <c r="A547" s="17"/>
      <c r="B547" s="460" t="s">
        <v>99</v>
      </c>
      <c r="C547" s="460"/>
      <c r="D547" s="460"/>
      <c r="E547" s="460"/>
      <c r="F547" s="460"/>
      <c r="G547" s="460"/>
      <c r="H547" s="460"/>
      <c r="I547" s="460"/>
      <c r="J547" s="466"/>
      <c r="K547" s="467"/>
      <c r="L547" s="468"/>
    </row>
    <row r="548" spans="1:12" ht="23.25" customHeight="1">
      <c r="A548" s="17"/>
      <c r="B548" s="460" t="s">
        <v>502</v>
      </c>
      <c r="C548" s="460"/>
      <c r="D548" s="460"/>
      <c r="E548" s="460"/>
      <c r="F548" s="460"/>
      <c r="G548" s="460"/>
      <c r="H548" s="460"/>
      <c r="I548" s="460"/>
      <c r="J548" s="466"/>
      <c r="K548" s="467"/>
      <c r="L548" s="468"/>
    </row>
    <row r="549" spans="1:12" ht="23.25" customHeight="1">
      <c r="A549" s="17"/>
      <c r="B549" s="460" t="s">
        <v>100</v>
      </c>
      <c r="C549" s="460"/>
      <c r="D549" s="460"/>
      <c r="E549" s="460"/>
      <c r="F549" s="460"/>
      <c r="G549" s="460"/>
      <c r="H549" s="460"/>
      <c r="I549" s="460"/>
      <c r="J549" s="466"/>
      <c r="K549" s="467"/>
      <c r="L549" s="468"/>
    </row>
    <row r="550" spans="1:12" ht="23.25" customHeight="1">
      <c r="A550" s="465"/>
      <c r="B550" s="460"/>
      <c r="C550" s="460"/>
      <c r="D550" s="460"/>
      <c r="E550" s="460"/>
      <c r="F550" s="460"/>
      <c r="G550" s="460"/>
      <c r="H550" s="460"/>
      <c r="I550" s="460"/>
      <c r="J550" s="466"/>
      <c r="K550" s="467"/>
      <c r="L550" s="468"/>
    </row>
    <row r="551" spans="1:12">
      <c r="A551" s="324"/>
      <c r="B551" s="324"/>
      <c r="C551" s="324"/>
      <c r="D551" s="324"/>
      <c r="E551" s="324"/>
      <c r="F551" s="324"/>
      <c r="G551" s="324"/>
      <c r="H551" s="324"/>
      <c r="I551" s="324"/>
      <c r="J551" s="324"/>
      <c r="K551" s="2"/>
      <c r="L551" s="2"/>
    </row>
    <row r="552" spans="1:12">
      <c r="A552" s="330"/>
      <c r="B552" s="330"/>
      <c r="C552" s="330"/>
      <c r="D552" s="330"/>
      <c r="E552" s="330"/>
      <c r="F552" s="330"/>
      <c r="G552" s="330"/>
      <c r="H552" s="330"/>
      <c r="I552" s="330"/>
      <c r="J552" s="330"/>
      <c r="K552" s="7"/>
      <c r="L552" s="7"/>
    </row>
    <row r="553" spans="1:12" ht="18.75" customHeight="1">
      <c r="A553" s="453" t="s">
        <v>97</v>
      </c>
      <c r="B553" s="453"/>
      <c r="C553" s="453"/>
      <c r="D553" s="453"/>
      <c r="E553" s="453"/>
      <c r="F553" s="453"/>
      <c r="G553" s="453"/>
      <c r="H553" s="453"/>
      <c r="I553" s="453"/>
      <c r="J553" s="453"/>
      <c r="K553" s="453"/>
      <c r="L553" s="453"/>
    </row>
    <row r="554" spans="1:12" ht="19.5" customHeight="1">
      <c r="A554" s="337"/>
      <c r="B554" s="337"/>
      <c r="C554" s="337"/>
      <c r="D554" s="337"/>
      <c r="E554" s="337"/>
      <c r="F554" s="337"/>
      <c r="G554" s="337"/>
      <c r="H554" s="337"/>
      <c r="I554" s="337"/>
      <c r="J554" s="337"/>
      <c r="K554" s="9"/>
      <c r="L554" s="9"/>
    </row>
    <row r="555" spans="1:12" ht="22.5" customHeight="1">
      <c r="A555" s="339"/>
      <c r="B555" s="460" t="s">
        <v>503</v>
      </c>
      <c r="C555" s="460"/>
      <c r="D555" s="460"/>
      <c r="E555" s="460"/>
      <c r="F555" s="460"/>
      <c r="G555" s="460"/>
      <c r="H555" s="460"/>
      <c r="I555" s="460"/>
      <c r="J555" s="460"/>
      <c r="K555" s="429"/>
      <c r="L555" s="429"/>
    </row>
    <row r="556" spans="1:12" ht="22.5" customHeight="1">
      <c r="A556" s="339"/>
      <c r="B556" s="460" t="s">
        <v>504</v>
      </c>
      <c r="C556" s="460"/>
      <c r="D556" s="460"/>
      <c r="E556" s="460"/>
      <c r="F556" s="460"/>
      <c r="G556" s="460"/>
      <c r="H556" s="460"/>
      <c r="I556" s="460"/>
      <c r="J556" s="460"/>
      <c r="K556" s="461"/>
      <c r="L556" s="462"/>
    </row>
    <row r="557" spans="1:12" ht="22.5" customHeight="1">
      <c r="A557" s="339"/>
      <c r="B557" s="460" t="s">
        <v>505</v>
      </c>
      <c r="C557" s="460"/>
      <c r="D557" s="460"/>
      <c r="E557" s="460"/>
      <c r="F557" s="460"/>
      <c r="G557" s="460"/>
      <c r="H557" s="460"/>
      <c r="I557" s="460"/>
      <c r="J557" s="460"/>
      <c r="K557" s="463"/>
      <c r="L557" s="464"/>
    </row>
    <row r="558" spans="1:12" ht="22.5" customHeight="1">
      <c r="A558" s="339"/>
      <c r="B558" s="460" t="s">
        <v>506</v>
      </c>
      <c r="C558" s="460"/>
      <c r="D558" s="460"/>
      <c r="E558" s="460"/>
      <c r="F558" s="460"/>
      <c r="G558" s="460"/>
      <c r="H558" s="460"/>
      <c r="I558" s="460"/>
      <c r="J558" s="460"/>
      <c r="K558" s="429"/>
      <c r="L558" s="429"/>
    </row>
    <row r="559" spans="1:12" ht="22.5" customHeight="1">
      <c r="A559" s="339"/>
      <c r="B559" s="460" t="s">
        <v>507</v>
      </c>
      <c r="C559" s="460"/>
      <c r="D559" s="460"/>
      <c r="E559" s="460"/>
      <c r="F559" s="460"/>
      <c r="G559" s="460"/>
      <c r="H559" s="460"/>
      <c r="I559" s="460"/>
      <c r="J559" s="460"/>
      <c r="K559" s="461"/>
      <c r="L559" s="462"/>
    </row>
    <row r="560" spans="1:12" ht="22.5" customHeight="1">
      <c r="A560" s="339"/>
      <c r="B560" s="460" t="s">
        <v>101</v>
      </c>
      <c r="C560" s="460"/>
      <c r="D560" s="460"/>
      <c r="E560" s="460"/>
      <c r="F560" s="460"/>
      <c r="G560" s="460"/>
      <c r="H560" s="460"/>
      <c r="I560" s="460"/>
      <c r="J560" s="460"/>
      <c r="K560" s="463"/>
      <c r="L560" s="464"/>
    </row>
    <row r="561" spans="1:12" ht="22.5" customHeight="1">
      <c r="A561" s="339"/>
      <c r="B561" s="460" t="s">
        <v>508</v>
      </c>
      <c r="C561" s="460"/>
      <c r="D561" s="460"/>
      <c r="E561" s="460"/>
      <c r="F561" s="460"/>
      <c r="G561" s="460"/>
      <c r="H561" s="460"/>
      <c r="I561" s="460"/>
      <c r="J561" s="460"/>
      <c r="K561" s="429"/>
      <c r="L561" s="429"/>
    </row>
    <row r="562" spans="1:12" ht="22.5" customHeight="1">
      <c r="A562" s="339"/>
      <c r="B562" s="460" t="s">
        <v>102</v>
      </c>
      <c r="C562" s="460"/>
      <c r="D562" s="460"/>
      <c r="E562" s="460"/>
      <c r="F562" s="460"/>
      <c r="G562" s="460"/>
      <c r="H562" s="460"/>
      <c r="I562" s="460"/>
      <c r="J562" s="460"/>
      <c r="K562" s="429"/>
      <c r="L562" s="429"/>
    </row>
    <row r="563" spans="1:12" ht="22.5" customHeight="1">
      <c r="A563" s="339"/>
      <c r="B563" s="460"/>
      <c r="C563" s="460"/>
      <c r="D563" s="460"/>
      <c r="E563" s="460"/>
      <c r="F563" s="460"/>
      <c r="G563" s="460"/>
      <c r="H563" s="460"/>
      <c r="I563" s="460"/>
      <c r="J563" s="460"/>
      <c r="K563" s="429"/>
      <c r="L563" s="429"/>
    </row>
    <row r="564" spans="1:12" ht="22.5" customHeight="1">
      <c r="A564" s="339"/>
      <c r="B564" s="460"/>
      <c r="C564" s="460"/>
      <c r="D564" s="460"/>
      <c r="E564" s="460"/>
      <c r="F564" s="460"/>
      <c r="G564" s="460"/>
      <c r="H564" s="460"/>
      <c r="I564" s="460"/>
      <c r="J564" s="460"/>
      <c r="K564" s="429"/>
      <c r="L564" s="429"/>
    </row>
    <row r="565" spans="1:12" ht="22.5" customHeight="1">
      <c r="A565" s="339"/>
      <c r="B565" s="460"/>
      <c r="C565" s="460"/>
      <c r="D565" s="460"/>
      <c r="E565" s="460"/>
      <c r="F565" s="460"/>
      <c r="G565" s="460"/>
      <c r="H565" s="460"/>
      <c r="I565" s="460"/>
      <c r="J565" s="460"/>
      <c r="K565" s="429"/>
      <c r="L565" s="429"/>
    </row>
    <row r="566" spans="1:12" ht="22.5" customHeight="1">
      <c r="A566" s="339"/>
      <c r="B566" s="460"/>
      <c r="C566" s="460"/>
      <c r="D566" s="460"/>
      <c r="E566" s="460"/>
      <c r="F566" s="460"/>
      <c r="G566" s="460"/>
      <c r="H566" s="460"/>
      <c r="I566" s="460"/>
      <c r="J566" s="460"/>
      <c r="K566" s="429"/>
      <c r="L566" s="429"/>
    </row>
    <row r="567" spans="1:12" ht="22.5" customHeight="1">
      <c r="A567" s="339"/>
      <c r="B567" s="460"/>
      <c r="C567" s="460"/>
      <c r="D567" s="460"/>
      <c r="E567" s="460"/>
      <c r="F567" s="460"/>
      <c r="G567" s="460"/>
      <c r="H567" s="460"/>
      <c r="I567" s="460"/>
      <c r="J567" s="460"/>
      <c r="K567" s="429"/>
      <c r="L567" s="429"/>
    </row>
    <row r="568" spans="1:12" ht="22.5" customHeight="1">
      <c r="A568" s="339"/>
      <c r="B568" s="460"/>
      <c r="C568" s="460"/>
      <c r="D568" s="460"/>
      <c r="E568" s="460"/>
      <c r="F568" s="460"/>
      <c r="G568" s="460"/>
      <c r="H568" s="460"/>
      <c r="I568" s="460"/>
      <c r="J568" s="460"/>
      <c r="K568" s="429"/>
      <c r="L568" s="429"/>
    </row>
    <row r="569" spans="1:12" ht="12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</row>
    <row r="570" spans="1:12">
      <c r="A570" s="453" t="s">
        <v>103</v>
      </c>
      <c r="B570" s="453"/>
      <c r="C570" s="453"/>
      <c r="D570" s="453"/>
      <c r="E570" s="453"/>
      <c r="F570" s="453"/>
      <c r="G570" s="453"/>
      <c r="H570" s="453"/>
      <c r="I570" s="453"/>
      <c r="J570" s="453"/>
      <c r="K570" s="453"/>
      <c r="L570" s="453"/>
    </row>
    <row r="571" spans="1:1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</row>
    <row r="572" spans="1:12">
      <c r="A572" s="1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3"/>
    </row>
    <row r="573" spans="1:12">
      <c r="A573" s="334" t="s">
        <v>49</v>
      </c>
      <c r="B573" s="15" t="s">
        <v>104</v>
      </c>
      <c r="C573" s="15"/>
      <c r="D573" s="15"/>
      <c r="E573" s="15"/>
      <c r="F573" s="15"/>
      <c r="G573" s="15"/>
      <c r="H573" s="15"/>
      <c r="I573" s="15"/>
      <c r="J573" s="15"/>
      <c r="K573" s="15"/>
      <c r="L573" s="329"/>
    </row>
    <row r="574" spans="1:12">
      <c r="A574" s="334"/>
      <c r="B574" s="394" t="s">
        <v>509</v>
      </c>
      <c r="C574" s="394"/>
      <c r="D574" s="394"/>
      <c r="E574" s="394"/>
      <c r="F574" s="394"/>
      <c r="G574" s="394"/>
      <c r="H574" s="394"/>
      <c r="I574" s="394"/>
      <c r="J574" s="15"/>
      <c r="K574" s="15"/>
      <c r="L574" s="329"/>
    </row>
    <row r="575" spans="1:12">
      <c r="A575" s="334"/>
      <c r="B575" s="325"/>
      <c r="C575" s="325"/>
      <c r="D575" s="325"/>
      <c r="E575" s="325"/>
      <c r="F575" s="325"/>
      <c r="G575" s="325"/>
      <c r="H575" s="325"/>
      <c r="I575" s="325"/>
      <c r="J575" s="15"/>
      <c r="K575" s="15"/>
      <c r="L575" s="329"/>
    </row>
    <row r="576" spans="1:12">
      <c r="A576" s="334" t="s">
        <v>49</v>
      </c>
      <c r="B576" s="15" t="s">
        <v>510</v>
      </c>
      <c r="C576" s="15"/>
      <c r="D576" s="15"/>
      <c r="E576" s="15"/>
      <c r="F576" s="15"/>
      <c r="G576" s="15"/>
      <c r="H576" s="15"/>
      <c r="I576" s="15"/>
      <c r="J576" s="15"/>
      <c r="K576" s="15"/>
      <c r="L576" s="329"/>
    </row>
    <row r="577" spans="1:12">
      <c r="A577" s="328"/>
      <c r="B577" s="15" t="s">
        <v>511</v>
      </c>
      <c r="C577" s="15"/>
      <c r="D577" s="15"/>
      <c r="E577" s="15"/>
      <c r="F577" s="15"/>
      <c r="G577" s="15"/>
      <c r="H577" s="15"/>
      <c r="I577" s="15"/>
      <c r="J577" s="15"/>
      <c r="K577" s="15"/>
      <c r="L577" s="329"/>
    </row>
    <row r="578" spans="1:12">
      <c r="A578" s="328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329"/>
    </row>
    <row r="579" spans="1:12">
      <c r="A579" s="328"/>
      <c r="B579" s="15"/>
      <c r="C579" s="15"/>
      <c r="D579" s="15"/>
      <c r="E579" s="15"/>
      <c r="F579" s="15"/>
      <c r="G579" s="15" t="s">
        <v>106</v>
      </c>
      <c r="H579" s="15"/>
      <c r="I579" s="15"/>
      <c r="J579" s="15"/>
      <c r="K579" s="15"/>
      <c r="L579" s="329"/>
    </row>
    <row r="580" spans="1:12">
      <c r="A580" s="334" t="s">
        <v>49</v>
      </c>
      <c r="B580" s="15" t="s">
        <v>105</v>
      </c>
      <c r="C580" s="15"/>
      <c r="D580" s="15"/>
      <c r="E580" s="15"/>
      <c r="F580" s="15"/>
      <c r="G580" s="15"/>
      <c r="H580" s="15"/>
      <c r="I580" s="15"/>
      <c r="J580" s="15"/>
      <c r="K580" s="15"/>
      <c r="L580" s="329"/>
    </row>
    <row r="581" spans="1:12">
      <c r="A581" s="328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9"/>
    </row>
    <row r="582" spans="1:12">
      <c r="A582" s="328"/>
      <c r="B582" s="15"/>
      <c r="C582" s="15"/>
      <c r="D582" s="15"/>
      <c r="E582" s="15"/>
      <c r="F582" s="15"/>
      <c r="G582" s="15" t="s">
        <v>107</v>
      </c>
      <c r="H582" s="15"/>
      <c r="I582" s="15"/>
      <c r="J582" s="15"/>
      <c r="K582" s="15"/>
      <c r="L582" s="329"/>
    </row>
    <row r="583" spans="1:12">
      <c r="A583" s="328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329"/>
    </row>
    <row r="584" spans="1:12">
      <c r="A584" s="328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9"/>
    </row>
    <row r="585" spans="1:12">
      <c r="A585" s="328"/>
      <c r="B585" s="394" t="s">
        <v>512</v>
      </c>
      <c r="C585" s="394"/>
      <c r="D585" s="394"/>
      <c r="E585" s="330"/>
      <c r="F585" s="330"/>
      <c r="G585" s="15"/>
      <c r="H585" s="15"/>
      <c r="I585" s="15"/>
      <c r="J585" s="15"/>
      <c r="K585" s="15"/>
      <c r="L585" s="329"/>
    </row>
    <row r="586" spans="1:12">
      <c r="A586" s="328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329"/>
    </row>
    <row r="587" spans="1:12">
      <c r="A587" s="328"/>
      <c r="B587" s="15" t="s">
        <v>513</v>
      </c>
      <c r="C587" s="15"/>
      <c r="D587" s="330"/>
      <c r="E587" s="330"/>
      <c r="F587" s="330"/>
      <c r="G587" s="330"/>
      <c r="H587" s="330"/>
      <c r="I587" s="330"/>
      <c r="J587" s="330"/>
      <c r="K587" s="15"/>
      <c r="L587" s="329"/>
    </row>
    <row r="588" spans="1:12">
      <c r="A588" s="328"/>
      <c r="B588" s="15"/>
      <c r="C588" s="15"/>
      <c r="D588" s="15"/>
      <c r="E588" s="422" t="s">
        <v>514</v>
      </c>
      <c r="F588" s="422"/>
      <c r="G588" s="422"/>
      <c r="H588" s="422"/>
      <c r="I588" s="422"/>
      <c r="J588" s="15"/>
      <c r="K588" s="15"/>
      <c r="L588" s="329"/>
    </row>
    <row r="589" spans="1:12">
      <c r="A589" s="328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329"/>
    </row>
    <row r="590" spans="1:12" ht="15.75" thickBot="1">
      <c r="A590" s="328"/>
      <c r="B590" s="15" t="s">
        <v>515</v>
      </c>
      <c r="C590" s="15"/>
      <c r="D590" s="15"/>
      <c r="E590" s="15"/>
      <c r="F590" s="15"/>
      <c r="G590" s="15"/>
      <c r="H590" s="15"/>
      <c r="I590" s="15"/>
      <c r="J590" s="15"/>
      <c r="K590" s="15"/>
      <c r="L590" s="329"/>
    </row>
    <row r="591" spans="1:12" ht="40.5" customHeight="1" thickBot="1">
      <c r="A591" s="4"/>
      <c r="B591" s="454" t="s">
        <v>516</v>
      </c>
      <c r="C591" s="455"/>
      <c r="D591" s="455"/>
      <c r="E591" s="455"/>
      <c r="F591" s="455"/>
      <c r="G591" s="456"/>
      <c r="H591" s="176" t="s">
        <v>517</v>
      </c>
      <c r="I591" s="457" t="s">
        <v>108</v>
      </c>
      <c r="J591" s="458"/>
      <c r="K591" s="459"/>
      <c r="L591" s="5"/>
    </row>
    <row r="592" spans="1:12" ht="36.75" customHeight="1">
      <c r="A592" s="4"/>
      <c r="B592" s="431"/>
      <c r="C592" s="432"/>
      <c r="D592" s="432"/>
      <c r="E592" s="432"/>
      <c r="F592" s="432"/>
      <c r="G592" s="433"/>
      <c r="H592" s="446"/>
      <c r="I592" s="447"/>
      <c r="J592" s="448"/>
      <c r="K592" s="449"/>
      <c r="L592" s="5"/>
    </row>
    <row r="593" spans="1:12" ht="36.75" customHeight="1" thickBot="1">
      <c r="A593" s="4"/>
      <c r="B593" s="613"/>
      <c r="C593" s="614"/>
      <c r="D593" s="614"/>
      <c r="E593" s="614"/>
      <c r="F593" s="614"/>
      <c r="G593" s="615"/>
      <c r="H593" s="437"/>
      <c r="I593" s="450"/>
      <c r="J593" s="451"/>
      <c r="K593" s="452"/>
      <c r="L593" s="5"/>
    </row>
    <row r="594" spans="1:12" ht="36.75" customHeight="1">
      <c r="A594" s="4"/>
      <c r="B594" s="431"/>
      <c r="C594" s="432"/>
      <c r="D594" s="432"/>
      <c r="E594" s="432"/>
      <c r="F594" s="432"/>
      <c r="G594" s="433"/>
      <c r="H594" s="446"/>
      <c r="I594" s="447"/>
      <c r="J594" s="448"/>
      <c r="K594" s="449"/>
      <c r="L594" s="5"/>
    </row>
    <row r="595" spans="1:12" ht="36.75" customHeight="1" thickBot="1">
      <c r="A595" s="4"/>
      <c r="B595" s="613"/>
      <c r="C595" s="614"/>
      <c r="D595" s="614"/>
      <c r="E595" s="614"/>
      <c r="F595" s="614"/>
      <c r="G595" s="615"/>
      <c r="H595" s="437"/>
      <c r="I595" s="450"/>
      <c r="J595" s="451"/>
      <c r="K595" s="452"/>
      <c r="L595" s="5"/>
    </row>
    <row r="596" spans="1:12" ht="36.75" customHeight="1">
      <c r="A596" s="4"/>
      <c r="B596" s="431"/>
      <c r="C596" s="432"/>
      <c r="D596" s="432"/>
      <c r="E596" s="432"/>
      <c r="F596" s="432"/>
      <c r="G596" s="433"/>
      <c r="H596" s="446"/>
      <c r="I596" s="447"/>
      <c r="J596" s="448"/>
      <c r="K596" s="449"/>
      <c r="L596" s="5"/>
    </row>
    <row r="597" spans="1:12" ht="36.75" customHeight="1" thickBot="1">
      <c r="A597" s="4"/>
      <c r="B597" s="443"/>
      <c r="C597" s="444"/>
      <c r="D597" s="444"/>
      <c r="E597" s="444"/>
      <c r="F597" s="444"/>
      <c r="G597" s="445"/>
      <c r="H597" s="437"/>
      <c r="I597" s="450"/>
      <c r="J597" s="451"/>
      <c r="K597" s="452"/>
      <c r="L597" s="5"/>
    </row>
    <row r="598" spans="1:12" ht="36.75" customHeight="1">
      <c r="A598" s="4"/>
      <c r="B598" s="431"/>
      <c r="C598" s="432"/>
      <c r="D598" s="432"/>
      <c r="E598" s="432"/>
      <c r="F598" s="432"/>
      <c r="G598" s="433"/>
      <c r="H598" s="437"/>
      <c r="I598" s="447"/>
      <c r="J598" s="448"/>
      <c r="K598" s="449"/>
      <c r="L598" s="5"/>
    </row>
    <row r="599" spans="1:12" ht="36.75" customHeight="1" thickBot="1">
      <c r="A599" s="4"/>
      <c r="B599" s="434"/>
      <c r="C599" s="435"/>
      <c r="D599" s="435"/>
      <c r="E599" s="435"/>
      <c r="F599" s="435"/>
      <c r="G599" s="436"/>
      <c r="H599" s="437"/>
      <c r="I599" s="450"/>
      <c r="J599" s="451"/>
      <c r="K599" s="452"/>
      <c r="L599" s="5"/>
    </row>
    <row r="600" spans="1:12" ht="36.75" customHeight="1">
      <c r="A600" s="4"/>
      <c r="B600" s="431"/>
      <c r="C600" s="432"/>
      <c r="D600" s="432"/>
      <c r="E600" s="432"/>
      <c r="F600" s="432"/>
      <c r="G600" s="433"/>
      <c r="H600" s="437"/>
      <c r="I600" s="267"/>
      <c r="J600" s="268"/>
      <c r="K600" s="269"/>
      <c r="L600" s="5"/>
    </row>
    <row r="601" spans="1:12" ht="36.75" customHeight="1" thickBot="1">
      <c r="A601" s="6"/>
      <c r="B601" s="434"/>
      <c r="C601" s="435"/>
      <c r="D601" s="435"/>
      <c r="E601" s="435"/>
      <c r="F601" s="435"/>
      <c r="G601" s="436"/>
      <c r="H601" s="438"/>
      <c r="I601" s="390"/>
      <c r="J601" s="388"/>
      <c r="K601" s="269"/>
      <c r="L601" s="8"/>
    </row>
    <row r="602" spans="1:12" ht="25.5" customHeight="1" thickBot="1">
      <c r="A602" s="2"/>
      <c r="B602" s="386"/>
      <c r="C602" s="386"/>
      <c r="D602" s="386"/>
      <c r="E602" s="386"/>
      <c r="F602" s="386"/>
      <c r="G602" s="387" t="s">
        <v>159</v>
      </c>
      <c r="H602" s="385">
        <v>100</v>
      </c>
      <c r="I602" s="386"/>
      <c r="J602" s="389"/>
      <c r="K602" s="389"/>
      <c r="L602" s="2"/>
    </row>
    <row r="603" spans="1:12" ht="21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</row>
    <row r="604" spans="1:12">
      <c r="A604" s="403" t="s">
        <v>109</v>
      </c>
      <c r="B604" s="404"/>
      <c r="C604" s="404"/>
      <c r="D604" s="404"/>
      <c r="E604" s="404"/>
      <c r="F604" s="404"/>
      <c r="G604" s="404"/>
      <c r="H604" s="404"/>
      <c r="I604" s="404"/>
      <c r="J604" s="404"/>
      <c r="K604" s="404"/>
      <c r="L604" s="405"/>
    </row>
    <row r="605" spans="1:1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</row>
    <row r="606" spans="1:12">
      <c r="A606" s="15"/>
      <c r="B606" s="15" t="s">
        <v>110</v>
      </c>
      <c r="C606" s="15"/>
      <c r="D606" s="439"/>
      <c r="E606" s="422"/>
      <c r="F606" s="422"/>
      <c r="G606" s="422"/>
      <c r="H606" s="422"/>
      <c r="I606" s="422"/>
      <c r="J606" s="422"/>
      <c r="K606" s="440"/>
      <c r="L606" s="15"/>
    </row>
    <row r="607" spans="1:12" ht="9.75" customHeight="1">
      <c r="A607" s="15"/>
      <c r="B607" s="15"/>
      <c r="C607" s="15"/>
      <c r="D607" s="441"/>
      <c r="E607" s="397"/>
      <c r="F607" s="397"/>
      <c r="G607" s="397"/>
      <c r="H607" s="397"/>
      <c r="I607" s="397"/>
      <c r="J607" s="397"/>
      <c r="K607" s="442"/>
      <c r="L607" s="15"/>
    </row>
    <row r="608" spans="1:1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</row>
    <row r="609" spans="1:12">
      <c r="A609" s="15"/>
      <c r="B609" s="15" t="s">
        <v>518</v>
      </c>
      <c r="C609" s="15"/>
      <c r="D609" s="15"/>
      <c r="E609" s="15"/>
      <c r="F609" s="397"/>
      <c r="G609" s="397"/>
      <c r="H609" s="397"/>
      <c r="I609" s="397"/>
      <c r="J609" s="397"/>
      <c r="K609" s="397"/>
      <c r="L609" s="15"/>
    </row>
    <row r="610" spans="1:12">
      <c r="A610" s="15"/>
      <c r="B610" s="15" t="s">
        <v>519</v>
      </c>
      <c r="C610" s="15"/>
      <c r="D610" s="15"/>
      <c r="E610" s="15"/>
      <c r="F610" s="15"/>
      <c r="G610" s="337"/>
      <c r="H610" s="337"/>
      <c r="I610" s="337"/>
      <c r="J610" s="337"/>
      <c r="K610" s="337"/>
      <c r="L610" s="15"/>
    </row>
    <row r="611" spans="1:12">
      <c r="A611" s="15"/>
      <c r="B611" s="15" t="s">
        <v>520</v>
      </c>
      <c r="C611" s="15"/>
      <c r="D611" s="15"/>
      <c r="E611" s="15"/>
      <c r="F611" s="330"/>
      <c r="G611" s="330"/>
      <c r="H611" s="330"/>
      <c r="I611" s="330"/>
      <c r="J611" s="330"/>
      <c r="K611" s="330"/>
      <c r="L611" s="15"/>
    </row>
    <row r="612" spans="1:12">
      <c r="A612" s="330"/>
      <c r="B612" s="330"/>
      <c r="C612" s="330"/>
      <c r="D612" s="330"/>
      <c r="E612" s="330"/>
      <c r="F612" s="330"/>
      <c r="G612" s="330"/>
      <c r="H612" s="330"/>
      <c r="I612" s="330"/>
      <c r="J612" s="330"/>
      <c r="K612" s="330"/>
      <c r="L612" s="330"/>
    </row>
    <row r="613" spans="1:12" ht="25.5" customHeight="1">
      <c r="A613" s="418" t="s">
        <v>111</v>
      </c>
      <c r="B613" s="418"/>
      <c r="C613" s="418"/>
      <c r="D613" s="418"/>
      <c r="E613" s="418"/>
      <c r="F613" s="418" t="s">
        <v>112</v>
      </c>
      <c r="G613" s="418"/>
      <c r="H613" s="418"/>
      <c r="I613" s="418"/>
      <c r="J613" s="418"/>
      <c r="K613" s="418"/>
      <c r="L613" s="418"/>
    </row>
    <row r="614" spans="1:12" ht="25.5" customHeight="1">
      <c r="A614" s="429"/>
      <c r="B614" s="429"/>
      <c r="C614" s="429"/>
      <c r="D614" s="429"/>
      <c r="E614" s="429"/>
      <c r="F614" s="430"/>
      <c r="G614" s="430"/>
      <c r="H614" s="430"/>
      <c r="I614" s="430"/>
      <c r="J614" s="430"/>
      <c r="K614" s="430"/>
      <c r="L614" s="430"/>
    </row>
    <row r="615" spans="1:12" ht="25.5" customHeight="1">
      <c r="A615" s="429"/>
      <c r="B615" s="429"/>
      <c r="C615" s="429"/>
      <c r="D615" s="429"/>
      <c r="E615" s="429"/>
      <c r="F615" s="430"/>
      <c r="G615" s="430"/>
      <c r="H615" s="430"/>
      <c r="I615" s="430"/>
      <c r="J615" s="430"/>
      <c r="K615" s="430"/>
      <c r="L615" s="430"/>
    </row>
    <row r="616" spans="1:12" ht="25.5" customHeight="1">
      <c r="A616" s="429"/>
      <c r="B616" s="429"/>
      <c r="C616" s="429"/>
      <c r="D616" s="429"/>
      <c r="E616" s="429"/>
      <c r="F616" s="430"/>
      <c r="G616" s="430"/>
      <c r="H616" s="430"/>
      <c r="I616" s="430"/>
      <c r="J616" s="430"/>
      <c r="K616" s="430"/>
      <c r="L616" s="430"/>
    </row>
    <row r="617" spans="1:12" ht="9.9499999999999993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</row>
    <row r="618" spans="1:12" ht="15" customHeight="1">
      <c r="A618" s="370" t="s">
        <v>920</v>
      </c>
    </row>
    <row r="619" spans="1:12">
      <c r="A619" s="306" t="s">
        <v>919</v>
      </c>
    </row>
    <row r="620" spans="1:12">
      <c r="A620" s="403" t="s">
        <v>113</v>
      </c>
      <c r="B620" s="404"/>
      <c r="C620" s="404"/>
      <c r="D620" s="404"/>
      <c r="E620" s="404"/>
      <c r="F620" s="404"/>
      <c r="G620" s="404"/>
      <c r="H620" s="404"/>
      <c r="I620" s="404"/>
      <c r="J620" s="404"/>
      <c r="K620" s="404"/>
      <c r="L620" s="405"/>
    </row>
    <row r="621" spans="1:1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</row>
    <row r="622" spans="1:12">
      <c r="A622" s="326"/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7"/>
    </row>
    <row r="623" spans="1:12">
      <c r="A623" s="328"/>
      <c r="B623" s="419" t="str">
        <f>DATOS!D31</f>
        <v>SANTILLAN</v>
      </c>
      <c r="C623" s="420"/>
      <c r="D623" s="420"/>
      <c r="E623" s="412" t="str">
        <f>DATOS!D32</f>
        <v>QUIROZ</v>
      </c>
      <c r="F623" s="412"/>
      <c r="G623" s="412"/>
      <c r="H623" s="421" t="str">
        <f>DATOS!D33</f>
        <v>JULIO</v>
      </c>
      <c r="I623" s="421"/>
      <c r="J623" s="421"/>
      <c r="K623" s="353"/>
      <c r="L623" s="329"/>
    </row>
    <row r="624" spans="1:12">
      <c r="A624" s="328"/>
      <c r="B624" s="15"/>
      <c r="C624" s="15"/>
      <c r="D624" s="422" t="s">
        <v>114</v>
      </c>
      <c r="E624" s="422"/>
      <c r="F624" s="422"/>
      <c r="G624" s="422"/>
      <c r="H624" s="422"/>
      <c r="I624" s="15"/>
      <c r="J624" s="15"/>
      <c r="K624" s="15"/>
      <c r="L624" s="329"/>
    </row>
    <row r="625" spans="1:12">
      <c r="A625" s="328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9"/>
    </row>
    <row r="626" spans="1:12" ht="26.25" customHeight="1">
      <c r="A626" s="328"/>
      <c r="B626" s="423" t="s">
        <v>521</v>
      </c>
      <c r="C626" s="423"/>
      <c r="D626" s="424">
        <f>DATOS!D34</f>
        <v>18845643</v>
      </c>
      <c r="E626" s="425"/>
      <c r="F626" s="380" t="s">
        <v>9</v>
      </c>
      <c r="G626" s="426" t="str">
        <f>DATOS!D35</f>
        <v>Jr.Guayabas 2039 Dpto.A-505 Urb.El trebol
 III Etapa-Los Olivos</v>
      </c>
      <c r="H626" s="427"/>
      <c r="I626" s="427"/>
      <c r="J626" s="427"/>
      <c r="K626" s="428"/>
      <c r="L626" s="329"/>
    </row>
    <row r="627" spans="1:12">
      <c r="A627" s="328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329"/>
    </row>
    <row r="628" spans="1:12">
      <c r="A628" s="328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329"/>
    </row>
    <row r="629" spans="1:12">
      <c r="A629" s="328"/>
      <c r="B629" s="15"/>
      <c r="C629" s="15"/>
      <c r="D629" s="15" t="s">
        <v>116</v>
      </c>
      <c r="E629" s="15"/>
      <c r="F629" s="15"/>
      <c r="G629" s="15" t="s">
        <v>118</v>
      </c>
      <c r="H629" s="408"/>
      <c r="I629" s="409"/>
      <c r="J629" s="409"/>
      <c r="K629" s="410"/>
      <c r="L629" s="329"/>
    </row>
    <row r="630" spans="1:12">
      <c r="A630" s="328"/>
      <c r="B630" s="15" t="s">
        <v>115</v>
      </c>
      <c r="C630" s="15"/>
      <c r="D630" s="15"/>
      <c r="E630" s="15"/>
      <c r="F630" s="15"/>
      <c r="G630" s="15"/>
      <c r="H630" s="15"/>
      <c r="I630" s="15"/>
      <c r="J630" s="15"/>
      <c r="K630" s="15"/>
      <c r="L630" s="329"/>
    </row>
    <row r="631" spans="1:12">
      <c r="A631" s="328"/>
      <c r="B631" s="15"/>
      <c r="C631" s="15"/>
      <c r="D631" s="15"/>
      <c r="E631" s="15"/>
      <c r="F631" s="15"/>
      <c r="G631" s="15" t="s">
        <v>119</v>
      </c>
      <c r="H631" s="15"/>
      <c r="I631" s="15" t="s">
        <v>120</v>
      </c>
      <c r="J631" s="15"/>
      <c r="K631" s="15"/>
      <c r="L631" s="329"/>
    </row>
    <row r="632" spans="1:12">
      <c r="A632" s="328"/>
      <c r="B632" s="15"/>
      <c r="C632" s="15"/>
      <c r="D632" s="15" t="s">
        <v>117</v>
      </c>
      <c r="E632" s="15"/>
      <c r="F632" s="15"/>
      <c r="G632" s="15"/>
      <c r="H632" s="15"/>
      <c r="I632" s="15"/>
      <c r="J632" s="15"/>
      <c r="K632" s="15"/>
      <c r="L632" s="329"/>
    </row>
    <row r="633" spans="1:12">
      <c r="A633" s="328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9"/>
    </row>
    <row r="634" spans="1:12">
      <c r="A634" s="328"/>
      <c r="B634" s="15"/>
      <c r="C634" s="15"/>
      <c r="D634" s="15"/>
      <c r="E634" s="15"/>
      <c r="F634" s="15" t="s">
        <v>522</v>
      </c>
      <c r="G634" s="15"/>
      <c r="H634" s="411" t="str">
        <f>DATOS!D36</f>
        <v>022023VCZRIX</v>
      </c>
      <c r="I634" s="412"/>
      <c r="J634" s="413"/>
      <c r="K634" s="15"/>
      <c r="L634" s="329"/>
    </row>
    <row r="635" spans="1:12">
      <c r="A635" s="328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329"/>
    </row>
    <row r="636" spans="1:12" ht="17.25" customHeight="1">
      <c r="A636" s="328"/>
      <c r="B636" s="15" t="s">
        <v>523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9"/>
    </row>
    <row r="637" spans="1:12" ht="17.25" customHeight="1">
      <c r="A637" s="328"/>
      <c r="B637" s="15" t="s">
        <v>524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9"/>
    </row>
    <row r="638" spans="1:12" ht="17.25" customHeight="1">
      <c r="A638" s="328"/>
      <c r="B638" s="15" t="s">
        <v>525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9"/>
    </row>
    <row r="639" spans="1:12" ht="17.25" customHeight="1">
      <c r="A639" s="328"/>
      <c r="B639" s="15" t="s">
        <v>121</v>
      </c>
      <c r="C639" s="15"/>
      <c r="D639" s="15"/>
      <c r="E639" s="15"/>
      <c r="F639" s="15"/>
      <c r="G639" s="15"/>
      <c r="H639" s="15"/>
      <c r="I639" s="15"/>
      <c r="J639" s="15"/>
      <c r="K639" s="15"/>
      <c r="L639" s="329"/>
    </row>
    <row r="640" spans="1:12" ht="17.25" customHeight="1">
      <c r="A640" s="328"/>
      <c r="B640" s="15" t="s">
        <v>526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9"/>
    </row>
    <row r="641" spans="1:12" ht="17.25" customHeight="1">
      <c r="A641" s="328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9"/>
    </row>
    <row r="642" spans="1:12" ht="17.25" customHeight="1">
      <c r="A642" s="328"/>
      <c r="B642" s="15" t="s">
        <v>122</v>
      </c>
      <c r="C642" s="15"/>
      <c r="D642" s="15"/>
      <c r="E642" s="15"/>
      <c r="F642" s="15"/>
      <c r="G642" s="15"/>
      <c r="H642" s="15"/>
      <c r="I642" s="15"/>
      <c r="J642" s="15"/>
      <c r="K642" s="15"/>
      <c r="L642" s="329"/>
    </row>
    <row r="643" spans="1:12">
      <c r="A643" s="328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9"/>
    </row>
    <row r="644" spans="1:12">
      <c r="A644" s="328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9"/>
    </row>
    <row r="645" spans="1:12">
      <c r="A645" s="328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9"/>
    </row>
    <row r="646" spans="1:12">
      <c r="A646" s="328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9"/>
    </row>
    <row r="647" spans="1:12">
      <c r="A647" s="328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9"/>
    </row>
    <row r="648" spans="1:12">
      <c r="A648" s="328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329"/>
    </row>
    <row r="649" spans="1:12">
      <c r="A649" s="328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329"/>
    </row>
    <row r="650" spans="1:12" ht="17.25" customHeight="1">
      <c r="A650" s="331"/>
      <c r="B650" s="397" t="s">
        <v>527</v>
      </c>
      <c r="C650" s="397"/>
      <c r="D650" s="397"/>
      <c r="E650" s="414">
        <v>43216</v>
      </c>
      <c r="F650" s="414"/>
      <c r="G650" s="330"/>
      <c r="H650" s="330"/>
      <c r="I650" s="330"/>
      <c r="J650" s="330"/>
      <c r="K650" s="330"/>
      <c r="L650" s="332"/>
    </row>
    <row r="651" spans="1:12" ht="17.25" customHeight="1">
      <c r="A651" s="381"/>
      <c r="B651" s="379"/>
      <c r="C651" s="379"/>
      <c r="D651" s="382"/>
      <c r="E651" s="383"/>
      <c r="F651" s="383"/>
      <c r="G651" s="384"/>
      <c r="H651" s="324"/>
      <c r="I651" s="324"/>
      <c r="J651" s="324"/>
      <c r="K651" s="324"/>
      <c r="L651" s="324"/>
    </row>
    <row r="652" spans="1:1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</row>
    <row r="653" spans="1:12" ht="18" customHeight="1">
      <c r="A653" s="415" t="s">
        <v>123</v>
      </c>
      <c r="B653" s="416"/>
      <c r="C653" s="416"/>
      <c r="D653" s="416"/>
      <c r="E653" s="416"/>
      <c r="F653" s="416"/>
      <c r="G653" s="416"/>
      <c r="H653" s="416"/>
      <c r="I653" s="416"/>
      <c r="J653" s="416"/>
      <c r="K653" s="416"/>
      <c r="L653" s="417"/>
    </row>
    <row r="654" spans="1:1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</row>
    <row r="655" spans="1:12" ht="26.25" customHeight="1">
      <c r="A655" s="418" t="s">
        <v>124</v>
      </c>
      <c r="B655" s="418"/>
      <c r="C655" s="418"/>
      <c r="D655" s="418"/>
      <c r="E655" s="418"/>
      <c r="F655" s="418"/>
      <c r="G655" s="418"/>
      <c r="H655" s="418"/>
      <c r="I655" s="418" t="s">
        <v>125</v>
      </c>
      <c r="J655" s="418"/>
      <c r="K655" s="418"/>
      <c r="L655" s="418"/>
    </row>
    <row r="656" spans="1:12" ht="77.25" customHeight="1">
      <c r="A656" s="406">
        <f>B592</f>
        <v>0</v>
      </c>
      <c r="B656" s="406"/>
      <c r="C656" s="406"/>
      <c r="D656" s="406"/>
      <c r="E656" s="406"/>
      <c r="F656" s="406"/>
      <c r="G656" s="406"/>
      <c r="H656" s="406"/>
      <c r="I656" s="407"/>
      <c r="J656" s="407"/>
      <c r="K656" s="407"/>
      <c r="L656" s="407"/>
    </row>
    <row r="657" spans="1:12" ht="77.25" customHeight="1">
      <c r="A657" s="406">
        <f>B594</f>
        <v>0</v>
      </c>
      <c r="B657" s="406"/>
      <c r="C657" s="406"/>
      <c r="D657" s="406"/>
      <c r="E657" s="406"/>
      <c r="F657" s="406"/>
      <c r="G657" s="406"/>
      <c r="H657" s="406"/>
      <c r="I657" s="407"/>
      <c r="J657" s="407"/>
      <c r="K657" s="407"/>
      <c r="L657" s="407"/>
    </row>
    <row r="658" spans="1:12" ht="77.25" customHeight="1">
      <c r="A658" s="406">
        <f>B596</f>
        <v>0</v>
      </c>
      <c r="B658" s="406"/>
      <c r="C658" s="406"/>
      <c r="D658" s="406"/>
      <c r="E658" s="406"/>
      <c r="F658" s="406"/>
      <c r="G658" s="406"/>
      <c r="H658" s="406"/>
      <c r="I658" s="407"/>
      <c r="J658" s="407"/>
      <c r="K658" s="407"/>
      <c r="L658" s="407"/>
    </row>
    <row r="659" spans="1:12" ht="77.25" customHeight="1">
      <c r="A659" s="406">
        <f>B598</f>
        <v>0</v>
      </c>
      <c r="B659" s="406"/>
      <c r="C659" s="406"/>
      <c r="D659" s="406"/>
      <c r="E659" s="406"/>
      <c r="F659" s="406"/>
      <c r="G659" s="406"/>
      <c r="H659" s="406"/>
      <c r="I659" s="407"/>
      <c r="J659" s="407"/>
      <c r="K659" s="407"/>
      <c r="L659" s="407"/>
    </row>
    <row r="660" spans="1:12" ht="77.25" customHeight="1">
      <c r="A660" s="406">
        <f>B600</f>
        <v>0</v>
      </c>
      <c r="B660" s="406"/>
      <c r="C660" s="406"/>
      <c r="D660" s="406"/>
      <c r="E660" s="406"/>
      <c r="F660" s="406"/>
      <c r="G660" s="406"/>
      <c r="H660" s="406"/>
      <c r="I660" s="407"/>
      <c r="J660" s="407"/>
      <c r="K660" s="407"/>
      <c r="L660" s="407"/>
    </row>
    <row r="661" spans="1:12">
      <c r="A661" s="402" t="s">
        <v>866</v>
      </c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</row>
    <row r="662" spans="1:1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</row>
    <row r="663" spans="1:12" ht="17.25" customHeight="1">
      <c r="A663" s="403" t="s">
        <v>126</v>
      </c>
      <c r="B663" s="404"/>
      <c r="C663" s="404"/>
      <c r="D663" s="404"/>
      <c r="E663" s="404"/>
      <c r="F663" s="404"/>
      <c r="G663" s="404"/>
      <c r="H663" s="404"/>
      <c r="I663" s="404"/>
      <c r="J663" s="404"/>
      <c r="K663" s="404"/>
      <c r="L663" s="405"/>
    </row>
    <row r="664" spans="1:12" ht="17.2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</row>
    <row r="665" spans="1:12" ht="12.75" customHeight="1">
      <c r="A665" s="326"/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7"/>
    </row>
    <row r="666" spans="1:12" ht="17.25" customHeight="1">
      <c r="A666" s="328"/>
      <c r="B666" s="15" t="s">
        <v>24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9"/>
    </row>
    <row r="667" spans="1:12" ht="12" customHeight="1">
      <c r="A667" s="328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9"/>
    </row>
    <row r="668" spans="1:12" ht="17.25" customHeight="1">
      <c r="A668" s="328"/>
      <c r="B668" s="15" t="s">
        <v>25</v>
      </c>
      <c r="C668" s="15"/>
      <c r="D668" s="330"/>
      <c r="E668" s="330"/>
      <c r="F668" s="330"/>
      <c r="G668" s="330"/>
      <c r="H668" s="15" t="s">
        <v>26</v>
      </c>
      <c r="I668" s="330"/>
      <c r="J668" s="15"/>
      <c r="K668" s="15"/>
      <c r="L668" s="329"/>
    </row>
    <row r="669" spans="1:12" ht="12.75" customHeight="1">
      <c r="A669" s="328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9"/>
    </row>
    <row r="670" spans="1:12" ht="17.25" customHeight="1">
      <c r="A670" s="328"/>
      <c r="B670" s="15" t="s">
        <v>528</v>
      </c>
      <c r="C670" s="15"/>
      <c r="D670" s="15"/>
      <c r="E670" s="397"/>
      <c r="F670" s="397"/>
      <c r="G670" s="397"/>
      <c r="H670" s="15" t="s">
        <v>27</v>
      </c>
      <c r="I670" s="15" t="s">
        <v>899</v>
      </c>
      <c r="J670" s="15"/>
      <c r="K670" s="15"/>
      <c r="L670" s="329"/>
    </row>
    <row r="671" spans="1:12" ht="12.75" customHeight="1">
      <c r="A671" s="328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9"/>
    </row>
    <row r="672" spans="1:12" ht="17.25" customHeight="1">
      <c r="A672" s="328"/>
      <c r="B672" s="15" t="s">
        <v>542</v>
      </c>
      <c r="C672" s="15"/>
      <c r="D672" s="397"/>
      <c r="E672" s="397"/>
      <c r="F672" s="397"/>
      <c r="G672" s="397"/>
      <c r="H672" s="15" t="s">
        <v>529</v>
      </c>
      <c r="I672" s="330"/>
      <c r="J672" s="15"/>
      <c r="K672" s="15"/>
      <c r="L672" s="329"/>
    </row>
    <row r="673" spans="1:12" ht="14.25" customHeight="1">
      <c r="A673" s="328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329"/>
    </row>
    <row r="674" spans="1:12" ht="17.25" customHeight="1">
      <c r="A674" s="328"/>
      <c r="B674" s="15" t="s">
        <v>530</v>
      </c>
      <c r="C674" s="330"/>
      <c r="D674" s="330"/>
      <c r="E674" s="330"/>
      <c r="F674" s="330"/>
      <c r="G674" s="330"/>
      <c r="H674" s="330"/>
      <c r="I674" s="330"/>
      <c r="J674" s="15"/>
      <c r="K674" s="15"/>
      <c r="L674" s="329"/>
    </row>
    <row r="675" spans="1:12" ht="12" customHeight="1">
      <c r="A675" s="328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329"/>
    </row>
    <row r="676" spans="1:12" ht="17.25" customHeight="1">
      <c r="A676" s="328"/>
      <c r="B676" s="15" t="s">
        <v>531</v>
      </c>
      <c r="C676" s="15"/>
      <c r="D676" s="15"/>
      <c r="E676" s="401"/>
      <c r="F676" s="401"/>
      <c r="G676" s="401"/>
      <c r="H676" s="401"/>
      <c r="I676" s="401"/>
      <c r="J676" s="15"/>
      <c r="K676" s="15"/>
      <c r="L676" s="329"/>
    </row>
    <row r="677" spans="1:12" ht="10.5" customHeight="1">
      <c r="A677" s="328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329"/>
    </row>
    <row r="678" spans="1:12" ht="17.25" customHeight="1">
      <c r="A678" s="328"/>
      <c r="B678" s="15" t="s">
        <v>28</v>
      </c>
      <c r="C678" s="15"/>
      <c r="D678" s="397"/>
      <c r="E678" s="397"/>
      <c r="F678" s="397"/>
      <c r="G678" s="397"/>
      <c r="H678" s="397"/>
      <c r="I678" s="397"/>
      <c r="J678" s="15"/>
      <c r="K678" s="15"/>
      <c r="L678" s="329"/>
    </row>
    <row r="679" spans="1:12" ht="12.75" customHeight="1">
      <c r="A679" s="328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9"/>
    </row>
    <row r="680" spans="1:12" ht="17.25" customHeight="1">
      <c r="A680" s="328"/>
      <c r="B680" s="15" t="s">
        <v>29</v>
      </c>
      <c r="C680" s="15"/>
      <c r="D680" s="397"/>
      <c r="E680" s="397"/>
      <c r="F680" s="397"/>
      <c r="G680" s="397"/>
      <c r="H680" s="397"/>
      <c r="I680" s="397"/>
      <c r="J680" s="15"/>
      <c r="K680" s="15"/>
      <c r="L680" s="329"/>
    </row>
    <row r="681" spans="1:12" ht="14.25" customHeight="1">
      <c r="A681" s="328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329"/>
    </row>
    <row r="682" spans="1:12" ht="17.25" customHeight="1">
      <c r="A682" s="328"/>
      <c r="B682" s="15" t="s">
        <v>30</v>
      </c>
      <c r="C682" s="15"/>
      <c r="D682" s="397"/>
      <c r="E682" s="397"/>
      <c r="F682" s="397"/>
      <c r="G682" s="397"/>
      <c r="H682" s="397"/>
      <c r="I682" s="397"/>
      <c r="J682" s="15"/>
      <c r="K682" s="15"/>
      <c r="L682" s="329"/>
    </row>
    <row r="683" spans="1:12" ht="14.25" customHeight="1">
      <c r="A683" s="328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329"/>
    </row>
    <row r="684" spans="1:12" ht="17.25" customHeight="1">
      <c r="A684" s="328"/>
      <c r="B684" s="15" t="s">
        <v>31</v>
      </c>
      <c r="C684" s="15"/>
      <c r="D684" s="397"/>
      <c r="E684" s="397"/>
      <c r="F684" s="397"/>
      <c r="G684" s="397"/>
      <c r="H684" s="397"/>
      <c r="I684" s="397"/>
      <c r="J684" s="15"/>
      <c r="K684" s="15"/>
      <c r="L684" s="329"/>
    </row>
    <row r="685" spans="1:12" ht="13.5" customHeight="1">
      <c r="A685" s="328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329"/>
    </row>
    <row r="686" spans="1:12" ht="17.25" customHeight="1">
      <c r="A686" s="328"/>
      <c r="B686" s="15" t="s">
        <v>32</v>
      </c>
      <c r="C686" s="15"/>
      <c r="D686" s="397"/>
      <c r="E686" s="397"/>
      <c r="F686" s="397"/>
      <c r="G686" s="397"/>
      <c r="H686" s="397"/>
      <c r="I686" s="397"/>
      <c r="J686" s="15"/>
      <c r="K686" s="15"/>
      <c r="L686" s="329"/>
    </row>
    <row r="687" spans="1:12" ht="17.25" customHeight="1">
      <c r="A687" s="328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9"/>
    </row>
    <row r="688" spans="1:12" ht="17.25" customHeight="1">
      <c r="A688" s="328"/>
      <c r="B688" s="15"/>
      <c r="C688" s="330"/>
      <c r="D688" s="330"/>
      <c r="E688" s="330"/>
      <c r="F688" s="330"/>
      <c r="G688" s="330"/>
      <c r="H688" s="330"/>
      <c r="I688" s="330"/>
      <c r="J688" s="15"/>
      <c r="K688" s="15"/>
      <c r="L688" s="329"/>
    </row>
    <row r="689" spans="1:12" ht="7.5" customHeight="1">
      <c r="A689" s="328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9"/>
    </row>
    <row r="690" spans="1:12" ht="17.25" customHeight="1">
      <c r="A690" s="6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8"/>
    </row>
    <row r="691" spans="1:1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</row>
    <row r="692" spans="1:12" ht="17.25" customHeight="1">
      <c r="A692" s="398" t="s">
        <v>127</v>
      </c>
      <c r="B692" s="399"/>
      <c r="C692" s="399"/>
      <c r="D692" s="399"/>
      <c r="E692" s="399"/>
      <c r="F692" s="399"/>
      <c r="G692" s="399"/>
      <c r="H692" s="399"/>
      <c r="I692" s="399"/>
      <c r="J692" s="399"/>
      <c r="K692" s="399"/>
      <c r="L692" s="400"/>
    </row>
    <row r="693" spans="1:12" ht="17.25" customHeight="1">
      <c r="A693" s="279"/>
      <c r="B693" s="279"/>
      <c r="C693" s="279"/>
      <c r="D693" s="279"/>
      <c r="E693" s="279"/>
      <c r="F693" s="279"/>
      <c r="G693" s="279"/>
      <c r="H693" s="279"/>
      <c r="I693" s="279"/>
      <c r="J693" s="279"/>
      <c r="K693" s="279"/>
      <c r="L693" s="279"/>
    </row>
    <row r="694" spans="1:12" ht="11.25" customHeight="1">
      <c r="A694" s="326"/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7"/>
    </row>
    <row r="695" spans="1:12" ht="17.25" customHeight="1">
      <c r="A695" s="328"/>
      <c r="B695" s="401" t="s">
        <v>34</v>
      </c>
      <c r="C695" s="401"/>
      <c r="D695" s="401"/>
      <c r="E695" s="330"/>
      <c r="F695" s="330"/>
      <c r="G695" s="7"/>
      <c r="H695" s="15" t="s">
        <v>35</v>
      </c>
      <c r="I695" s="15"/>
      <c r="J695" s="15"/>
      <c r="K695" s="15"/>
      <c r="L695" s="329"/>
    </row>
    <row r="696" spans="1:12" ht="17.25" customHeight="1">
      <c r="A696" s="328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329"/>
    </row>
    <row r="697" spans="1:12" ht="17.25" customHeight="1">
      <c r="A697" s="328"/>
      <c r="B697" s="395" t="s">
        <v>898</v>
      </c>
      <c r="C697" s="396"/>
      <c r="D697" s="396"/>
      <c r="E697" s="396"/>
      <c r="F697" s="396"/>
      <c r="G697" s="396"/>
      <c r="H697" s="396"/>
      <c r="I697" s="396"/>
      <c r="J697" s="396"/>
      <c r="K697" s="15"/>
      <c r="L697" s="329"/>
    </row>
    <row r="698" spans="1:12" ht="17.25" customHeight="1">
      <c r="A698" s="328"/>
      <c r="B698" s="396" t="s">
        <v>532</v>
      </c>
      <c r="C698" s="396"/>
      <c r="D698" s="396"/>
      <c r="E698" s="396"/>
      <c r="F698" s="396"/>
      <c r="G698" s="396"/>
      <c r="H698" s="396"/>
      <c r="I698" s="396"/>
      <c r="J698" s="396"/>
      <c r="K698" s="15"/>
      <c r="L698" s="329"/>
    </row>
    <row r="699" spans="1:12" ht="13.5" customHeight="1">
      <c r="A699" s="328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329"/>
    </row>
    <row r="700" spans="1:12" ht="17.25" customHeight="1">
      <c r="A700" s="328"/>
      <c r="B700" s="393" t="s">
        <v>873</v>
      </c>
      <c r="C700" s="394"/>
      <c r="D700" s="394"/>
      <c r="E700" s="394"/>
      <c r="F700" s="394"/>
      <c r="G700" s="394"/>
      <c r="H700" s="394"/>
      <c r="I700" s="394"/>
      <c r="J700" s="394"/>
      <c r="K700" s="15"/>
      <c r="L700" s="329"/>
    </row>
    <row r="701" spans="1:12" ht="17.25" customHeight="1">
      <c r="A701" s="328"/>
      <c r="B701" s="394" t="s">
        <v>533</v>
      </c>
      <c r="C701" s="394"/>
      <c r="D701" s="394"/>
      <c r="E701" s="394"/>
      <c r="F701" s="394"/>
      <c r="G701" s="394"/>
      <c r="H701" s="394"/>
      <c r="I701" s="394"/>
      <c r="J701" s="394"/>
      <c r="K701" s="15"/>
      <c r="L701" s="329"/>
    </row>
    <row r="702" spans="1:12" ht="12.75" customHeight="1">
      <c r="A702" s="328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9"/>
    </row>
    <row r="703" spans="1:12" ht="17.25" customHeight="1">
      <c r="A703" s="328"/>
      <c r="B703" s="393" t="s">
        <v>874</v>
      </c>
      <c r="C703" s="394"/>
      <c r="D703" s="394"/>
      <c r="E703" s="394"/>
      <c r="F703" s="394"/>
      <c r="G703" s="394"/>
      <c r="H703" s="394"/>
      <c r="I703" s="15"/>
      <c r="J703" s="15"/>
      <c r="K703" s="15"/>
      <c r="L703" s="329"/>
    </row>
    <row r="704" spans="1:12" ht="17.25" customHeight="1">
      <c r="A704" s="328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9"/>
    </row>
    <row r="705" spans="1:12" ht="17.25" customHeight="1">
      <c r="A705" s="328"/>
      <c r="B705" s="393" t="s">
        <v>875</v>
      </c>
      <c r="C705" s="394"/>
      <c r="D705" s="394"/>
      <c r="E705" s="394"/>
      <c r="F705" s="394"/>
      <c r="G705" s="394"/>
      <c r="H705" s="394"/>
      <c r="I705" s="15"/>
      <c r="J705" s="15"/>
      <c r="K705" s="15"/>
      <c r="L705" s="329"/>
    </row>
    <row r="706" spans="1:12" ht="17.25" customHeight="1">
      <c r="A706" s="328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329"/>
    </row>
    <row r="707" spans="1:12" ht="17.25" customHeight="1">
      <c r="A707" s="328"/>
      <c r="B707" s="393" t="s">
        <v>876</v>
      </c>
      <c r="C707" s="394"/>
      <c r="D707" s="394"/>
      <c r="E707" s="394"/>
      <c r="F707" s="394"/>
      <c r="G707" s="394"/>
      <c r="H707" s="394"/>
      <c r="I707" s="394"/>
      <c r="J707" s="394"/>
      <c r="K707" s="15"/>
      <c r="L707" s="329"/>
    </row>
    <row r="708" spans="1:12" ht="17.25" customHeight="1">
      <c r="A708" s="328"/>
      <c r="B708" s="394" t="s">
        <v>36</v>
      </c>
      <c r="C708" s="394"/>
      <c r="D708" s="394"/>
      <c r="E708" s="394"/>
      <c r="F708" s="394"/>
      <c r="G708" s="394"/>
      <c r="H708" s="394"/>
      <c r="I708" s="394"/>
      <c r="J708" s="394"/>
      <c r="K708" s="15"/>
      <c r="L708" s="329"/>
    </row>
    <row r="709" spans="1:12" ht="11.25" customHeight="1">
      <c r="A709" s="328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329"/>
    </row>
    <row r="710" spans="1:12" ht="17.25" customHeight="1">
      <c r="A710" s="328"/>
      <c r="B710" s="15" t="s">
        <v>534</v>
      </c>
      <c r="C710" s="15"/>
      <c r="D710" s="15"/>
      <c r="E710" s="15"/>
      <c r="F710" s="15"/>
      <c r="G710" s="15"/>
      <c r="H710" s="15"/>
      <c r="I710" s="15"/>
      <c r="J710" s="15"/>
      <c r="K710" s="15"/>
      <c r="L710" s="329"/>
    </row>
    <row r="711" spans="1:12" ht="12.75" customHeight="1">
      <c r="A711" s="328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329"/>
    </row>
    <row r="712" spans="1:12" ht="17.25" customHeight="1">
      <c r="A712" s="328"/>
      <c r="B712" s="394" t="s">
        <v>867</v>
      </c>
      <c r="C712" s="394"/>
      <c r="D712" s="394"/>
      <c r="E712" s="394"/>
      <c r="F712" s="394"/>
      <c r="G712" s="394"/>
      <c r="H712" s="15"/>
      <c r="I712" s="15"/>
      <c r="J712" s="15"/>
      <c r="K712" s="15"/>
      <c r="L712" s="329"/>
    </row>
    <row r="713" spans="1:12" ht="14.25" customHeight="1">
      <c r="A713" s="328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329"/>
    </row>
    <row r="714" spans="1:12" ht="17.25" customHeight="1">
      <c r="A714" s="328"/>
      <c r="B714" s="15" t="s">
        <v>527</v>
      </c>
      <c r="C714" s="15"/>
      <c r="D714" s="15"/>
      <c r="E714" s="15"/>
      <c r="F714" s="15"/>
      <c r="G714" s="15"/>
      <c r="H714" s="15"/>
      <c r="I714" s="15"/>
      <c r="J714" s="15"/>
      <c r="K714" s="15"/>
      <c r="L714" s="329"/>
    </row>
    <row r="715" spans="1:12" ht="15" customHeight="1">
      <c r="A715" s="331"/>
      <c r="B715" s="330"/>
      <c r="C715" s="330"/>
      <c r="D715" s="330"/>
      <c r="E715" s="330"/>
      <c r="F715" s="330"/>
      <c r="G715" s="330"/>
      <c r="H715" s="330"/>
      <c r="I715" s="330"/>
      <c r="J715" s="330"/>
      <c r="K715" s="330"/>
      <c r="L715" s="332"/>
    </row>
    <row r="716" spans="1:1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</row>
  </sheetData>
  <protectedRanges>
    <protectedRange sqref="B13:F13 H13:K13" name="I15"/>
  </protectedRanges>
  <mergeCells count="935">
    <mergeCell ref="J304:L304"/>
    <mergeCell ref="C304:D304"/>
    <mergeCell ref="A304:B304"/>
    <mergeCell ref="A297:B297"/>
    <mergeCell ref="A298:B298"/>
    <mergeCell ref="C297:D297"/>
    <mergeCell ref="C298:D298"/>
    <mergeCell ref="J297:L297"/>
    <mergeCell ref="J298:L298"/>
    <mergeCell ref="A303:B303"/>
    <mergeCell ref="C303:D303"/>
    <mergeCell ref="J303:L303"/>
    <mergeCell ref="A301:B301"/>
    <mergeCell ref="C301:D301"/>
    <mergeCell ref="J301:L301"/>
    <mergeCell ref="A302:B302"/>
    <mergeCell ref="C302:D302"/>
    <mergeCell ref="J302:L302"/>
    <mergeCell ref="B592:G593"/>
    <mergeCell ref="H592:H593"/>
    <mergeCell ref="I592:K593"/>
    <mergeCell ref="B594:G595"/>
    <mergeCell ref="H594:H595"/>
    <mergeCell ref="I594:K595"/>
    <mergeCell ref="A9:L9"/>
    <mergeCell ref="B13:F13"/>
    <mergeCell ref="H13:K13"/>
    <mergeCell ref="B14:F14"/>
    <mergeCell ref="H14:K14"/>
    <mergeCell ref="H16:I16"/>
    <mergeCell ref="E40:F40"/>
    <mergeCell ref="H42:J42"/>
    <mergeCell ref="A50:L50"/>
    <mergeCell ref="D71:I71"/>
    <mergeCell ref="D73:I73"/>
    <mergeCell ref="B82:D82"/>
    <mergeCell ref="B90:H90"/>
    <mergeCell ref="B92:H92"/>
    <mergeCell ref="B99:G99"/>
    <mergeCell ref="E57:G57"/>
    <mergeCell ref="D59:G59"/>
    <mergeCell ref="E63:I63"/>
    <mergeCell ref="J1:K1"/>
    <mergeCell ref="E2:L3"/>
    <mergeCell ref="E4:L4"/>
    <mergeCell ref="E5:L5"/>
    <mergeCell ref="E6:L6"/>
    <mergeCell ref="E7:L7"/>
    <mergeCell ref="H30:K30"/>
    <mergeCell ref="B39:D39"/>
    <mergeCell ref="I39:J39"/>
    <mergeCell ref="B18:K18"/>
    <mergeCell ref="F19:G19"/>
    <mergeCell ref="B23:K23"/>
    <mergeCell ref="B24:K24"/>
    <mergeCell ref="B26:G26"/>
    <mergeCell ref="B27:G27"/>
    <mergeCell ref="I27:K27"/>
    <mergeCell ref="D65:I65"/>
    <mergeCell ref="D67:I67"/>
    <mergeCell ref="D69:I69"/>
    <mergeCell ref="D121:K121"/>
    <mergeCell ref="E126:K126"/>
    <mergeCell ref="F130:G130"/>
    <mergeCell ref="I130:K130"/>
    <mergeCell ref="B147:C147"/>
    <mergeCell ref="D147:J147"/>
    <mergeCell ref="A106:L106"/>
    <mergeCell ref="C111:D111"/>
    <mergeCell ref="E111:F111"/>
    <mergeCell ref="G111:I111"/>
    <mergeCell ref="J111:K111"/>
    <mergeCell ref="E114:K114"/>
    <mergeCell ref="A203:L203"/>
    <mergeCell ref="A205:L205"/>
    <mergeCell ref="D207:I207"/>
    <mergeCell ref="A209:L209"/>
    <mergeCell ref="D211:E211"/>
    <mergeCell ref="J211:L211"/>
    <mergeCell ref="D150:J150"/>
    <mergeCell ref="B156:E156"/>
    <mergeCell ref="B181:K181"/>
    <mergeCell ref="B182:K182"/>
    <mergeCell ref="B183:K183"/>
    <mergeCell ref="H185:K185"/>
    <mergeCell ref="A213:D214"/>
    <mergeCell ref="E213:F214"/>
    <mergeCell ref="G213:H214"/>
    <mergeCell ref="I213:L214"/>
    <mergeCell ref="A215:D215"/>
    <mergeCell ref="I215:J215"/>
    <mergeCell ref="K215:L215"/>
    <mergeCell ref="A222:D222"/>
    <mergeCell ref="I222:L222"/>
    <mergeCell ref="A216:D216"/>
    <mergeCell ref="I216:J216"/>
    <mergeCell ref="K216:L216"/>
    <mergeCell ref="A220:D220"/>
    <mergeCell ref="I220:J220"/>
    <mergeCell ref="K220:L220"/>
    <mergeCell ref="A217:D217"/>
    <mergeCell ref="I217:J217"/>
    <mergeCell ref="K217:L217"/>
    <mergeCell ref="A218:D218"/>
    <mergeCell ref="I218:J218"/>
    <mergeCell ref="K218:L218"/>
    <mergeCell ref="E224:F224"/>
    <mergeCell ref="I224:L224"/>
    <mergeCell ref="A219:D219"/>
    <mergeCell ref="I219:J219"/>
    <mergeCell ref="K219:L219"/>
    <mergeCell ref="A221:D221"/>
    <mergeCell ref="I221:J221"/>
    <mergeCell ref="K221:L221"/>
    <mergeCell ref="A227:D227"/>
    <mergeCell ref="E227:F227"/>
    <mergeCell ref="I227:L227"/>
    <mergeCell ref="A223:D223"/>
    <mergeCell ref="E223:F223"/>
    <mergeCell ref="I223:L223"/>
    <mergeCell ref="A224:D224"/>
    <mergeCell ref="A228:D228"/>
    <mergeCell ref="E228:F228"/>
    <mergeCell ref="I228:L228"/>
    <mergeCell ref="A225:D225"/>
    <mergeCell ref="E225:F225"/>
    <mergeCell ref="I225:L225"/>
    <mergeCell ref="A226:D226"/>
    <mergeCell ref="E226:F226"/>
    <mergeCell ref="I226:L226"/>
    <mergeCell ref="A243:L243"/>
    <mergeCell ref="A248:L248"/>
    <mergeCell ref="A249:L249"/>
    <mergeCell ref="A250:L250"/>
    <mergeCell ref="A251:I251"/>
    <mergeCell ref="J251:L251"/>
    <mergeCell ref="H229:J229"/>
    <mergeCell ref="A230:L230"/>
    <mergeCell ref="A239:L239"/>
    <mergeCell ref="A240:L240"/>
    <mergeCell ref="A241:L241"/>
    <mergeCell ref="A242:L242"/>
    <mergeCell ref="A247:L247"/>
    <mergeCell ref="A246:L246"/>
    <mergeCell ref="A244:L244"/>
    <mergeCell ref="A245:L245"/>
    <mergeCell ref="A255:I255"/>
    <mergeCell ref="J255:L255"/>
    <mergeCell ref="A256:I256"/>
    <mergeCell ref="J256:L256"/>
    <mergeCell ref="A257:I257"/>
    <mergeCell ref="J257:L257"/>
    <mergeCell ref="A252:I252"/>
    <mergeCell ref="J252:L252"/>
    <mergeCell ref="A253:I253"/>
    <mergeCell ref="J253:L253"/>
    <mergeCell ref="A254:I254"/>
    <mergeCell ref="J254:L254"/>
    <mergeCell ref="A269:L269"/>
    <mergeCell ref="A270:L270"/>
    <mergeCell ref="A271:L271"/>
    <mergeCell ref="A272:L272"/>
    <mergeCell ref="A274:L274"/>
    <mergeCell ref="A288:L288"/>
    <mergeCell ref="A262:L262"/>
    <mergeCell ref="A264:L264"/>
    <mergeCell ref="A265:L265"/>
    <mergeCell ref="A266:L266"/>
    <mergeCell ref="A267:L267"/>
    <mergeCell ref="A268:L268"/>
    <mergeCell ref="I290:I292"/>
    <mergeCell ref="J290:L292"/>
    <mergeCell ref="A290:B292"/>
    <mergeCell ref="C290:D292"/>
    <mergeCell ref="E290:E292"/>
    <mergeCell ref="F290:F292"/>
    <mergeCell ref="G290:G292"/>
    <mergeCell ref="H290:H292"/>
    <mergeCell ref="A293:B293"/>
    <mergeCell ref="A294:B294"/>
    <mergeCell ref="C293:D293"/>
    <mergeCell ref="C294:D294"/>
    <mergeCell ref="J293:L293"/>
    <mergeCell ref="J294:L294"/>
    <mergeCell ref="A299:B299"/>
    <mergeCell ref="C299:D299"/>
    <mergeCell ref="J299:L299"/>
    <mergeCell ref="A300:B300"/>
    <mergeCell ref="C300:D300"/>
    <mergeCell ref="J300:L300"/>
    <mergeCell ref="A295:B295"/>
    <mergeCell ref="A296:B296"/>
    <mergeCell ref="C295:D295"/>
    <mergeCell ref="C296:D296"/>
    <mergeCell ref="J295:L295"/>
    <mergeCell ref="J296:L296"/>
    <mergeCell ref="H316:L316"/>
    <mergeCell ref="D317:D319"/>
    <mergeCell ref="E317:E319"/>
    <mergeCell ref="F317:G317"/>
    <mergeCell ref="H317:L317"/>
    <mergeCell ref="H318:L318"/>
    <mergeCell ref="D310:I310"/>
    <mergeCell ref="A312:L312"/>
    <mergeCell ref="A314:C314"/>
    <mergeCell ref="D314:E314"/>
    <mergeCell ref="F314:L314"/>
    <mergeCell ref="A315:C318"/>
    <mergeCell ref="D315:D316"/>
    <mergeCell ref="E315:E316"/>
    <mergeCell ref="F315:G315"/>
    <mergeCell ref="H315:L315"/>
    <mergeCell ref="A319:C319"/>
    <mergeCell ref="F319:G319"/>
    <mergeCell ref="H319:L319"/>
    <mergeCell ref="A320:C320"/>
    <mergeCell ref="D320:D322"/>
    <mergeCell ref="E320:E322"/>
    <mergeCell ref="H320:L320"/>
    <mergeCell ref="A321:C321"/>
    <mergeCell ref="F321:G321"/>
    <mergeCell ref="H321:L321"/>
    <mergeCell ref="F325:G325"/>
    <mergeCell ref="H325:L325"/>
    <mergeCell ref="H326:L326"/>
    <mergeCell ref="A327:C327"/>
    <mergeCell ref="F327:G327"/>
    <mergeCell ref="H327:L327"/>
    <mergeCell ref="A322:C322"/>
    <mergeCell ref="H322:L322"/>
    <mergeCell ref="A323:C326"/>
    <mergeCell ref="D323:D324"/>
    <mergeCell ref="E323:E324"/>
    <mergeCell ref="F323:G323"/>
    <mergeCell ref="H323:L323"/>
    <mergeCell ref="H324:L324"/>
    <mergeCell ref="D325:D327"/>
    <mergeCell ref="E325:E327"/>
    <mergeCell ref="A328:C328"/>
    <mergeCell ref="D328:D330"/>
    <mergeCell ref="E328:E330"/>
    <mergeCell ref="H328:L328"/>
    <mergeCell ref="A329:C329"/>
    <mergeCell ref="F329:G329"/>
    <mergeCell ref="H329:L329"/>
    <mergeCell ref="A330:C330"/>
    <mergeCell ref="H330:L330"/>
    <mergeCell ref="H334:L334"/>
    <mergeCell ref="A335:C335"/>
    <mergeCell ref="F335:G335"/>
    <mergeCell ref="H335:L335"/>
    <mergeCell ref="A336:C336"/>
    <mergeCell ref="D336:D338"/>
    <mergeCell ref="E336:E338"/>
    <mergeCell ref="H336:L336"/>
    <mergeCell ref="A337:C337"/>
    <mergeCell ref="F337:G337"/>
    <mergeCell ref="A331:C334"/>
    <mergeCell ref="D331:D332"/>
    <mergeCell ref="E331:E332"/>
    <mergeCell ref="F331:G331"/>
    <mergeCell ref="H331:L331"/>
    <mergeCell ref="H332:L332"/>
    <mergeCell ref="D333:D335"/>
    <mergeCell ref="E333:E335"/>
    <mergeCell ref="F333:G333"/>
    <mergeCell ref="H333:L333"/>
    <mergeCell ref="E341:E343"/>
    <mergeCell ref="F341:G341"/>
    <mergeCell ref="H341:L341"/>
    <mergeCell ref="H342:L342"/>
    <mergeCell ref="A343:C343"/>
    <mergeCell ref="F343:G343"/>
    <mergeCell ref="H343:L343"/>
    <mergeCell ref="H337:L337"/>
    <mergeCell ref="A338:C338"/>
    <mergeCell ref="H338:L338"/>
    <mergeCell ref="A339:C342"/>
    <mergeCell ref="D339:D340"/>
    <mergeCell ref="E339:E340"/>
    <mergeCell ref="F339:G339"/>
    <mergeCell ref="H339:L339"/>
    <mergeCell ref="H340:L340"/>
    <mergeCell ref="D341:D343"/>
    <mergeCell ref="A344:C344"/>
    <mergeCell ref="D344:D346"/>
    <mergeCell ref="E344:E346"/>
    <mergeCell ref="H344:L344"/>
    <mergeCell ref="A345:C345"/>
    <mergeCell ref="F345:G345"/>
    <mergeCell ref="H345:L345"/>
    <mergeCell ref="A346:C346"/>
    <mergeCell ref="H346:L346"/>
    <mergeCell ref="H350:L350"/>
    <mergeCell ref="A351:C351"/>
    <mergeCell ref="F351:G351"/>
    <mergeCell ref="H351:L351"/>
    <mergeCell ref="A352:C352"/>
    <mergeCell ref="D352:D354"/>
    <mergeCell ref="E352:E354"/>
    <mergeCell ref="H352:L352"/>
    <mergeCell ref="A353:C353"/>
    <mergeCell ref="F353:G353"/>
    <mergeCell ref="A347:C350"/>
    <mergeCell ref="D347:D348"/>
    <mergeCell ref="E347:E348"/>
    <mergeCell ref="F347:G347"/>
    <mergeCell ref="H347:L347"/>
    <mergeCell ref="H348:L348"/>
    <mergeCell ref="D349:D351"/>
    <mergeCell ref="E349:E351"/>
    <mergeCell ref="F349:G349"/>
    <mergeCell ref="H349:L349"/>
    <mergeCell ref="E357:E359"/>
    <mergeCell ref="F357:G357"/>
    <mergeCell ref="H357:L357"/>
    <mergeCell ref="H358:L358"/>
    <mergeCell ref="A359:C359"/>
    <mergeCell ref="F359:G359"/>
    <mergeCell ref="H359:L359"/>
    <mergeCell ref="H353:L353"/>
    <mergeCell ref="A354:C354"/>
    <mergeCell ref="H354:L354"/>
    <mergeCell ref="A355:C358"/>
    <mergeCell ref="D355:D356"/>
    <mergeCell ref="E355:E356"/>
    <mergeCell ref="F355:G355"/>
    <mergeCell ref="H355:L355"/>
    <mergeCell ref="H356:L356"/>
    <mergeCell ref="D357:D359"/>
    <mergeCell ref="A360:C360"/>
    <mergeCell ref="D360:D362"/>
    <mergeCell ref="E360:E362"/>
    <mergeCell ref="F360:G360"/>
    <mergeCell ref="H360:L360"/>
    <mergeCell ref="A361:C361"/>
    <mergeCell ref="H361:L361"/>
    <mergeCell ref="A362:C362"/>
    <mergeCell ref="H362:L362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H529:L529"/>
    <mergeCell ref="A530:C530"/>
    <mergeCell ref="H530:L530"/>
    <mergeCell ref="D533:I533"/>
    <mergeCell ref="A535:L535"/>
    <mergeCell ref="B537:J537"/>
    <mergeCell ref="K537:L537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B541:J541"/>
    <mergeCell ref="K541:L541"/>
    <mergeCell ref="B542:J542"/>
    <mergeCell ref="K542:L542"/>
    <mergeCell ref="B543:J543"/>
    <mergeCell ref="K543:L543"/>
    <mergeCell ref="B538:J538"/>
    <mergeCell ref="B539:J539"/>
    <mergeCell ref="B540:J540"/>
    <mergeCell ref="K540:L540"/>
    <mergeCell ref="K538:L539"/>
    <mergeCell ref="B547:J547"/>
    <mergeCell ref="K547:L547"/>
    <mergeCell ref="B548:J548"/>
    <mergeCell ref="K548:L548"/>
    <mergeCell ref="B549:J549"/>
    <mergeCell ref="K549:L549"/>
    <mergeCell ref="B544:J544"/>
    <mergeCell ref="B545:J545"/>
    <mergeCell ref="B546:J546"/>
    <mergeCell ref="K546:L546"/>
    <mergeCell ref="K544:L545"/>
    <mergeCell ref="B557:J557"/>
    <mergeCell ref="B558:J558"/>
    <mergeCell ref="K558:L558"/>
    <mergeCell ref="B559:J559"/>
    <mergeCell ref="A550:J550"/>
    <mergeCell ref="K550:L550"/>
    <mergeCell ref="A553:L553"/>
    <mergeCell ref="B555:J555"/>
    <mergeCell ref="K555:L555"/>
    <mergeCell ref="B556:J556"/>
    <mergeCell ref="K556:L557"/>
    <mergeCell ref="B563:J563"/>
    <mergeCell ref="K563:L563"/>
    <mergeCell ref="B564:J564"/>
    <mergeCell ref="K564:L564"/>
    <mergeCell ref="B565:J565"/>
    <mergeCell ref="K565:L565"/>
    <mergeCell ref="B560:J560"/>
    <mergeCell ref="B561:J561"/>
    <mergeCell ref="K561:L561"/>
    <mergeCell ref="B562:J562"/>
    <mergeCell ref="K562:L562"/>
    <mergeCell ref="K559:L560"/>
    <mergeCell ref="A570:L570"/>
    <mergeCell ref="B574:I574"/>
    <mergeCell ref="B585:D585"/>
    <mergeCell ref="E588:I588"/>
    <mergeCell ref="B591:G591"/>
    <mergeCell ref="I591:K591"/>
    <mergeCell ref="B566:J566"/>
    <mergeCell ref="K566:L566"/>
    <mergeCell ref="B567:J567"/>
    <mergeCell ref="K567:L567"/>
    <mergeCell ref="B568:J568"/>
    <mergeCell ref="K568:L568"/>
    <mergeCell ref="B600:G601"/>
    <mergeCell ref="H600:H601"/>
    <mergeCell ref="A604:L604"/>
    <mergeCell ref="D606:K607"/>
    <mergeCell ref="F609:K609"/>
    <mergeCell ref="A613:E613"/>
    <mergeCell ref="F613:L613"/>
    <mergeCell ref="B596:G597"/>
    <mergeCell ref="H596:H597"/>
    <mergeCell ref="I596:K597"/>
    <mergeCell ref="B598:G599"/>
    <mergeCell ref="H598:H599"/>
    <mergeCell ref="I598:K599"/>
    <mergeCell ref="A620:L620"/>
    <mergeCell ref="B623:D623"/>
    <mergeCell ref="E623:G623"/>
    <mergeCell ref="H623:J623"/>
    <mergeCell ref="D624:H624"/>
    <mergeCell ref="B626:C626"/>
    <mergeCell ref="D626:E626"/>
    <mergeCell ref="G626:K626"/>
    <mergeCell ref="A614:E614"/>
    <mergeCell ref="F614:L614"/>
    <mergeCell ref="A615:E615"/>
    <mergeCell ref="F615:L615"/>
    <mergeCell ref="A616:E616"/>
    <mergeCell ref="F616:L616"/>
    <mergeCell ref="A656:H656"/>
    <mergeCell ref="I656:L656"/>
    <mergeCell ref="A657:H657"/>
    <mergeCell ref="I657:L657"/>
    <mergeCell ref="A660:H660"/>
    <mergeCell ref="I660:L660"/>
    <mergeCell ref="H629:K629"/>
    <mergeCell ref="H634:J634"/>
    <mergeCell ref="B650:D650"/>
    <mergeCell ref="E650:F650"/>
    <mergeCell ref="A653:L653"/>
    <mergeCell ref="A655:H655"/>
    <mergeCell ref="I655:L655"/>
    <mergeCell ref="A658:H658"/>
    <mergeCell ref="I658:L658"/>
    <mergeCell ref="A659:H659"/>
    <mergeCell ref="I659:L659"/>
    <mergeCell ref="D680:I680"/>
    <mergeCell ref="D682:I682"/>
    <mergeCell ref="D684:I684"/>
    <mergeCell ref="D686:I686"/>
    <mergeCell ref="A692:L692"/>
    <mergeCell ref="B695:D695"/>
    <mergeCell ref="A661:L661"/>
    <mergeCell ref="A663:L663"/>
    <mergeCell ref="E670:G670"/>
    <mergeCell ref="D672:G672"/>
    <mergeCell ref="E676:I676"/>
    <mergeCell ref="D678:I678"/>
    <mergeCell ref="B707:J707"/>
    <mergeCell ref="B708:J708"/>
    <mergeCell ref="B712:G712"/>
    <mergeCell ref="B697:J697"/>
    <mergeCell ref="B698:J698"/>
    <mergeCell ref="B700:J700"/>
    <mergeCell ref="B701:J701"/>
    <mergeCell ref="B703:H703"/>
    <mergeCell ref="B705:H705"/>
  </mergeCells>
  <pageMargins left="0.70866141732283472" right="0.31496062992125984" top="0.39370078740157483" bottom="0.39370078740157483" header="0.31496062992125984" footer="0.19685039370078741"/>
  <pageSetup paperSize="9" scale="84" fitToWidth="0" fitToHeight="0" orientation="portrait" horizontalDpi="0" verticalDpi="0" r:id="rId1"/>
  <headerFooter>
    <oddFooter>&amp;CPágina &amp;P</oddFooter>
  </headerFooter>
  <rowBreaks count="14" manualBreakCount="14">
    <brk id="49" max="16383" man="1"/>
    <brk id="105" max="16383" man="1"/>
    <brk id="154" max="16383" man="1"/>
    <brk id="206" max="16383" man="1"/>
    <brk id="261" max="16383" man="1"/>
    <brk id="308" max="16383" man="1"/>
    <brk id="363" max="16383" man="1"/>
    <brk id="413" max="16383" man="1"/>
    <brk id="473" max="16383" man="1"/>
    <brk id="531" max="16383" man="1"/>
    <brk id="569" max="16383" man="1"/>
    <brk id="602" max="16383" man="1"/>
    <brk id="651" max="16383" man="1"/>
    <brk id="6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216</xdr:row>
                    <xdr:rowOff>200025</xdr:rowOff>
                  </from>
                  <to>
                    <xdr:col>14</xdr:col>
                    <xdr:colOff>152400</xdr:colOff>
                    <xdr:row>220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315</xdr:row>
                    <xdr:rowOff>0</xdr:rowOff>
                  </from>
                  <to>
                    <xdr:col>13</xdr:col>
                    <xdr:colOff>533400</xdr:colOff>
                    <xdr:row>317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Layout" topLeftCell="A151" zoomScaleNormal="75" zoomScaleSheetLayoutView="100" workbookViewId="0">
      <selection activeCell="B9" sqref="B9:F13"/>
    </sheetView>
  </sheetViews>
  <sheetFormatPr baseColWidth="10"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540" t="str">
        <f>_xlfn.CONCAT(DATOS!D1," ",DATOS!D2)</f>
        <v xml:space="preserve"> KTN</v>
      </c>
      <c r="L1" s="540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642" t="s">
        <v>153</v>
      </c>
      <c r="C9" s="643"/>
      <c r="D9" s="643"/>
      <c r="E9" s="643"/>
      <c r="F9" s="644"/>
      <c r="G9" s="20"/>
      <c r="H9" s="20"/>
    </row>
    <row r="10" spans="1:12" ht="18.600000000000001" customHeight="1">
      <c r="B10" s="645"/>
      <c r="C10" s="646"/>
      <c r="D10" s="646"/>
      <c r="E10" s="646"/>
      <c r="F10" s="647"/>
      <c r="G10" s="21"/>
      <c r="H10" s="21"/>
      <c r="I10" s="21"/>
      <c r="J10" s="21"/>
      <c r="K10" s="14"/>
      <c r="L10" s="14"/>
    </row>
    <row r="11" spans="1:12" ht="18.600000000000001" customHeight="1">
      <c r="B11" s="645"/>
      <c r="C11" s="646"/>
      <c r="D11" s="646"/>
      <c r="E11" s="646"/>
      <c r="F11" s="647"/>
      <c r="G11" s="21"/>
      <c r="H11" s="21"/>
      <c r="I11" s="21"/>
      <c r="J11" s="21"/>
      <c r="K11" s="14"/>
      <c r="L11" s="14"/>
    </row>
    <row r="12" spans="1:12" ht="18.600000000000001" customHeight="1">
      <c r="B12" s="645"/>
      <c r="C12" s="646"/>
      <c r="D12" s="646"/>
      <c r="E12" s="646"/>
      <c r="F12" s="647"/>
    </row>
    <row r="13" spans="1:12" ht="9.75" customHeight="1">
      <c r="B13" s="648"/>
      <c r="C13" s="649"/>
      <c r="D13" s="649"/>
      <c r="E13" s="649"/>
      <c r="F13" s="650"/>
    </row>
    <row r="14" spans="1:12" ht="8.4499999999999993" customHeight="1"/>
    <row r="15" spans="1:12" ht="18.600000000000001" customHeight="1">
      <c r="A15" t="s">
        <v>128</v>
      </c>
    </row>
    <row r="16" spans="1:12" ht="8.4499999999999993" customHeight="1"/>
    <row r="17" spans="1:12" ht="22.5" customHeight="1">
      <c r="A17" s="627" t="s">
        <v>129</v>
      </c>
      <c r="B17" s="628"/>
      <c r="C17" s="628"/>
      <c r="D17" s="628"/>
      <c r="E17" s="628"/>
      <c r="F17" s="24" t="s">
        <v>130</v>
      </c>
      <c r="G17" s="45"/>
      <c r="H17" s="22"/>
      <c r="I17" s="24" t="s">
        <v>131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624" t="str">
        <f>DATOS!D5</f>
        <v>-</v>
      </c>
      <c r="C19" s="625"/>
      <c r="D19" s="625"/>
      <c r="E19" s="625"/>
      <c r="F19" s="625"/>
      <c r="G19" s="626"/>
      <c r="H19" s="624" t="str">
        <f>DATOS!D6</f>
        <v>-</v>
      </c>
      <c r="I19" s="625"/>
      <c r="J19" s="625"/>
      <c r="K19" s="625"/>
      <c r="L19" s="626"/>
    </row>
    <row r="20" spans="1:12" ht="14.1" customHeight="1">
      <c r="A20" s="4"/>
      <c r="E20" s="633" t="s">
        <v>599</v>
      </c>
      <c r="F20" s="633"/>
      <c r="G20" s="633"/>
      <c r="H20" s="633"/>
      <c r="L20" s="5"/>
    </row>
    <row r="21" spans="1:12" ht="22.5" customHeight="1">
      <c r="A21" s="4"/>
      <c r="B21" s="651" t="str">
        <f>DATOS!D7</f>
        <v>-</v>
      </c>
      <c r="C21" s="652"/>
      <c r="D21" s="653"/>
      <c r="L21" s="5"/>
    </row>
    <row r="22" spans="1:12" ht="14.1" customHeight="1">
      <c r="A22" s="6"/>
      <c r="B22" s="629" t="s">
        <v>132</v>
      </c>
      <c r="C22" s="629"/>
      <c r="D22" s="629"/>
      <c r="E22" s="654"/>
      <c r="F22" s="654"/>
      <c r="G22" s="654"/>
      <c r="H22" s="654"/>
      <c r="I22" s="7"/>
      <c r="J22" s="7"/>
      <c r="K22" s="7"/>
      <c r="L22" s="8"/>
    </row>
    <row r="23" spans="1:12" ht="8.4499999999999993" customHeight="1"/>
    <row r="24" spans="1:12" ht="22.5" customHeight="1">
      <c r="A24" s="631" t="s">
        <v>133</v>
      </c>
      <c r="B24" s="632"/>
      <c r="C24" s="632"/>
      <c r="D24" s="632"/>
      <c r="E24" s="632"/>
      <c r="F24" s="25" t="s">
        <v>119</v>
      </c>
      <c r="G24" s="46"/>
      <c r="H24" s="25"/>
      <c r="I24" s="25" t="s">
        <v>120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630" t="e">
        <f>#REF!</f>
        <v>#REF!</v>
      </c>
      <c r="C26" s="570"/>
      <c r="D26" s="571"/>
      <c r="E26" s="630" t="e">
        <f>#REF!</f>
        <v>#REF!</v>
      </c>
      <c r="F26" s="570"/>
      <c r="G26" s="571"/>
      <c r="H26" s="630" t="e">
        <f>#REF!</f>
        <v>#REF!</v>
      </c>
      <c r="I26" s="570"/>
      <c r="J26" s="570"/>
      <c r="K26" s="571"/>
      <c r="L26" s="277"/>
    </row>
    <row r="27" spans="1:12" ht="14.1" customHeight="1">
      <c r="A27" s="4"/>
      <c r="B27" s="661" t="s">
        <v>134</v>
      </c>
      <c r="C27" s="661"/>
      <c r="D27" s="661"/>
      <c r="E27" s="633" t="s">
        <v>135</v>
      </c>
      <c r="F27" s="633"/>
      <c r="G27" s="633"/>
      <c r="H27" s="661" t="s">
        <v>3</v>
      </c>
      <c r="I27" s="661"/>
      <c r="J27" s="661"/>
      <c r="K27" s="661"/>
      <c r="L27" s="288"/>
    </row>
    <row r="28" spans="1:12" ht="22.5" customHeight="1">
      <c r="A28" s="4"/>
      <c r="B28" s="630" t="e">
        <f>#REF!</f>
        <v>#REF!</v>
      </c>
      <c r="C28" s="570"/>
      <c r="D28" s="571"/>
      <c r="H28" s="630">
        <v>137864</v>
      </c>
      <c r="I28" s="570"/>
      <c r="J28" s="570"/>
      <c r="K28" s="571"/>
      <c r="L28" s="178"/>
    </row>
    <row r="29" spans="1:12" ht="14.1" customHeight="1">
      <c r="A29" s="4"/>
      <c r="B29" s="633" t="s">
        <v>136</v>
      </c>
      <c r="C29" s="633"/>
      <c r="D29" s="633"/>
      <c r="H29" s="633" t="s">
        <v>137</v>
      </c>
      <c r="I29" s="633"/>
      <c r="J29" s="633"/>
      <c r="K29" s="633"/>
      <c r="L29" s="288"/>
    </row>
    <row r="30" spans="1:12" ht="22.5" customHeight="1">
      <c r="A30" s="4"/>
      <c r="B30" s="620" t="s">
        <v>138</v>
      </c>
      <c r="C30" s="620"/>
      <c r="D30" s="620"/>
      <c r="G30" s="12" t="s">
        <v>139</v>
      </c>
      <c r="H30" s="48"/>
      <c r="I30" s="12" t="s">
        <v>140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629"/>
      <c r="C32" s="629"/>
      <c r="D32" s="629"/>
      <c r="E32" s="629"/>
      <c r="F32" s="629"/>
      <c r="G32" s="629"/>
      <c r="I32" s="629"/>
      <c r="J32" s="629"/>
      <c r="K32" s="629"/>
      <c r="L32" s="13"/>
    </row>
    <row r="33" spans="1:12" ht="22.5" customHeight="1">
      <c r="A33" s="631" t="s">
        <v>141</v>
      </c>
      <c r="B33" s="632"/>
      <c r="C33" s="632"/>
      <c r="D33" s="632"/>
      <c r="E33" s="632"/>
      <c r="F33" s="632"/>
      <c r="G33" s="632"/>
      <c r="H33" s="632"/>
      <c r="I33" s="632"/>
      <c r="J33" s="632"/>
      <c r="K33" s="632"/>
      <c r="L33" s="657"/>
    </row>
    <row r="34" spans="1:12" ht="33" customHeight="1">
      <c r="A34" s="676" t="s">
        <v>142</v>
      </c>
      <c r="B34" s="676"/>
      <c r="C34" s="676"/>
      <c r="D34" s="676"/>
      <c r="E34" s="676"/>
      <c r="F34" s="676"/>
      <c r="G34" s="676"/>
      <c r="H34" s="676"/>
      <c r="I34" s="676"/>
      <c r="J34" s="676"/>
      <c r="K34" s="676"/>
      <c r="L34" s="676"/>
    </row>
    <row r="35" spans="1:12" ht="22.5" customHeight="1">
      <c r="A35" s="631" t="s">
        <v>143</v>
      </c>
      <c r="B35" s="632"/>
      <c r="C35" s="632"/>
      <c r="D35" s="632"/>
      <c r="E35" s="632"/>
      <c r="F35" s="25" t="s">
        <v>144</v>
      </c>
      <c r="G35" s="46"/>
      <c r="H35" s="46"/>
      <c r="I35" s="25" t="s">
        <v>145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624" t="str">
        <f>DATOS!D17</f>
        <v>-</v>
      </c>
      <c r="B37" s="625"/>
      <c r="C37" s="626"/>
      <c r="D37" s="624" t="str">
        <f>DATOS!D18</f>
        <v>-</v>
      </c>
      <c r="E37" s="625"/>
      <c r="F37" s="626"/>
      <c r="G37" s="624" t="str">
        <f>DATOS!D19</f>
        <v>-</v>
      </c>
      <c r="H37" s="625"/>
      <c r="I37" s="625"/>
      <c r="J37" s="625"/>
      <c r="K37" s="625"/>
      <c r="L37" s="626"/>
    </row>
    <row r="38" spans="1:12" ht="16.5" customHeight="1">
      <c r="A38" s="662" t="s">
        <v>87</v>
      </c>
      <c r="B38" s="661"/>
      <c r="C38" s="661"/>
      <c r="D38" s="661" t="s">
        <v>146</v>
      </c>
      <c r="E38" s="661"/>
      <c r="F38" s="661"/>
      <c r="G38" s="661" t="s">
        <v>26</v>
      </c>
      <c r="H38" s="661"/>
      <c r="I38" s="661"/>
      <c r="J38" s="661"/>
      <c r="K38" s="661"/>
      <c r="L38" s="670"/>
    </row>
    <row r="39" spans="1:12" ht="22.5" customHeight="1">
      <c r="A39" s="621" t="str">
        <f>DATOS!D20</f>
        <v>-</v>
      </c>
      <c r="B39" s="622"/>
      <c r="C39" s="622"/>
      <c r="D39" s="623"/>
      <c r="E39" s="287" t="str">
        <f>DATOS!D21</f>
        <v>-</v>
      </c>
      <c r="F39" s="287" t="str">
        <f>DATOS!D22</f>
        <v>-</v>
      </c>
      <c r="G39" s="624" t="str">
        <f>DATOS!D23</f>
        <v>-</v>
      </c>
      <c r="H39" s="625"/>
      <c r="I39" s="626"/>
      <c r="J39" s="287" t="str">
        <f>DATOS!D24</f>
        <v>-</v>
      </c>
      <c r="K39" s="624" t="str">
        <f>DATOS!D25</f>
        <v>-</v>
      </c>
      <c r="L39" s="626"/>
    </row>
    <row r="40" spans="1:12" ht="14.1" customHeight="1">
      <c r="A40" s="6"/>
      <c r="B40" s="195" t="s">
        <v>213</v>
      </c>
      <c r="C40" s="195"/>
      <c r="D40" s="195"/>
      <c r="E40" s="290" t="s">
        <v>27</v>
      </c>
      <c r="F40" s="28" t="s">
        <v>147</v>
      </c>
      <c r="G40" s="661" t="s">
        <v>214</v>
      </c>
      <c r="H40" s="661"/>
      <c r="I40" s="661"/>
      <c r="J40" s="290" t="s">
        <v>208</v>
      </c>
      <c r="K40" s="28" t="s">
        <v>215</v>
      </c>
      <c r="L40" s="182"/>
    </row>
    <row r="41" spans="1:12" ht="8.4499999999999993" customHeight="1">
      <c r="A41" s="4"/>
    </row>
    <row r="42" spans="1:12" ht="22.5" customHeight="1">
      <c r="A42" s="631" t="s">
        <v>148</v>
      </c>
      <c r="B42" s="632"/>
      <c r="C42" s="632"/>
      <c r="D42" s="632"/>
      <c r="E42" s="632"/>
      <c r="F42" s="25" t="s">
        <v>144</v>
      </c>
      <c r="G42" s="46"/>
      <c r="H42" s="25"/>
      <c r="I42" s="25" t="s">
        <v>145</v>
      </c>
      <c r="J42" s="46"/>
      <c r="K42" s="22"/>
      <c r="L42" s="23"/>
    </row>
    <row r="43" spans="1:12" ht="14.1" customHeight="1">
      <c r="A43" s="1" t="s">
        <v>600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673" t="s">
        <v>149</v>
      </c>
      <c r="B44" s="674"/>
      <c r="C44" s="674"/>
      <c r="D44" s="674"/>
      <c r="E44" s="674"/>
      <c r="F44" s="10"/>
      <c r="G44" s="10"/>
      <c r="H44" s="10"/>
      <c r="L44" s="5"/>
    </row>
    <row r="45" spans="1:12" ht="22.5" customHeight="1">
      <c r="A45" s="655"/>
      <c r="B45" s="656"/>
      <c r="C45" s="659"/>
      <c r="D45" s="660"/>
      <c r="E45" s="659"/>
      <c r="F45" s="660"/>
      <c r="G45" s="659"/>
      <c r="H45" s="660"/>
      <c r="I45" s="659"/>
      <c r="J45" s="671"/>
      <c r="K45" s="671"/>
      <c r="L45" s="660"/>
    </row>
    <row r="46" spans="1:12" ht="14.1" customHeight="1">
      <c r="A46" s="675" t="s">
        <v>601</v>
      </c>
      <c r="B46" s="633"/>
      <c r="C46" s="633" t="s">
        <v>150</v>
      </c>
      <c r="D46" s="633"/>
      <c r="E46" s="633" t="s">
        <v>605</v>
      </c>
      <c r="F46" s="633"/>
      <c r="G46" s="633" t="s">
        <v>151</v>
      </c>
      <c r="H46" s="633"/>
      <c r="I46" s="633" t="s">
        <v>152</v>
      </c>
      <c r="J46" s="633"/>
      <c r="K46" s="633"/>
      <c r="L46" s="672"/>
    </row>
    <row r="47" spans="1:12" ht="22.5" customHeight="1">
      <c r="A47" s="673" t="s">
        <v>602</v>
      </c>
      <c r="B47" s="674"/>
      <c r="C47" s="674"/>
      <c r="D47" s="674"/>
      <c r="E47" s="674"/>
      <c r="F47" s="10"/>
      <c r="G47" s="10"/>
      <c r="H47" s="10"/>
      <c r="L47" s="5"/>
    </row>
    <row r="48" spans="1:12" ht="22.5" customHeight="1">
      <c r="A48" s="655">
        <f>A45</f>
        <v>0</v>
      </c>
      <c r="B48" s="656"/>
      <c r="C48" s="659">
        <f>C45</f>
        <v>0</v>
      </c>
      <c r="D48" s="660"/>
      <c r="E48" s="659">
        <f>E45</f>
        <v>0</v>
      </c>
      <c r="F48" s="660"/>
      <c r="G48" s="659">
        <f>G45</f>
        <v>0</v>
      </c>
      <c r="H48" s="660"/>
      <c r="I48" s="659">
        <f>I45</f>
        <v>0</v>
      </c>
      <c r="J48" s="671"/>
      <c r="K48" s="671"/>
      <c r="L48" s="660"/>
    </row>
    <row r="49" spans="1:12" ht="22.5" customHeight="1">
      <c r="A49" s="662" t="s">
        <v>601</v>
      </c>
      <c r="B49" s="661"/>
      <c r="C49" s="661" t="s">
        <v>150</v>
      </c>
      <c r="D49" s="661"/>
      <c r="E49" s="661" t="str">
        <f>E46</f>
        <v>Por la Derecha (ml)</v>
      </c>
      <c r="F49" s="661"/>
      <c r="G49" s="661" t="str">
        <f>G46</f>
        <v>Por la Izquierda (ml)</v>
      </c>
      <c r="H49" s="661"/>
      <c r="I49" s="661" t="str">
        <f>I46</f>
        <v>Por el Fondo (ml)</v>
      </c>
      <c r="J49" s="661"/>
      <c r="K49" s="661"/>
      <c r="L49" s="670"/>
    </row>
    <row r="50" spans="1:12" ht="22.5" customHeight="1">
      <c r="A50" s="658"/>
      <c r="B50" s="658"/>
      <c r="C50" s="658"/>
      <c r="D50" s="658"/>
      <c r="E50" s="658"/>
      <c r="F50" s="658"/>
      <c r="G50" s="658"/>
      <c r="H50" s="658"/>
      <c r="I50" s="658"/>
      <c r="J50" s="658"/>
      <c r="K50" s="658"/>
      <c r="L50" s="658"/>
    </row>
    <row r="51" spans="1:12" ht="22.5" customHeight="1">
      <c r="A51" s="665"/>
      <c r="B51" s="658"/>
      <c r="C51" s="658"/>
      <c r="D51" s="658"/>
      <c r="E51" s="658"/>
      <c r="F51" s="658"/>
      <c r="G51" s="658"/>
      <c r="H51" s="658"/>
      <c r="I51" s="658"/>
      <c r="J51" s="658"/>
      <c r="K51" s="658"/>
      <c r="L51" s="666"/>
    </row>
    <row r="52" spans="1:12" ht="22.5" customHeight="1">
      <c r="A52" s="665"/>
      <c r="B52" s="658"/>
      <c r="C52" s="658"/>
      <c r="D52" s="658"/>
      <c r="E52" s="658"/>
      <c r="F52" s="658"/>
      <c r="G52" s="658"/>
      <c r="H52" s="658"/>
      <c r="I52" s="658"/>
      <c r="J52" s="658"/>
      <c r="K52" s="658"/>
      <c r="L52" s="666"/>
    </row>
    <row r="53" spans="1:12" ht="22.5" customHeight="1">
      <c r="A53" s="665"/>
      <c r="B53" s="658"/>
      <c r="C53" s="658"/>
      <c r="D53" s="658"/>
      <c r="E53" s="658"/>
      <c r="F53" s="658"/>
      <c r="G53" s="658"/>
      <c r="H53" s="658"/>
      <c r="I53" s="658"/>
      <c r="J53" s="658"/>
      <c r="K53" s="658"/>
      <c r="L53" s="666"/>
    </row>
    <row r="54" spans="1:12" ht="22.5" customHeight="1">
      <c r="A54" s="665"/>
      <c r="B54" s="658"/>
      <c r="C54" s="658"/>
      <c r="D54" s="658"/>
      <c r="E54" s="658"/>
      <c r="F54" s="658"/>
      <c r="G54" s="658"/>
      <c r="H54" s="658"/>
      <c r="I54" s="658"/>
      <c r="J54" s="658"/>
      <c r="K54" s="658"/>
      <c r="L54" s="666"/>
    </row>
    <row r="55" spans="1:12" ht="16.5" customHeight="1"/>
    <row r="56" spans="1:12" ht="14.1" customHeight="1"/>
    <row r="57" spans="1:12" ht="17.100000000000001" customHeight="1">
      <c r="A57" s="29" t="s">
        <v>154</v>
      </c>
      <c r="B57" s="30"/>
      <c r="C57" s="30"/>
      <c r="D57" s="30"/>
      <c r="E57" s="33"/>
      <c r="F57" s="33"/>
      <c r="G57" s="33"/>
      <c r="H57" s="33"/>
      <c r="I57" s="33"/>
      <c r="J57" s="667"/>
      <c r="K57" s="667"/>
      <c r="L57" s="300"/>
    </row>
    <row r="58" spans="1:12" ht="17.100000000000001" customHeight="1">
      <c r="A58" s="31" t="s">
        <v>155</v>
      </c>
      <c r="B58" s="296"/>
      <c r="C58" s="296"/>
      <c r="D58" s="296"/>
      <c r="E58" s="297" t="s">
        <v>144</v>
      </c>
      <c r="F58" s="298"/>
      <c r="G58" s="664" t="s">
        <v>145</v>
      </c>
      <c r="H58" s="664"/>
      <c r="I58" s="298"/>
      <c r="J58" s="668"/>
      <c r="K58" s="668"/>
      <c r="L58" s="301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669"/>
      <c r="K59" s="669"/>
      <c r="L59" s="302"/>
    </row>
    <row r="60" spans="1:12" ht="17.100000000000001" customHeight="1">
      <c r="A60" s="299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6"/>
      <c r="B62" s="295" t="s">
        <v>497</v>
      </c>
      <c r="C62" s="295"/>
      <c r="D62" s="295"/>
      <c r="E62" s="295"/>
      <c r="F62" s="295"/>
      <c r="G62" s="295"/>
      <c r="H62" s="295"/>
      <c r="I62" s="48"/>
      <c r="J62" s="48"/>
      <c r="K62" s="48"/>
      <c r="L62" s="5"/>
    </row>
    <row r="63" spans="1:12" ht="17.100000000000001" customHeight="1">
      <c r="A63" s="245"/>
      <c r="B63" s="51" t="s">
        <v>498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5"/>
      <c r="B64" s="51" t="s">
        <v>499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9"/>
      <c r="B66" s="98" t="s">
        <v>489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9"/>
      <c r="B67" s="98" t="s">
        <v>603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9"/>
      <c r="B68" s="98" t="s">
        <v>604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5"/>
      <c r="B69" s="51" t="s">
        <v>428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5"/>
      <c r="B70" s="51" t="s">
        <v>430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5"/>
      <c r="B71" s="51" t="s">
        <v>429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540"/>
      <c r="D74" s="540"/>
      <c r="E74" s="540"/>
      <c r="F74" s="540"/>
      <c r="G74" s="540"/>
      <c r="H74" s="540"/>
    </row>
    <row r="75" spans="1:12" ht="17.100000000000001" customHeight="1">
      <c r="A75" s="29" t="s">
        <v>156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300"/>
    </row>
    <row r="76" spans="1:12" ht="17.100000000000001" customHeight="1">
      <c r="A76" s="31" t="s">
        <v>157</v>
      </c>
      <c r="B76" s="296"/>
      <c r="C76" s="296"/>
      <c r="D76" s="296"/>
      <c r="E76" s="297" t="s">
        <v>144</v>
      </c>
      <c r="F76" s="298"/>
      <c r="G76" s="297"/>
      <c r="H76" s="297" t="s">
        <v>145</v>
      </c>
      <c r="I76" s="298"/>
      <c r="J76" s="296"/>
      <c r="K76" s="296"/>
      <c r="L76" s="301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4"/>
      <c r="K77" s="294"/>
      <c r="L77" s="302"/>
    </row>
    <row r="78" spans="1:12" ht="17.100000000000001" customHeight="1">
      <c r="A78" s="299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6"/>
      <c r="B80" s="295" t="s">
        <v>497</v>
      </c>
      <c r="C80" s="295"/>
      <c r="D80" s="295"/>
      <c r="E80" s="295"/>
      <c r="F80" s="295"/>
      <c r="G80" s="295"/>
      <c r="H80" s="295"/>
      <c r="I80" s="48"/>
      <c r="J80" s="48"/>
      <c r="K80" s="48"/>
      <c r="L80" s="5"/>
    </row>
    <row r="81" spans="1:12" ht="17.100000000000001" customHeight="1">
      <c r="A81" s="245"/>
      <c r="B81" s="51" t="s">
        <v>498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5"/>
      <c r="B82" s="51" t="s">
        <v>499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5"/>
      <c r="B85" s="51" t="s">
        <v>486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5"/>
      <c r="B86" s="51" t="s">
        <v>487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5"/>
      <c r="B87" s="51" t="s">
        <v>431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5"/>
      <c r="B88" s="51" t="s">
        <v>432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5"/>
      <c r="B89" s="51" t="s">
        <v>433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540"/>
      <c r="D90" s="540"/>
      <c r="E90" s="540"/>
      <c r="F90" s="540"/>
      <c r="G90" s="540"/>
      <c r="H90" s="540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663"/>
      <c r="B92" s="663"/>
      <c r="C92" s="663"/>
      <c r="D92" s="663"/>
      <c r="E92" s="663"/>
      <c r="F92" s="663"/>
      <c r="G92" s="663"/>
      <c r="H92" s="663"/>
    </row>
    <row r="93" spans="1:12" ht="17.100000000000001" customHeight="1">
      <c r="A93" s="627" t="s">
        <v>158</v>
      </c>
      <c r="B93" s="628"/>
      <c r="C93" s="628"/>
      <c r="D93" s="628"/>
      <c r="E93" s="628"/>
      <c r="F93" s="628"/>
      <c r="G93" s="628"/>
      <c r="H93" s="628"/>
      <c r="I93" s="628"/>
      <c r="J93" s="628"/>
      <c r="K93" s="628"/>
      <c r="L93" s="30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159</v>
      </c>
      <c r="F95" t="s">
        <v>144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160</v>
      </c>
      <c r="C97" s="7"/>
      <c r="D97" s="7"/>
      <c r="E97" s="7"/>
      <c r="F97" s="7" t="s">
        <v>145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3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161</v>
      </c>
    </row>
    <row r="114" spans="1:12" ht="25.5" customHeight="1">
      <c r="A114" s="253"/>
      <c r="B114" s="254"/>
      <c r="C114" s="254"/>
      <c r="D114" s="254"/>
      <c r="E114" s="254"/>
      <c r="F114" s="254"/>
      <c r="G114" s="254"/>
      <c r="H114" s="254"/>
      <c r="I114" s="254"/>
      <c r="J114" s="254"/>
      <c r="K114" s="254"/>
      <c r="L114" s="255"/>
    </row>
    <row r="115" spans="1:12" ht="25.5" customHeight="1">
      <c r="A115" s="253"/>
      <c r="B115" s="254"/>
      <c r="C115" s="254"/>
      <c r="D115" s="254"/>
      <c r="E115" s="254"/>
      <c r="F115" s="254"/>
      <c r="G115" s="254"/>
      <c r="H115" s="254"/>
      <c r="I115" s="254"/>
      <c r="J115" s="254"/>
      <c r="K115" s="254"/>
      <c r="L115" s="255"/>
    </row>
    <row r="116" spans="1:12" ht="25.5" customHeight="1">
      <c r="A116" s="253"/>
      <c r="B116" s="254"/>
      <c r="C116" s="254"/>
      <c r="D116" s="254"/>
      <c r="E116" s="254"/>
      <c r="F116" s="254"/>
      <c r="G116" s="254"/>
      <c r="H116" s="254"/>
      <c r="I116" s="254"/>
      <c r="J116" s="254"/>
      <c r="K116" s="254"/>
      <c r="L116" s="255"/>
    </row>
    <row r="117" spans="1:12" ht="25.5" customHeight="1">
      <c r="A117" s="253"/>
      <c r="B117" s="254"/>
      <c r="C117" s="254"/>
      <c r="D117" s="254"/>
      <c r="E117" s="254"/>
      <c r="F117" s="254"/>
      <c r="G117" s="254"/>
      <c r="H117" s="254"/>
      <c r="I117" s="254"/>
      <c r="J117" s="254"/>
      <c r="K117" s="254"/>
      <c r="L117" s="255"/>
    </row>
    <row r="118" spans="1:12" ht="25.5" customHeight="1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5"/>
    </row>
    <row r="119" spans="1:12" ht="25.5" customHeight="1">
      <c r="A119" s="256"/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5"/>
    </row>
    <row r="120" spans="1:12" ht="25.5" customHeight="1">
      <c r="A120" s="256"/>
      <c r="B120" s="254"/>
      <c r="C120" s="254"/>
      <c r="D120" s="254"/>
      <c r="E120" s="254"/>
      <c r="F120" s="254"/>
      <c r="G120" s="254"/>
      <c r="H120" s="254"/>
      <c r="I120" s="254"/>
      <c r="J120" s="254"/>
      <c r="K120" s="254"/>
      <c r="L120" s="255"/>
    </row>
    <row r="121" spans="1:12" ht="25.5" customHeight="1">
      <c r="A121" s="253"/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5"/>
    </row>
    <row r="122" spans="1:12" ht="25.5" customHeight="1">
      <c r="A122" s="253"/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5"/>
    </row>
    <row r="123" spans="1:12" ht="25.5" customHeight="1">
      <c r="A123" s="634"/>
      <c r="B123" s="635"/>
      <c r="C123" s="635"/>
      <c r="D123" s="635"/>
      <c r="E123" s="635"/>
      <c r="F123" s="635"/>
      <c r="G123" s="635"/>
      <c r="H123" s="635"/>
      <c r="I123" s="635"/>
      <c r="J123" s="635"/>
      <c r="K123" s="635"/>
      <c r="L123" s="636"/>
    </row>
    <row r="124" spans="1:12" ht="25.5" customHeight="1">
      <c r="A124" s="634"/>
      <c r="B124" s="635"/>
      <c r="C124" s="635"/>
      <c r="D124" s="635"/>
      <c r="E124" s="635"/>
      <c r="F124" s="635"/>
      <c r="G124" s="635"/>
      <c r="H124" s="635"/>
      <c r="I124" s="635"/>
      <c r="J124" s="635"/>
      <c r="K124" s="635"/>
      <c r="L124" s="636"/>
    </row>
    <row r="125" spans="1:12" ht="25.5" customHeight="1">
      <c r="A125" s="634"/>
      <c r="B125" s="635"/>
      <c r="C125" s="635"/>
      <c r="D125" s="635"/>
      <c r="E125" s="635"/>
      <c r="F125" s="635"/>
      <c r="G125" s="635"/>
      <c r="H125" s="635"/>
      <c r="I125" s="635"/>
      <c r="J125" s="635"/>
      <c r="K125" s="635"/>
      <c r="L125" s="636"/>
    </row>
    <row r="126" spans="1:12" ht="25.5" customHeight="1">
      <c r="A126" s="634"/>
      <c r="B126" s="635"/>
      <c r="C126" s="635"/>
      <c r="D126" s="635"/>
      <c r="E126" s="635"/>
      <c r="F126" s="635"/>
      <c r="G126" s="635"/>
      <c r="H126" s="635"/>
      <c r="I126" s="635"/>
      <c r="J126" s="635"/>
      <c r="K126" s="635"/>
      <c r="L126" s="636"/>
    </row>
    <row r="127" spans="1:12" ht="25.5" customHeight="1">
      <c r="A127" s="634"/>
      <c r="B127" s="635"/>
      <c r="C127" s="635"/>
      <c r="D127" s="635"/>
      <c r="E127" s="635"/>
      <c r="F127" s="635"/>
      <c r="G127" s="635"/>
      <c r="H127" s="635"/>
      <c r="I127" s="635"/>
      <c r="J127" s="635"/>
      <c r="K127" s="635"/>
      <c r="L127" s="636"/>
    </row>
    <row r="128" spans="1:12" ht="25.5" customHeight="1">
      <c r="A128" s="634"/>
      <c r="B128" s="635"/>
      <c r="C128" s="635"/>
      <c r="D128" s="635"/>
      <c r="E128" s="635"/>
      <c r="F128" s="635"/>
      <c r="G128" s="635"/>
      <c r="H128" s="635"/>
      <c r="I128" s="635"/>
      <c r="J128" s="635"/>
      <c r="K128" s="635"/>
      <c r="L128" s="636"/>
    </row>
    <row r="129" spans="1:12" ht="25.5" customHeight="1">
      <c r="A129" s="634"/>
      <c r="B129" s="635"/>
      <c r="C129" s="635"/>
      <c r="D129" s="635"/>
      <c r="E129" s="635"/>
      <c r="F129" s="635"/>
      <c r="G129" s="635"/>
      <c r="H129" s="635"/>
      <c r="I129" s="635"/>
      <c r="J129" s="635"/>
      <c r="K129" s="635"/>
      <c r="L129" s="636"/>
    </row>
    <row r="130" spans="1:12" ht="25.5" customHeight="1">
      <c r="A130" s="634"/>
      <c r="B130" s="635"/>
      <c r="C130" s="635"/>
      <c r="D130" s="635"/>
      <c r="E130" s="635"/>
      <c r="F130" s="635"/>
      <c r="G130" s="635"/>
      <c r="H130" s="635"/>
      <c r="I130" s="635"/>
      <c r="J130" s="635"/>
      <c r="K130" s="635"/>
      <c r="L130" s="636"/>
    </row>
    <row r="131" spans="1:12" ht="25.5" customHeight="1">
      <c r="A131" s="634"/>
      <c r="B131" s="635"/>
      <c r="C131" s="635"/>
      <c r="D131" s="635"/>
      <c r="E131" s="635"/>
      <c r="F131" s="635"/>
      <c r="G131" s="635"/>
      <c r="H131" s="635"/>
      <c r="I131" s="635"/>
      <c r="J131" s="635"/>
      <c r="K131" s="635"/>
      <c r="L131" s="636"/>
    </row>
    <row r="132" spans="1:12" ht="25.5" customHeight="1">
      <c r="A132" s="634"/>
      <c r="B132" s="635"/>
      <c r="C132" s="635"/>
      <c r="D132" s="635"/>
      <c r="E132" s="635"/>
      <c r="F132" s="635"/>
      <c r="G132" s="635"/>
      <c r="H132" s="635"/>
      <c r="I132" s="635"/>
      <c r="J132" s="635"/>
      <c r="K132" s="635"/>
      <c r="L132" s="636"/>
    </row>
    <row r="133" spans="1:12" ht="25.5" customHeight="1">
      <c r="A133" s="634"/>
      <c r="B133" s="635"/>
      <c r="C133" s="635"/>
      <c r="D133" s="635"/>
      <c r="E133" s="635"/>
      <c r="F133" s="635"/>
      <c r="G133" s="635"/>
      <c r="H133" s="635"/>
      <c r="I133" s="635"/>
      <c r="J133" s="635"/>
      <c r="K133" s="635"/>
      <c r="L133" s="636"/>
    </row>
    <row r="134" spans="1:12" ht="25.5" customHeight="1">
      <c r="A134" s="634"/>
      <c r="B134" s="635"/>
      <c r="C134" s="635"/>
      <c r="D134" s="635"/>
      <c r="E134" s="635"/>
      <c r="F134" s="635"/>
      <c r="G134" s="635"/>
      <c r="H134" s="635"/>
      <c r="I134" s="635"/>
      <c r="J134" s="635"/>
      <c r="K134" s="635"/>
      <c r="L134" s="636"/>
    </row>
    <row r="135" spans="1:12" ht="25.5" customHeight="1">
      <c r="A135" s="634"/>
      <c r="B135" s="635"/>
      <c r="C135" s="635"/>
      <c r="D135" s="635"/>
      <c r="E135" s="635"/>
      <c r="F135" s="635"/>
      <c r="G135" s="635"/>
      <c r="H135" s="635"/>
      <c r="I135" s="635"/>
      <c r="J135" s="635"/>
      <c r="K135" s="635"/>
      <c r="L135" s="636"/>
    </row>
    <row r="136" spans="1:12" ht="25.5" customHeight="1">
      <c r="A136" s="634"/>
      <c r="B136" s="635"/>
      <c r="C136" s="635"/>
      <c r="D136" s="635"/>
      <c r="E136" s="635"/>
      <c r="F136" s="635"/>
      <c r="G136" s="635"/>
      <c r="H136" s="635"/>
      <c r="I136" s="635"/>
      <c r="J136" s="635"/>
      <c r="K136" s="635"/>
      <c r="L136" s="636"/>
    </row>
    <row r="137" spans="1:12" ht="25.5" customHeight="1">
      <c r="A137" s="634"/>
      <c r="B137" s="635"/>
      <c r="C137" s="635"/>
      <c r="D137" s="635"/>
      <c r="E137" s="635"/>
      <c r="F137" s="635"/>
      <c r="G137" s="635"/>
      <c r="H137" s="635"/>
      <c r="I137" s="635"/>
      <c r="J137" s="635"/>
      <c r="K137" s="635"/>
      <c r="L137" s="636"/>
    </row>
    <row r="138" spans="1:12" ht="25.5" customHeight="1">
      <c r="A138" s="634"/>
      <c r="B138" s="635"/>
      <c r="C138" s="635"/>
      <c r="D138" s="635"/>
      <c r="E138" s="635"/>
      <c r="F138" s="635"/>
      <c r="G138" s="635"/>
      <c r="H138" s="635"/>
      <c r="I138" s="635"/>
      <c r="J138" s="635"/>
      <c r="K138" s="635"/>
      <c r="L138" s="636"/>
    </row>
    <row r="139" spans="1:12" ht="25.5" customHeight="1">
      <c r="A139" s="634"/>
      <c r="B139" s="635"/>
      <c r="C139" s="635"/>
      <c r="D139" s="635"/>
      <c r="E139" s="635"/>
      <c r="F139" s="635"/>
      <c r="G139" s="635"/>
      <c r="H139" s="635"/>
      <c r="I139" s="635"/>
      <c r="J139" s="635"/>
      <c r="K139" s="635"/>
      <c r="L139" s="636"/>
    </row>
    <row r="140" spans="1:12" ht="25.5" customHeight="1">
      <c r="A140" s="634"/>
      <c r="B140" s="635"/>
      <c r="C140" s="635"/>
      <c r="D140" s="635"/>
      <c r="E140" s="635"/>
      <c r="F140" s="635"/>
      <c r="G140" s="635"/>
      <c r="H140" s="635"/>
      <c r="I140" s="635"/>
      <c r="J140" s="635"/>
      <c r="K140" s="635"/>
      <c r="L140" s="636"/>
    </row>
    <row r="141" spans="1:12" ht="25.5" customHeight="1">
      <c r="A141" s="634"/>
      <c r="B141" s="635"/>
      <c r="C141" s="635"/>
      <c r="D141" s="635"/>
      <c r="E141" s="635"/>
      <c r="F141" s="635"/>
      <c r="G141" s="635"/>
      <c r="H141" s="635"/>
      <c r="I141" s="635"/>
      <c r="J141" s="635"/>
      <c r="K141" s="635"/>
      <c r="L141" s="636"/>
    </row>
    <row r="142" spans="1:12" ht="25.5" customHeight="1">
      <c r="A142" s="634"/>
      <c r="B142" s="635"/>
      <c r="C142" s="635"/>
      <c r="D142" s="635"/>
      <c r="E142" s="635"/>
      <c r="F142" s="635"/>
      <c r="G142" s="635"/>
      <c r="H142" s="635"/>
      <c r="I142" s="635"/>
      <c r="J142" s="635"/>
      <c r="K142" s="635"/>
      <c r="L142" s="636"/>
    </row>
    <row r="143" spans="1:12" ht="25.5" customHeight="1">
      <c r="A143" s="634"/>
      <c r="B143" s="635"/>
      <c r="C143" s="635"/>
      <c r="D143" s="635"/>
      <c r="E143" s="635"/>
      <c r="F143" s="635"/>
      <c r="G143" s="635"/>
      <c r="H143" s="635"/>
      <c r="I143" s="635"/>
      <c r="J143" s="635"/>
      <c r="K143" s="635"/>
      <c r="L143" s="636"/>
    </row>
    <row r="144" spans="1:12" ht="25.5" customHeight="1">
      <c r="A144" s="634"/>
      <c r="B144" s="635"/>
      <c r="C144" s="635"/>
      <c r="D144" s="635"/>
      <c r="E144" s="635"/>
      <c r="F144" s="635"/>
      <c r="G144" s="635"/>
      <c r="H144" s="635"/>
      <c r="I144" s="635"/>
      <c r="J144" s="635"/>
      <c r="K144" s="635"/>
      <c r="L144" s="636"/>
    </row>
    <row r="145" spans="1:12" ht="25.5" customHeight="1">
      <c r="A145" s="634"/>
      <c r="B145" s="635"/>
      <c r="C145" s="635"/>
      <c r="D145" s="635"/>
      <c r="E145" s="635"/>
      <c r="F145" s="635"/>
      <c r="G145" s="635"/>
      <c r="H145" s="635"/>
      <c r="I145" s="635"/>
      <c r="J145" s="635"/>
      <c r="K145" s="635"/>
      <c r="L145" s="636"/>
    </row>
    <row r="146" spans="1:12" ht="25.5" customHeight="1">
      <c r="A146" s="634"/>
      <c r="B146" s="635"/>
      <c r="C146" s="635"/>
      <c r="D146" s="635"/>
      <c r="E146" s="635"/>
      <c r="F146" s="635"/>
      <c r="G146" s="635"/>
      <c r="H146" s="635"/>
      <c r="I146" s="635"/>
      <c r="J146" s="635"/>
      <c r="K146" s="635"/>
      <c r="L146" s="636"/>
    </row>
    <row r="147" spans="1:12" ht="25.5" customHeight="1">
      <c r="A147" s="634"/>
      <c r="B147" s="635"/>
      <c r="C147" s="635"/>
      <c r="D147" s="635"/>
      <c r="E147" s="635"/>
      <c r="F147" s="635"/>
      <c r="G147" s="635"/>
      <c r="H147" s="635"/>
      <c r="I147" s="635"/>
      <c r="J147" s="635"/>
      <c r="K147" s="635"/>
      <c r="L147" s="636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162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598</v>
      </c>
      <c r="L152" s="5"/>
    </row>
    <row r="153" spans="1:12">
      <c r="A153" s="4"/>
      <c r="B153" t="s">
        <v>163</v>
      </c>
      <c r="L153" s="5"/>
    </row>
    <row r="154" spans="1:12">
      <c r="A154" s="4"/>
      <c r="L154" s="5"/>
    </row>
    <row r="155" spans="1:12">
      <c r="A155" s="4"/>
      <c r="D155" s="620" t="s">
        <v>164</v>
      </c>
      <c r="E155" s="620"/>
      <c r="F155" s="620"/>
      <c r="G155" s="620"/>
      <c r="H155" s="620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36" t="s">
        <v>165</v>
      </c>
      <c r="E163" s="536"/>
      <c r="F163" s="536"/>
      <c r="G163" s="536"/>
      <c r="H163" s="536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627" t="s">
        <v>166</v>
      </c>
      <c r="B166" s="628"/>
      <c r="C166" s="628"/>
      <c r="D166" s="628"/>
      <c r="E166" s="628"/>
      <c r="F166" s="628"/>
      <c r="G166" s="628"/>
      <c r="H166" s="628"/>
      <c r="I166" s="628"/>
      <c r="J166" s="628"/>
      <c r="K166" s="628"/>
      <c r="L166" s="641"/>
    </row>
    <row r="167" spans="1:12"/>
    <row r="168" spans="1:12">
      <c r="A168" s="1"/>
      <c r="B168" s="35" t="s">
        <v>167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168</v>
      </c>
      <c r="C170" s="37"/>
      <c r="D170" s="37"/>
      <c r="E170" s="37"/>
      <c r="F170" s="2"/>
      <c r="G170" s="278" t="s">
        <v>175</v>
      </c>
      <c r="H170" s="279"/>
      <c r="I170" s="279"/>
      <c r="J170" s="279"/>
      <c r="K170" s="280"/>
      <c r="L170" s="44"/>
    </row>
    <row r="171" spans="1:12">
      <c r="A171" s="181"/>
      <c r="B171" s="4"/>
      <c r="E171" s="461" t="s">
        <v>165</v>
      </c>
      <c r="F171" s="462"/>
      <c r="G171" s="4"/>
      <c r="J171" s="461" t="s">
        <v>165</v>
      </c>
      <c r="K171" s="462"/>
      <c r="L171" s="277"/>
    </row>
    <row r="172" spans="1:12">
      <c r="A172" s="181"/>
      <c r="B172" s="11"/>
      <c r="C172" s="11"/>
      <c r="D172" s="17"/>
      <c r="E172" s="637"/>
      <c r="F172" s="541"/>
      <c r="G172" s="11"/>
      <c r="H172" s="11"/>
      <c r="I172" s="17"/>
      <c r="J172" s="637"/>
      <c r="K172" s="541"/>
      <c r="L172" s="277"/>
    </row>
    <row r="173" spans="1:12">
      <c r="A173" s="181"/>
      <c r="B173" s="281" t="s">
        <v>169</v>
      </c>
      <c r="C173" s="13" t="s">
        <v>170</v>
      </c>
      <c r="D173" s="13" t="s">
        <v>171</v>
      </c>
      <c r="E173" s="637"/>
      <c r="F173" s="541"/>
      <c r="G173" s="281" t="s">
        <v>169</v>
      </c>
      <c r="H173" s="13" t="s">
        <v>170</v>
      </c>
      <c r="I173" s="13" t="s">
        <v>171</v>
      </c>
      <c r="J173" s="637"/>
      <c r="K173" s="541"/>
      <c r="L173" s="277"/>
    </row>
    <row r="174" spans="1:12">
      <c r="A174" s="181"/>
      <c r="B174" s="4"/>
      <c r="E174" s="637"/>
      <c r="F174" s="541"/>
      <c r="G174" s="284"/>
      <c r="H174" s="283"/>
      <c r="I174" s="276"/>
      <c r="J174" s="637"/>
      <c r="K174" s="541"/>
      <c r="L174" s="277"/>
    </row>
    <row r="175" spans="1:12">
      <c r="A175" s="181"/>
      <c r="B175" s="274"/>
      <c r="C175" s="275"/>
      <c r="D175" s="275"/>
      <c r="E175" s="637"/>
      <c r="F175" s="541"/>
      <c r="G175" s="281"/>
      <c r="H175" s="13"/>
      <c r="I175" s="277"/>
      <c r="J175" s="637"/>
      <c r="K175" s="541"/>
      <c r="L175" s="277"/>
    </row>
    <row r="176" spans="1:12">
      <c r="A176" s="181"/>
      <c r="B176" s="4"/>
      <c r="C176" t="s">
        <v>172</v>
      </c>
      <c r="E176" s="637"/>
      <c r="F176" s="541"/>
      <c r="G176" s="285"/>
      <c r="H176" s="282"/>
      <c r="I176" s="286"/>
      <c r="J176" s="637"/>
      <c r="K176" s="541"/>
      <c r="L176" s="277"/>
    </row>
    <row r="177" spans="1:12" ht="15" customHeight="1">
      <c r="A177" s="181"/>
      <c r="B177" s="4"/>
      <c r="E177" s="637"/>
      <c r="F177" s="541"/>
      <c r="G177" s="291" t="s">
        <v>174</v>
      </c>
      <c r="H177" s="292"/>
      <c r="I177" s="293"/>
      <c r="J177" s="637"/>
      <c r="K177" s="541"/>
      <c r="L177" s="277"/>
    </row>
    <row r="178" spans="1:12">
      <c r="A178" s="181"/>
      <c r="B178" s="274"/>
      <c r="C178" s="275"/>
      <c r="D178" s="275"/>
      <c r="E178" s="637"/>
      <c r="F178" s="541"/>
      <c r="G178" s="38"/>
      <c r="H178" s="39"/>
      <c r="I178" s="40"/>
      <c r="J178" s="637"/>
      <c r="K178" s="541"/>
      <c r="L178" s="277"/>
    </row>
    <row r="179" spans="1:12">
      <c r="A179" s="34"/>
      <c r="B179" s="6"/>
      <c r="C179" s="7" t="s">
        <v>173</v>
      </c>
      <c r="D179" s="7"/>
      <c r="E179" s="463"/>
      <c r="F179" s="464"/>
      <c r="G179" s="41"/>
      <c r="H179" s="42"/>
      <c r="I179" s="43"/>
      <c r="J179" s="463"/>
      <c r="K179" s="464"/>
      <c r="L179" s="286"/>
    </row>
    <row r="180" spans="1:12"/>
    <row r="181" spans="1:12">
      <c r="A181" s="1"/>
      <c r="B181" s="35" t="s">
        <v>167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168</v>
      </c>
      <c r="C183" s="37"/>
      <c r="D183" s="37"/>
      <c r="E183" s="37"/>
      <c r="F183" s="2"/>
      <c r="G183" s="278" t="s">
        <v>175</v>
      </c>
      <c r="H183" s="279"/>
      <c r="I183" s="279"/>
      <c r="J183" s="279"/>
      <c r="K183" s="280"/>
      <c r="L183" s="44"/>
    </row>
    <row r="184" spans="1:12">
      <c r="A184" s="181"/>
      <c r="B184" s="4"/>
      <c r="E184" s="461" t="s">
        <v>165</v>
      </c>
      <c r="F184" s="462"/>
      <c r="G184" s="4"/>
      <c r="J184" s="461" t="s">
        <v>165</v>
      </c>
      <c r="K184" s="462"/>
      <c r="L184" s="277"/>
    </row>
    <row r="185" spans="1:12">
      <c r="A185" s="181"/>
      <c r="B185" s="11"/>
      <c r="C185" s="11"/>
      <c r="D185" s="17"/>
      <c r="E185" s="637"/>
      <c r="F185" s="541"/>
      <c r="G185" s="11"/>
      <c r="H185" s="11"/>
      <c r="I185" s="17"/>
      <c r="J185" s="637"/>
      <c r="K185" s="541"/>
      <c r="L185" s="277"/>
    </row>
    <row r="186" spans="1:12">
      <c r="A186" s="181"/>
      <c r="B186" s="281" t="s">
        <v>169</v>
      </c>
      <c r="C186" s="13" t="s">
        <v>170</v>
      </c>
      <c r="D186" s="13" t="s">
        <v>171</v>
      </c>
      <c r="E186" s="637"/>
      <c r="F186" s="541"/>
      <c r="G186" s="281" t="s">
        <v>169</v>
      </c>
      <c r="H186" s="13" t="s">
        <v>170</v>
      </c>
      <c r="I186" s="13" t="s">
        <v>171</v>
      </c>
      <c r="J186" s="637"/>
      <c r="K186" s="541"/>
      <c r="L186" s="277"/>
    </row>
    <row r="187" spans="1:12">
      <c r="A187" s="181"/>
      <c r="B187" s="4"/>
      <c r="E187" s="637"/>
      <c r="F187" s="541"/>
      <c r="G187" s="461"/>
      <c r="H187" s="536"/>
      <c r="I187" s="462"/>
      <c r="J187" s="637"/>
      <c r="K187" s="541"/>
      <c r="L187" s="277"/>
    </row>
    <row r="188" spans="1:12">
      <c r="A188" s="181"/>
      <c r="B188" s="274"/>
      <c r="C188" s="275"/>
      <c r="D188" s="275"/>
      <c r="E188" s="637"/>
      <c r="F188" s="541"/>
      <c r="G188" s="637"/>
      <c r="H188" s="540"/>
      <c r="I188" s="541"/>
      <c r="J188" s="637"/>
      <c r="K188" s="541"/>
      <c r="L188" s="277"/>
    </row>
    <row r="189" spans="1:12">
      <c r="A189" s="181"/>
      <c r="B189" s="4"/>
      <c r="C189" t="s">
        <v>172</v>
      </c>
      <c r="E189" s="637"/>
      <c r="F189" s="541"/>
      <c r="G189" s="463"/>
      <c r="H189" s="497"/>
      <c r="I189" s="464"/>
      <c r="J189" s="637"/>
      <c r="K189" s="541"/>
      <c r="L189" s="277"/>
    </row>
    <row r="190" spans="1:12" ht="63.75" customHeight="1">
      <c r="A190" s="181"/>
      <c r="B190" s="4"/>
      <c r="E190" s="637"/>
      <c r="F190" s="541"/>
      <c r="G190" s="638" t="s">
        <v>174</v>
      </c>
      <c r="H190" s="639"/>
      <c r="I190" s="640"/>
      <c r="J190" s="637"/>
      <c r="K190" s="541"/>
      <c r="L190" s="277"/>
    </row>
    <row r="191" spans="1:12">
      <c r="A191" s="181"/>
      <c r="B191" s="274"/>
      <c r="C191" s="275"/>
      <c r="D191" s="275"/>
      <c r="E191" s="637"/>
      <c r="F191" s="541"/>
      <c r="G191" s="38"/>
      <c r="H191" s="39"/>
      <c r="I191" s="40"/>
      <c r="J191" s="637"/>
      <c r="K191" s="541"/>
      <c r="L191" s="277"/>
    </row>
    <row r="192" spans="1:12">
      <c r="A192" s="34"/>
      <c r="B192" s="6"/>
      <c r="C192" s="7" t="s">
        <v>173</v>
      </c>
      <c r="D192" s="7"/>
      <c r="E192" s="463"/>
      <c r="F192" s="464"/>
      <c r="G192" s="41"/>
      <c r="H192" s="42"/>
      <c r="I192" s="43"/>
      <c r="J192" s="463"/>
      <c r="K192" s="464"/>
      <c r="L192" s="286"/>
    </row>
    <row r="193" spans="1:12"/>
    <row r="194" spans="1:12">
      <c r="A194" s="1"/>
      <c r="B194" s="35" t="s">
        <v>167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168</v>
      </c>
      <c r="C196" s="37"/>
      <c r="D196" s="37"/>
      <c r="E196" s="37"/>
      <c r="F196" s="2"/>
      <c r="G196" s="278" t="s">
        <v>175</v>
      </c>
      <c r="H196" s="279"/>
      <c r="I196" s="279"/>
      <c r="J196" s="279"/>
      <c r="K196" s="280"/>
      <c r="L196" s="44"/>
    </row>
    <row r="197" spans="1:12">
      <c r="A197" s="181"/>
      <c r="B197" s="4"/>
      <c r="E197" s="461" t="s">
        <v>165</v>
      </c>
      <c r="F197" s="462"/>
      <c r="G197" s="4"/>
      <c r="J197" s="461" t="s">
        <v>165</v>
      </c>
      <c r="K197" s="462"/>
      <c r="L197" s="277"/>
    </row>
    <row r="198" spans="1:12">
      <c r="A198" s="181"/>
      <c r="B198" s="11"/>
      <c r="C198" s="11"/>
      <c r="D198" s="17"/>
      <c r="E198" s="637"/>
      <c r="F198" s="541"/>
      <c r="G198" s="11"/>
      <c r="H198" s="11"/>
      <c r="I198" s="17"/>
      <c r="J198" s="637"/>
      <c r="K198" s="541"/>
      <c r="L198" s="277"/>
    </row>
    <row r="199" spans="1:12">
      <c r="A199" s="181"/>
      <c r="B199" s="281" t="s">
        <v>169</v>
      </c>
      <c r="C199" s="13" t="s">
        <v>170</v>
      </c>
      <c r="D199" s="13" t="s">
        <v>171</v>
      </c>
      <c r="E199" s="637"/>
      <c r="F199" s="541"/>
      <c r="G199" s="281" t="s">
        <v>169</v>
      </c>
      <c r="H199" s="13" t="s">
        <v>170</v>
      </c>
      <c r="I199" s="13" t="s">
        <v>171</v>
      </c>
      <c r="J199" s="637"/>
      <c r="K199" s="541"/>
      <c r="L199" s="277"/>
    </row>
    <row r="200" spans="1:12">
      <c r="A200" s="181"/>
      <c r="B200" s="4"/>
      <c r="E200" s="637"/>
      <c r="F200" s="541"/>
      <c r="G200" s="461"/>
      <c r="H200" s="536"/>
      <c r="I200" s="462"/>
      <c r="J200" s="637"/>
      <c r="K200" s="541"/>
      <c r="L200" s="277"/>
    </row>
    <row r="201" spans="1:12">
      <c r="A201" s="181"/>
      <c r="B201" s="274"/>
      <c r="C201" s="275"/>
      <c r="D201" s="275"/>
      <c r="E201" s="637"/>
      <c r="F201" s="541"/>
      <c r="G201" s="637"/>
      <c r="H201" s="540"/>
      <c r="I201" s="541"/>
      <c r="J201" s="637"/>
      <c r="K201" s="541"/>
      <c r="L201" s="277"/>
    </row>
    <row r="202" spans="1:12">
      <c r="A202" s="181"/>
      <c r="B202" s="4"/>
      <c r="C202" t="s">
        <v>172</v>
      </c>
      <c r="E202" s="637"/>
      <c r="F202" s="541"/>
      <c r="G202" s="463"/>
      <c r="H202" s="497"/>
      <c r="I202" s="464"/>
      <c r="J202" s="637"/>
      <c r="K202" s="541"/>
      <c r="L202" s="277"/>
    </row>
    <row r="203" spans="1:12" ht="55.5" customHeight="1">
      <c r="A203" s="181"/>
      <c r="B203" s="4"/>
      <c r="E203" s="637"/>
      <c r="F203" s="541"/>
      <c r="G203" s="638" t="s">
        <v>174</v>
      </c>
      <c r="H203" s="639"/>
      <c r="I203" s="640"/>
      <c r="J203" s="637"/>
      <c r="K203" s="541"/>
      <c r="L203" s="277"/>
    </row>
    <row r="204" spans="1:12">
      <c r="A204" s="181"/>
      <c r="B204" s="274"/>
      <c r="C204" s="275"/>
      <c r="D204" s="275"/>
      <c r="E204" s="637"/>
      <c r="F204" s="541"/>
      <c r="G204" s="38"/>
      <c r="H204" s="39"/>
      <c r="I204" s="40"/>
      <c r="J204" s="637"/>
      <c r="K204" s="541"/>
      <c r="L204" s="277"/>
    </row>
    <row r="205" spans="1:12">
      <c r="A205" s="34"/>
      <c r="B205" s="6"/>
      <c r="C205" s="7" t="s">
        <v>173</v>
      </c>
      <c r="D205" s="7"/>
      <c r="E205" s="463"/>
      <c r="F205" s="464"/>
      <c r="G205" s="41"/>
      <c r="H205" s="42"/>
      <c r="I205" s="43"/>
      <c r="J205" s="463"/>
      <c r="K205" s="464"/>
      <c r="L205" s="286"/>
    </row>
  </sheetData>
  <protectedRanges>
    <protectedRange sqref="B19:F19 H19:L19" name="I15"/>
  </protectedRanges>
  <mergeCells count="108"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>
    <tabColor rgb="FF75AD45"/>
  </sheetPr>
  <dimension ref="A1:L174"/>
  <sheetViews>
    <sheetView showGridLines="0" view="pageBreakPreview" zoomScale="85" zoomScaleNormal="85" zoomScaleSheetLayoutView="85" workbookViewId="0">
      <selection activeCell="H8" sqref="H8"/>
    </sheetView>
  </sheetViews>
  <sheetFormatPr baseColWidth="10" defaultColWidth="9.140625" defaultRowHeight="15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9.5703125" customWidth="1"/>
    <col min="11" max="11" width="4.140625" customWidth="1"/>
    <col min="12" max="12" width="3.42578125" customWidth="1"/>
  </cols>
  <sheetData>
    <row r="1" spans="1:12" ht="14.1" customHeight="1" thickBot="1">
      <c r="J1" t="str">
        <f>_xlfn.CONCAT("OT ",DATOS!D1)</f>
        <v xml:space="preserve">OT </v>
      </c>
    </row>
    <row r="2" spans="1:12" ht="27.75" customHeight="1">
      <c r="E2" s="690" t="s">
        <v>209</v>
      </c>
      <c r="F2" s="691"/>
      <c r="G2" s="691"/>
      <c r="H2" s="691"/>
      <c r="I2" s="691"/>
      <c r="J2" s="691"/>
      <c r="K2" s="691"/>
      <c r="L2" s="692"/>
    </row>
    <row r="3" spans="1:12" ht="28.5" customHeight="1">
      <c r="E3" s="693" t="s">
        <v>21</v>
      </c>
      <c r="F3" s="694"/>
      <c r="G3" s="694"/>
      <c r="H3" s="694"/>
      <c r="I3" s="694"/>
      <c r="J3" s="694"/>
      <c r="K3" s="694"/>
      <c r="L3" s="695"/>
    </row>
    <row r="4" spans="1:12" ht="26.25" customHeight="1">
      <c r="E4" s="696" t="s">
        <v>921</v>
      </c>
      <c r="F4" s="697"/>
      <c r="G4" s="697"/>
      <c r="H4" s="697"/>
      <c r="I4" s="697"/>
      <c r="J4" s="697"/>
      <c r="K4" s="697"/>
      <c r="L4" s="698"/>
    </row>
    <row r="5" spans="1:12" ht="23.25" customHeight="1" thickBot="1">
      <c r="E5" s="699" t="s">
        <v>210</v>
      </c>
      <c r="F5" s="700"/>
      <c r="G5" s="700"/>
      <c r="H5" s="700"/>
      <c r="I5" s="700"/>
      <c r="J5" s="700"/>
      <c r="K5" s="700"/>
      <c r="L5" s="701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624" t="str">
        <f>DATOS!D5</f>
        <v>-</v>
      </c>
      <c r="C9" s="625"/>
      <c r="D9" s="625"/>
      <c r="E9" s="625"/>
      <c r="F9" s="626"/>
      <c r="G9" s="51"/>
      <c r="H9" s="624" t="str">
        <f>DATOS!D6</f>
        <v>-</v>
      </c>
      <c r="I9" s="625"/>
      <c r="J9" s="625"/>
      <c r="K9" s="626"/>
      <c r="L9" s="5"/>
    </row>
    <row r="10" spans="1:12" ht="18.600000000000001" customHeight="1">
      <c r="A10" s="4"/>
      <c r="C10" s="422" t="s">
        <v>2</v>
      </c>
      <c r="D10" s="422"/>
      <c r="E10" s="422"/>
      <c r="F10" s="15"/>
      <c r="G10" s="15"/>
      <c r="H10" s="401" t="s">
        <v>3</v>
      </c>
      <c r="I10" s="401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495</v>
      </c>
      <c r="H12" s="651" t="str">
        <f>DATOS!D7</f>
        <v>-</v>
      </c>
      <c r="I12" s="626"/>
      <c r="L12" s="5"/>
    </row>
    <row r="13" spans="1:12" ht="18.600000000000001" customHeight="1">
      <c r="A13" s="4"/>
      <c r="L13" s="5"/>
    </row>
    <row r="14" spans="1:12" ht="21.75" customHeight="1">
      <c r="A14" s="4"/>
      <c r="B14" s="681" t="str">
        <f>DATOS!D8</f>
        <v>-</v>
      </c>
      <c r="C14" s="682"/>
      <c r="D14" s="682"/>
      <c r="E14" s="682"/>
      <c r="F14" s="682"/>
      <c r="G14" s="682"/>
      <c r="H14" s="682"/>
      <c r="I14" s="682"/>
      <c r="J14" s="682"/>
      <c r="K14" s="683"/>
      <c r="L14" s="5"/>
    </row>
    <row r="15" spans="1:12" ht="18.600000000000001" customHeight="1">
      <c r="A15" s="4"/>
      <c r="E15" s="540" t="s">
        <v>9</v>
      </c>
      <c r="F15" s="540"/>
      <c r="G15" s="540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684" t="s">
        <v>15</v>
      </c>
      <c r="I17" s="684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685" t="s">
        <v>49</v>
      </c>
      <c r="C19" s="686"/>
      <c r="D19" s="686"/>
      <c r="E19" s="686"/>
      <c r="F19" s="686"/>
      <c r="G19" s="686"/>
      <c r="H19" s="686"/>
      <c r="I19" s="686"/>
      <c r="J19" s="686"/>
      <c r="K19" s="687"/>
      <c r="L19" s="5"/>
    </row>
    <row r="20" spans="1:12" ht="18.600000000000001" customHeight="1">
      <c r="A20" s="4"/>
      <c r="D20" s="540" t="s">
        <v>16</v>
      </c>
      <c r="E20" s="540"/>
      <c r="F20" s="540"/>
      <c r="G20" s="540"/>
      <c r="H20" s="540"/>
      <c r="L20" s="5"/>
    </row>
    <row r="21" spans="1:12" ht="18.600000000000001" customHeight="1">
      <c r="A21" s="4"/>
      <c r="B21" s="497" t="s">
        <v>17</v>
      </c>
      <c r="C21" s="497"/>
      <c r="D21" s="497"/>
      <c r="E21" s="497"/>
      <c r="L21" s="5"/>
    </row>
    <row r="22" spans="1:12" ht="15" customHeight="1">
      <c r="A22" s="4"/>
      <c r="B22" s="677"/>
      <c r="C22" s="629"/>
      <c r="D22" s="629"/>
      <c r="E22" s="629"/>
      <c r="F22" s="629"/>
      <c r="G22" s="678"/>
      <c r="I22" s="677"/>
      <c r="J22" s="629"/>
      <c r="K22" s="678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677"/>
      <c r="I25" s="629"/>
      <c r="J25" s="629"/>
      <c r="K25" s="678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679"/>
      <c r="C31" s="688"/>
      <c r="D31" s="688"/>
      <c r="E31" s="688"/>
      <c r="F31" s="689"/>
      <c r="H31" s="679"/>
      <c r="I31" s="688"/>
      <c r="J31" s="688"/>
      <c r="K31" s="689"/>
      <c r="L31" s="5"/>
    </row>
    <row r="32" spans="1:12" ht="14.1" customHeight="1">
      <c r="A32" s="4"/>
      <c r="C32" s="422" t="s">
        <v>2</v>
      </c>
      <c r="D32" s="422"/>
      <c r="E32" s="422"/>
      <c r="F32" s="15"/>
      <c r="G32" s="15"/>
      <c r="H32" s="401" t="s">
        <v>3</v>
      </c>
      <c r="I32" s="401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679" t="s">
        <v>49</v>
      </c>
      <c r="I34" s="680"/>
      <c r="L34" s="5"/>
    </row>
    <row r="35" spans="1:12" ht="14.1" customHeight="1">
      <c r="A35" s="4"/>
      <c r="L35" s="5"/>
    </row>
    <row r="36" spans="1:12" ht="19.5" customHeight="1">
      <c r="A36" s="4"/>
      <c r="B36" s="681" t="str">
        <f>B14</f>
        <v>-</v>
      </c>
      <c r="C36" s="682"/>
      <c r="D36" s="682"/>
      <c r="E36" s="682"/>
      <c r="F36" s="682"/>
      <c r="G36" s="682"/>
      <c r="H36" s="682"/>
      <c r="I36" s="682"/>
      <c r="J36" s="682"/>
      <c r="K36" s="683"/>
      <c r="L36" s="5"/>
    </row>
    <row r="37" spans="1:12" ht="14.1" customHeight="1">
      <c r="A37" s="4"/>
      <c r="E37" s="540" t="s">
        <v>9</v>
      </c>
      <c r="F37" s="540"/>
      <c r="G37" s="540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684" t="s">
        <v>15</v>
      </c>
      <c r="I39" s="684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685" t="s">
        <v>49</v>
      </c>
      <c r="C41" s="686"/>
      <c r="D41" s="686"/>
      <c r="E41" s="686"/>
      <c r="F41" s="686"/>
      <c r="G41" s="686"/>
      <c r="H41" s="686"/>
      <c r="I41" s="686"/>
      <c r="J41" s="686"/>
      <c r="K41" s="687"/>
      <c r="L41" s="5"/>
    </row>
    <row r="42" spans="1:12" ht="14.1" customHeight="1">
      <c r="A42" s="4"/>
      <c r="D42" s="540" t="s">
        <v>16</v>
      </c>
      <c r="E42" s="540"/>
      <c r="F42" s="540"/>
      <c r="G42" s="540"/>
      <c r="H42" s="540"/>
      <c r="L42" s="5"/>
    </row>
    <row r="43" spans="1:12" ht="14.1" customHeight="1">
      <c r="A43" s="4"/>
      <c r="B43" s="497" t="s">
        <v>17</v>
      </c>
      <c r="C43" s="497"/>
      <c r="D43" s="497"/>
      <c r="E43" s="497"/>
      <c r="L43" s="5"/>
    </row>
    <row r="44" spans="1:12" ht="14.1" customHeight="1">
      <c r="A44" s="4"/>
      <c r="B44" s="677"/>
      <c r="C44" s="629"/>
      <c r="D44" s="629"/>
      <c r="E44" s="629"/>
      <c r="F44" s="629"/>
      <c r="G44" s="678"/>
      <c r="I44" s="677"/>
      <c r="J44" s="629"/>
      <c r="K44" s="678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677"/>
      <c r="I47" s="629"/>
      <c r="J47" s="629"/>
      <c r="K47" s="678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679"/>
      <c r="C52" s="688"/>
      <c r="D52" s="688"/>
      <c r="E52" s="688"/>
      <c r="F52" s="689"/>
      <c r="H52" s="679"/>
      <c r="I52" s="688"/>
      <c r="J52" s="688"/>
      <c r="K52" s="689"/>
      <c r="L52" s="5"/>
    </row>
    <row r="53" spans="1:12" ht="14.1" customHeight="1">
      <c r="A53" s="4"/>
      <c r="C53" s="422" t="s">
        <v>2</v>
      </c>
      <c r="D53" s="422"/>
      <c r="E53" s="422"/>
      <c r="F53" s="15"/>
      <c r="G53" s="15"/>
      <c r="H53" s="401" t="s">
        <v>3</v>
      </c>
      <c r="I53" s="401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679"/>
      <c r="I55" s="680"/>
      <c r="L55" s="5"/>
    </row>
    <row r="56" spans="1:12" ht="14.1" customHeight="1">
      <c r="A56" s="4"/>
      <c r="L56" s="5"/>
    </row>
    <row r="57" spans="1:12" ht="21" customHeight="1">
      <c r="A57" s="4"/>
      <c r="B57" s="681" t="str">
        <f>B36</f>
        <v>-</v>
      </c>
      <c r="C57" s="682"/>
      <c r="D57" s="682"/>
      <c r="E57" s="682"/>
      <c r="F57" s="682"/>
      <c r="G57" s="682"/>
      <c r="H57" s="682"/>
      <c r="I57" s="682"/>
      <c r="J57" s="682"/>
      <c r="K57" s="683"/>
      <c r="L57" s="5"/>
    </row>
    <row r="58" spans="1:12" ht="14.1" customHeight="1">
      <c r="A58" s="4"/>
      <c r="E58" s="540" t="s">
        <v>9</v>
      </c>
      <c r="F58" s="540"/>
      <c r="G58" s="540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684" t="s">
        <v>15</v>
      </c>
      <c r="I60" s="684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685"/>
      <c r="C62" s="686"/>
      <c r="D62" s="686"/>
      <c r="E62" s="686"/>
      <c r="F62" s="686"/>
      <c r="G62" s="686"/>
      <c r="H62" s="686"/>
      <c r="I62" s="686"/>
      <c r="J62" s="686"/>
      <c r="K62" s="687"/>
      <c r="L62" s="5"/>
    </row>
    <row r="63" spans="1:12" ht="14.1" customHeight="1">
      <c r="A63" s="4"/>
      <c r="D63" s="540" t="s">
        <v>16</v>
      </c>
      <c r="E63" s="540"/>
      <c r="F63" s="540"/>
      <c r="G63" s="540"/>
      <c r="H63" s="540"/>
      <c r="L63" s="5"/>
    </row>
    <row r="64" spans="1:12" ht="14.1" customHeight="1">
      <c r="A64" s="4"/>
      <c r="B64" s="497" t="s">
        <v>17</v>
      </c>
      <c r="C64" s="497"/>
      <c r="D64" s="497"/>
      <c r="E64" s="497"/>
      <c r="L64" s="5"/>
    </row>
    <row r="65" spans="1:12" ht="14.1" customHeight="1">
      <c r="A65" s="4"/>
      <c r="B65" s="677"/>
      <c r="C65" s="629"/>
      <c r="D65" s="629"/>
      <c r="E65" s="629"/>
      <c r="F65" s="629"/>
      <c r="G65" s="678"/>
      <c r="I65" s="677"/>
      <c r="J65" s="629"/>
      <c r="K65" s="678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677"/>
      <c r="I68" s="629"/>
      <c r="J68" s="629"/>
      <c r="K68" s="678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679"/>
      <c r="C73" s="688"/>
      <c r="D73" s="688"/>
      <c r="E73" s="688"/>
      <c r="F73" s="689"/>
      <c r="H73" s="679"/>
      <c r="I73" s="688"/>
      <c r="J73" s="688"/>
      <c r="K73" s="689"/>
      <c r="L73" s="5"/>
    </row>
    <row r="74" spans="1:12">
      <c r="A74" s="4"/>
      <c r="C74" s="422" t="s">
        <v>2</v>
      </c>
      <c r="D74" s="422"/>
      <c r="E74" s="422"/>
      <c r="F74" s="15"/>
      <c r="G74" s="15"/>
      <c r="H74" s="401" t="s">
        <v>3</v>
      </c>
      <c r="I74" s="401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679"/>
      <c r="I76" s="680"/>
      <c r="L76" s="5"/>
    </row>
    <row r="77" spans="1:12">
      <c r="A77" s="4"/>
      <c r="L77" s="5"/>
    </row>
    <row r="78" spans="1:12" ht="17.25">
      <c r="A78" s="4"/>
      <c r="B78" s="681" t="str">
        <f>B57</f>
        <v>-</v>
      </c>
      <c r="C78" s="682"/>
      <c r="D78" s="682"/>
      <c r="E78" s="682"/>
      <c r="F78" s="682"/>
      <c r="G78" s="682"/>
      <c r="H78" s="682"/>
      <c r="I78" s="682"/>
      <c r="J78" s="682"/>
      <c r="K78" s="683"/>
      <c r="L78" s="5"/>
    </row>
    <row r="79" spans="1:12">
      <c r="A79" s="4"/>
      <c r="E79" s="540" t="s">
        <v>9</v>
      </c>
      <c r="F79" s="540"/>
      <c r="G79" s="540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684" t="s">
        <v>15</v>
      </c>
      <c r="I81" s="684"/>
      <c r="J81" s="16"/>
      <c r="K81" s="16"/>
      <c r="L81" s="5"/>
    </row>
    <row r="82" spans="1:12">
      <c r="A82" s="4"/>
      <c r="L82" s="5"/>
    </row>
    <row r="83" spans="1:12">
      <c r="A83" s="4"/>
      <c r="B83" s="685"/>
      <c r="C83" s="686"/>
      <c r="D83" s="686"/>
      <c r="E83" s="686"/>
      <c r="F83" s="686"/>
      <c r="G83" s="686"/>
      <c r="H83" s="686"/>
      <c r="I83" s="686"/>
      <c r="J83" s="686"/>
      <c r="K83" s="687"/>
      <c r="L83" s="5"/>
    </row>
    <row r="84" spans="1:12">
      <c r="A84" s="4"/>
      <c r="D84" s="540" t="s">
        <v>16</v>
      </c>
      <c r="E84" s="540"/>
      <c r="F84" s="540"/>
      <c r="G84" s="540"/>
      <c r="H84" s="540"/>
      <c r="L84" s="5"/>
    </row>
    <row r="85" spans="1:12">
      <c r="A85" s="4"/>
      <c r="B85" s="497" t="s">
        <v>17</v>
      </c>
      <c r="C85" s="497"/>
      <c r="D85" s="497"/>
      <c r="E85" s="497"/>
      <c r="L85" s="5"/>
    </row>
    <row r="86" spans="1:12">
      <c r="A86" s="4"/>
      <c r="B86" s="677"/>
      <c r="C86" s="629"/>
      <c r="D86" s="629"/>
      <c r="E86" s="629"/>
      <c r="F86" s="629"/>
      <c r="G86" s="678"/>
      <c r="I86" s="677"/>
      <c r="J86" s="629"/>
      <c r="K86" s="678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677"/>
      <c r="I89" s="629"/>
      <c r="J89" s="629"/>
      <c r="K89" s="678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679"/>
      <c r="C94" s="688"/>
      <c r="D94" s="688"/>
      <c r="E94" s="688"/>
      <c r="F94" s="689"/>
      <c r="H94" s="679"/>
      <c r="I94" s="688"/>
      <c r="J94" s="688"/>
      <c r="K94" s="689"/>
      <c r="L94" s="5"/>
    </row>
    <row r="95" spans="1:12">
      <c r="A95" s="4"/>
      <c r="C95" s="422" t="s">
        <v>2</v>
      </c>
      <c r="D95" s="422"/>
      <c r="E95" s="422"/>
      <c r="F95" s="15"/>
      <c r="G95" s="15"/>
      <c r="H95" s="401" t="s">
        <v>3</v>
      </c>
      <c r="I95" s="401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679"/>
      <c r="I97" s="680"/>
      <c r="L97" s="5"/>
    </row>
    <row r="98" spans="1:12">
      <c r="A98" s="4"/>
      <c r="L98" s="5"/>
    </row>
    <row r="99" spans="1:12" ht="17.25">
      <c r="A99" s="4"/>
      <c r="B99" s="681" t="str">
        <f>B78</f>
        <v>-</v>
      </c>
      <c r="C99" s="682"/>
      <c r="D99" s="682"/>
      <c r="E99" s="682"/>
      <c r="F99" s="682"/>
      <c r="G99" s="682"/>
      <c r="H99" s="682"/>
      <c r="I99" s="682"/>
      <c r="J99" s="682"/>
      <c r="K99" s="683"/>
      <c r="L99" s="5"/>
    </row>
    <row r="100" spans="1:12">
      <c r="A100" s="4"/>
      <c r="E100" s="540" t="s">
        <v>9</v>
      </c>
      <c r="F100" s="540"/>
      <c r="G100" s="540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684" t="s">
        <v>15</v>
      </c>
      <c r="I102" s="684"/>
      <c r="J102" s="16"/>
      <c r="K102" s="16"/>
      <c r="L102" s="5"/>
    </row>
    <row r="103" spans="1:12">
      <c r="A103" s="4"/>
      <c r="L103" s="5"/>
    </row>
    <row r="104" spans="1:12">
      <c r="A104" s="4"/>
      <c r="B104" s="685"/>
      <c r="C104" s="686"/>
      <c r="D104" s="686"/>
      <c r="E104" s="686"/>
      <c r="F104" s="686"/>
      <c r="G104" s="686"/>
      <c r="H104" s="686"/>
      <c r="I104" s="686"/>
      <c r="J104" s="686"/>
      <c r="K104" s="687"/>
      <c r="L104" s="5"/>
    </row>
    <row r="105" spans="1:12">
      <c r="A105" s="4"/>
      <c r="D105" s="540" t="s">
        <v>16</v>
      </c>
      <c r="E105" s="540"/>
      <c r="F105" s="540"/>
      <c r="G105" s="540"/>
      <c r="H105" s="540"/>
      <c r="L105" s="5"/>
    </row>
    <row r="106" spans="1:12">
      <c r="A106" s="4"/>
      <c r="B106" s="497" t="s">
        <v>17</v>
      </c>
      <c r="C106" s="497"/>
      <c r="D106" s="497"/>
      <c r="E106" s="497"/>
      <c r="L106" s="5"/>
    </row>
    <row r="107" spans="1:12">
      <c r="A107" s="4"/>
      <c r="B107" s="677"/>
      <c r="C107" s="629"/>
      <c r="D107" s="629"/>
      <c r="E107" s="629"/>
      <c r="F107" s="629"/>
      <c r="G107" s="678"/>
      <c r="I107" s="677"/>
      <c r="J107" s="629"/>
      <c r="K107" s="678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677"/>
      <c r="I110" s="629"/>
      <c r="J110" s="629"/>
      <c r="K110" s="678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679"/>
      <c r="C115" s="688"/>
      <c r="D115" s="688"/>
      <c r="E115" s="688"/>
      <c r="F115" s="689"/>
      <c r="H115" s="679"/>
      <c r="I115" s="688"/>
      <c r="J115" s="688"/>
      <c r="K115" s="689"/>
      <c r="L115" s="5"/>
    </row>
    <row r="116" spans="1:12">
      <c r="A116" s="4"/>
      <c r="C116" s="422" t="s">
        <v>2</v>
      </c>
      <c r="D116" s="422"/>
      <c r="E116" s="422"/>
      <c r="F116" s="15"/>
      <c r="G116" s="15"/>
      <c r="H116" s="401" t="s">
        <v>3</v>
      </c>
      <c r="I116" s="401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679"/>
      <c r="I118" s="680"/>
      <c r="L118" s="5"/>
    </row>
    <row r="119" spans="1:12">
      <c r="A119" s="4"/>
      <c r="L119" s="5"/>
    </row>
    <row r="120" spans="1:12" ht="17.25">
      <c r="A120" s="4"/>
      <c r="B120" s="681" t="str">
        <f>B99</f>
        <v>-</v>
      </c>
      <c r="C120" s="682"/>
      <c r="D120" s="682"/>
      <c r="E120" s="682"/>
      <c r="F120" s="682"/>
      <c r="G120" s="682"/>
      <c r="H120" s="682"/>
      <c r="I120" s="682"/>
      <c r="J120" s="682"/>
      <c r="K120" s="683"/>
      <c r="L120" s="5"/>
    </row>
    <row r="121" spans="1:12">
      <c r="A121" s="4"/>
      <c r="E121" s="540" t="s">
        <v>9</v>
      </c>
      <c r="F121" s="540"/>
      <c r="G121" s="540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684" t="s">
        <v>15</v>
      </c>
      <c r="I123" s="684"/>
      <c r="J123" s="16"/>
      <c r="K123" s="16"/>
      <c r="L123" s="5"/>
    </row>
    <row r="124" spans="1:12">
      <c r="A124" s="4"/>
      <c r="L124" s="5"/>
    </row>
    <row r="125" spans="1:12">
      <c r="A125" s="4"/>
      <c r="B125" s="685"/>
      <c r="C125" s="686"/>
      <c r="D125" s="686"/>
      <c r="E125" s="686"/>
      <c r="F125" s="686"/>
      <c r="G125" s="686"/>
      <c r="H125" s="686"/>
      <c r="I125" s="686"/>
      <c r="J125" s="686"/>
      <c r="K125" s="687"/>
      <c r="L125" s="5"/>
    </row>
    <row r="126" spans="1:12">
      <c r="A126" s="4"/>
      <c r="D126" s="540" t="s">
        <v>16</v>
      </c>
      <c r="E126" s="540"/>
      <c r="F126" s="540"/>
      <c r="G126" s="540"/>
      <c r="H126" s="540"/>
      <c r="L126" s="5"/>
    </row>
    <row r="127" spans="1:12">
      <c r="A127" s="4"/>
      <c r="B127" s="497" t="s">
        <v>17</v>
      </c>
      <c r="C127" s="497"/>
      <c r="D127" s="497"/>
      <c r="E127" s="497"/>
      <c r="L127" s="5"/>
    </row>
    <row r="128" spans="1:12">
      <c r="A128" s="4"/>
      <c r="B128" s="677"/>
      <c r="C128" s="629"/>
      <c r="D128" s="629"/>
      <c r="E128" s="629"/>
      <c r="F128" s="629"/>
      <c r="G128" s="678"/>
      <c r="I128" s="677"/>
      <c r="J128" s="629"/>
      <c r="K128" s="678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677"/>
      <c r="I131" s="629"/>
      <c r="J131" s="629"/>
      <c r="K131" s="678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679"/>
      <c r="C136" s="688"/>
      <c r="D136" s="688"/>
      <c r="E136" s="688"/>
      <c r="F136" s="689"/>
      <c r="H136" s="679"/>
      <c r="I136" s="688"/>
      <c r="J136" s="688"/>
      <c r="K136" s="689"/>
      <c r="L136" s="5"/>
    </row>
    <row r="137" spans="1:12">
      <c r="A137" s="4"/>
      <c r="C137" s="422" t="s">
        <v>2</v>
      </c>
      <c r="D137" s="422"/>
      <c r="E137" s="422"/>
      <c r="F137" s="15"/>
      <c r="G137" s="15"/>
      <c r="H137" s="401" t="s">
        <v>3</v>
      </c>
      <c r="I137" s="401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679"/>
      <c r="I139" s="680"/>
      <c r="L139" s="5"/>
    </row>
    <row r="140" spans="1:12">
      <c r="A140" s="4"/>
      <c r="L140" s="5"/>
    </row>
    <row r="141" spans="1:12" ht="17.25">
      <c r="A141" s="4"/>
      <c r="B141" s="681" t="str">
        <f>B120</f>
        <v>-</v>
      </c>
      <c r="C141" s="682"/>
      <c r="D141" s="682"/>
      <c r="E141" s="682"/>
      <c r="F141" s="682"/>
      <c r="G141" s="682"/>
      <c r="H141" s="682"/>
      <c r="I141" s="682"/>
      <c r="J141" s="682"/>
      <c r="K141" s="683"/>
      <c r="L141" s="5"/>
    </row>
    <row r="142" spans="1:12">
      <c r="A142" s="4"/>
      <c r="E142" s="540" t="s">
        <v>9</v>
      </c>
      <c r="F142" s="540"/>
      <c r="G142" s="540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684" t="s">
        <v>15</v>
      </c>
      <c r="I144" s="684"/>
      <c r="J144" s="16"/>
      <c r="K144" s="16"/>
      <c r="L144" s="5"/>
    </row>
    <row r="145" spans="1:12">
      <c r="A145" s="4"/>
      <c r="L145" s="5"/>
    </row>
    <row r="146" spans="1:12">
      <c r="A146" s="4"/>
      <c r="B146" s="685"/>
      <c r="C146" s="686"/>
      <c r="D146" s="686"/>
      <c r="E146" s="686"/>
      <c r="F146" s="686"/>
      <c r="G146" s="686"/>
      <c r="H146" s="686"/>
      <c r="I146" s="686"/>
      <c r="J146" s="686"/>
      <c r="K146" s="687"/>
      <c r="L146" s="5"/>
    </row>
    <row r="147" spans="1:12">
      <c r="A147" s="4"/>
      <c r="D147" s="540" t="s">
        <v>16</v>
      </c>
      <c r="E147" s="540"/>
      <c r="F147" s="540"/>
      <c r="G147" s="540"/>
      <c r="H147" s="540"/>
      <c r="L147" s="5"/>
    </row>
    <row r="148" spans="1:12">
      <c r="A148" s="4"/>
      <c r="B148" s="497" t="s">
        <v>17</v>
      </c>
      <c r="C148" s="497"/>
      <c r="D148" s="497"/>
      <c r="E148" s="497"/>
      <c r="L148" s="5"/>
    </row>
    <row r="149" spans="1:12">
      <c r="A149" s="4"/>
      <c r="B149" s="677"/>
      <c r="C149" s="629"/>
      <c r="D149" s="629"/>
      <c r="E149" s="629"/>
      <c r="F149" s="629"/>
      <c r="G149" s="678"/>
      <c r="I149" s="677"/>
      <c r="J149" s="629"/>
      <c r="K149" s="678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677"/>
      <c r="I152" s="629"/>
      <c r="J152" s="629"/>
      <c r="K152" s="678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679"/>
      <c r="C157" s="688"/>
      <c r="D157" s="688"/>
      <c r="E157" s="688"/>
      <c r="F157" s="689"/>
      <c r="H157" s="679"/>
      <c r="I157" s="688"/>
      <c r="J157" s="688"/>
      <c r="K157" s="689"/>
      <c r="L157" s="5"/>
    </row>
    <row r="158" spans="1:12">
      <c r="A158" s="4"/>
      <c r="C158" s="422" t="s">
        <v>2</v>
      </c>
      <c r="D158" s="422"/>
      <c r="E158" s="422"/>
      <c r="F158" s="15"/>
      <c r="G158" s="15"/>
      <c r="H158" s="401" t="s">
        <v>3</v>
      </c>
      <c r="I158" s="401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679"/>
      <c r="I160" s="680"/>
      <c r="L160" s="5"/>
    </row>
    <row r="161" spans="1:12">
      <c r="A161" s="4"/>
      <c r="L161" s="5"/>
    </row>
    <row r="162" spans="1:12" ht="17.25">
      <c r="A162" s="4"/>
      <c r="B162" s="681" t="str">
        <f>B141</f>
        <v>-</v>
      </c>
      <c r="C162" s="682"/>
      <c r="D162" s="682"/>
      <c r="E162" s="682"/>
      <c r="F162" s="682"/>
      <c r="G162" s="682"/>
      <c r="H162" s="682"/>
      <c r="I162" s="682"/>
      <c r="J162" s="682"/>
      <c r="K162" s="683"/>
      <c r="L162" s="5"/>
    </row>
    <row r="163" spans="1:12">
      <c r="A163" s="4"/>
      <c r="E163" s="540" t="s">
        <v>9</v>
      </c>
      <c r="F163" s="540"/>
      <c r="G163" s="540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684" t="s">
        <v>15</v>
      </c>
      <c r="I165" s="684"/>
      <c r="J165" s="16"/>
      <c r="K165" s="16"/>
      <c r="L165" s="5"/>
    </row>
    <row r="166" spans="1:12">
      <c r="A166" s="4"/>
      <c r="L166" s="5"/>
    </row>
    <row r="167" spans="1:12">
      <c r="A167" s="4"/>
      <c r="B167" s="685"/>
      <c r="C167" s="686"/>
      <c r="D167" s="686"/>
      <c r="E167" s="686"/>
      <c r="F167" s="686"/>
      <c r="G167" s="686"/>
      <c r="H167" s="686"/>
      <c r="I167" s="686"/>
      <c r="J167" s="686"/>
      <c r="K167" s="687"/>
      <c r="L167" s="5"/>
    </row>
    <row r="168" spans="1:12">
      <c r="A168" s="4"/>
      <c r="D168" s="540" t="s">
        <v>16</v>
      </c>
      <c r="E168" s="540"/>
      <c r="F168" s="540"/>
      <c r="G168" s="540"/>
      <c r="H168" s="540"/>
      <c r="L168" s="5"/>
    </row>
    <row r="169" spans="1:12">
      <c r="A169" s="4"/>
      <c r="B169" s="497" t="s">
        <v>17</v>
      </c>
      <c r="C169" s="497"/>
      <c r="D169" s="497"/>
      <c r="E169" s="497"/>
      <c r="L169" s="5"/>
    </row>
    <row r="170" spans="1:12">
      <c r="A170" s="4"/>
      <c r="B170" s="677"/>
      <c r="C170" s="629"/>
      <c r="D170" s="629"/>
      <c r="E170" s="629"/>
      <c r="F170" s="629"/>
      <c r="G170" s="678"/>
      <c r="I170" s="677"/>
      <c r="J170" s="629"/>
      <c r="K170" s="678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677"/>
      <c r="I173" s="629"/>
      <c r="J173" s="629"/>
      <c r="K173" s="678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</sheetData>
  <protectedRanges>
    <protectedRange sqref="B9:F9 H9:K9 B31:F31 H31:K31 B52:F52 H52:K52 B73:F73 H73:K73 B94:F94 H94:K94 B115:F115 H115:K115 B136:F136 H136:K136 B157:F157 H157:K157" name="I15"/>
  </protectedRanges>
  <mergeCells count="116"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</mergeCells>
  <pageMargins left="0.70866141732283472" right="0.39370078740157483" top="0.39370078740157483" bottom="0.39370078740157483" header="0.31496062992125984" footer="0.19685039370078741"/>
  <pageSetup paperSize="9" scale="75" fitToWidth="0" fitToHeight="0" orientation="portrait" horizontalDpi="0" verticalDpi="0" r:id="rId1"/>
  <rowBreaks count="1" manualBreakCount="1">
    <brk id="49" max="1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75AD45"/>
    <pageSetUpPr fitToPage="1"/>
  </sheetPr>
  <dimension ref="A1:I36"/>
  <sheetViews>
    <sheetView view="pageBreakPreview" topLeftCell="A7" zoomScaleNormal="100" zoomScaleSheetLayoutView="100" workbookViewId="0">
      <selection activeCell="E3" sqref="E1:I3"/>
    </sheetView>
  </sheetViews>
  <sheetFormatPr baseColWidth="10" defaultColWidth="10.7109375" defaultRowHeight="0" customHeight="1" zeroHeight="1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  <col min="10" max="16384" width="10.7109375" style="51"/>
  </cols>
  <sheetData>
    <row r="1" spans="1:9" customFormat="1" ht="30" customHeight="1">
      <c r="E1" s="707" t="s">
        <v>212</v>
      </c>
      <c r="F1" s="708"/>
      <c r="G1" s="708"/>
      <c r="H1" s="708"/>
      <c r="I1" s="709"/>
    </row>
    <row r="2" spans="1:9" customFormat="1" ht="30" customHeight="1">
      <c r="E2" s="713" t="s">
        <v>21</v>
      </c>
      <c r="F2" s="714"/>
      <c r="G2" s="714"/>
      <c r="H2" s="714"/>
      <c r="I2" s="715"/>
    </row>
    <row r="3" spans="1:9" customFormat="1" ht="30" customHeight="1" thickBot="1">
      <c r="E3" s="710" t="s">
        <v>55</v>
      </c>
      <c r="F3" s="711"/>
      <c r="G3" s="711"/>
      <c r="H3" s="711"/>
      <c r="I3" s="712"/>
    </row>
    <row r="4" spans="1:9" customFormat="1" ht="18.600000000000001" customHeight="1">
      <c r="E4" s="21"/>
      <c r="F4" s="21"/>
      <c r="G4" s="21"/>
      <c r="H4" s="21"/>
    </row>
    <row r="5" spans="1:9" customFormat="1" ht="20.25" customHeight="1">
      <c r="D5" s="717" t="s">
        <v>211</v>
      </c>
      <c r="E5" s="717"/>
      <c r="F5" s="717"/>
      <c r="G5" s="717"/>
    </row>
    <row r="6" spans="1:9" customFormat="1" ht="10.5" customHeight="1"/>
    <row r="7" spans="1:9" customFormat="1" ht="15" customHeight="1">
      <c r="A7" s="51"/>
      <c r="B7" s="703"/>
      <c r="C7" s="703"/>
      <c r="D7" s="703" t="s">
        <v>827</v>
      </c>
      <c r="E7" s="703"/>
      <c r="F7" s="120" t="s">
        <v>871</v>
      </c>
      <c r="G7" s="120"/>
      <c r="H7" s="70"/>
      <c r="I7" s="70"/>
    </row>
    <row r="8" spans="1:9" customFormat="1" ht="15" customHeight="1">
      <c r="B8" s="703"/>
      <c r="C8" s="703"/>
      <c r="D8" s="703" t="s">
        <v>493</v>
      </c>
      <c r="E8" s="703"/>
      <c r="F8" s="238"/>
      <c r="G8" s="238"/>
      <c r="H8" s="70"/>
      <c r="I8" s="70"/>
    </row>
    <row r="9" spans="1:9" customFormat="1" ht="7.5" customHeight="1">
      <c r="B9" s="15"/>
      <c r="C9" s="15"/>
      <c r="D9" s="70"/>
      <c r="E9" s="70"/>
      <c r="F9" s="70"/>
      <c r="G9" s="70"/>
      <c r="H9" s="70"/>
      <c r="I9" s="70"/>
    </row>
    <row r="10" spans="1:9" customFormat="1" ht="15" customHeight="1">
      <c r="A10" s="51"/>
      <c r="B10" s="716" t="s">
        <v>491</v>
      </c>
      <c r="C10" s="716"/>
      <c r="D10" s="716"/>
      <c r="E10" s="716"/>
      <c r="F10" s="716"/>
      <c r="G10" s="716"/>
      <c r="H10" s="70"/>
      <c r="I10" s="70"/>
    </row>
    <row r="11" spans="1:9" ht="15" customHeight="1">
      <c r="B11" s="70" t="s">
        <v>826</v>
      </c>
      <c r="C11" s="70"/>
      <c r="D11" s="70"/>
      <c r="E11" s="70"/>
      <c r="F11" s="70"/>
      <c r="G11" s="70"/>
      <c r="H11" s="70"/>
      <c r="I11" s="70"/>
    </row>
    <row r="12" spans="1:9" ht="15" customHeight="1">
      <c r="B12" s="704" t="s">
        <v>825</v>
      </c>
      <c r="C12" s="704"/>
      <c r="D12" s="704"/>
      <c r="E12" s="704"/>
      <c r="F12" s="704"/>
      <c r="G12" s="704"/>
      <c r="H12" s="704"/>
      <c r="I12" s="70"/>
    </row>
    <row r="13" spans="1:9" ht="15" customHeight="1" thickBot="1">
      <c r="B13" s="175"/>
    </row>
    <row r="14" spans="1:9" s="155" customFormat="1" ht="15" customHeight="1" thickBot="1">
      <c r="A14" s="156"/>
      <c r="B14" s="237" t="s">
        <v>824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ht="28.5" customHeight="1">
      <c r="A33" s="705" t="s">
        <v>834</v>
      </c>
      <c r="B33" s="705"/>
      <c r="C33" s="705"/>
      <c r="D33" s="705"/>
      <c r="E33" s="705"/>
      <c r="F33" s="705"/>
      <c r="G33" s="705"/>
      <c r="H33" s="705"/>
      <c r="I33" s="705"/>
    </row>
    <row r="34" spans="1:9" ht="61.5" customHeight="1" thickBot="1">
      <c r="A34" s="706" t="str">
        <f>_xlfn.CONCAT(DATOS!D5," ",DATOS!D6)</f>
        <v>- -</v>
      </c>
      <c r="B34" s="706"/>
      <c r="C34" s="706"/>
      <c r="D34" s="706"/>
      <c r="E34" s="99" t="s">
        <v>639</v>
      </c>
      <c r="F34" s="135" t="str">
        <f>DATOS!D7</f>
        <v>-</v>
      </c>
      <c r="G34" s="305"/>
      <c r="H34" s="305"/>
      <c r="I34" s="305"/>
    </row>
    <row r="35" spans="1:9" ht="61.5" customHeight="1" thickBot="1">
      <c r="A35" s="702"/>
      <c r="B35" s="702"/>
      <c r="C35" s="702"/>
      <c r="D35" s="702"/>
      <c r="E35" s="99" t="s">
        <v>639</v>
      </c>
      <c r="F35" s="135"/>
      <c r="G35" s="305"/>
      <c r="H35" s="305"/>
      <c r="I35" s="305"/>
    </row>
    <row r="36" spans="1:9" ht="61.5" customHeight="1" thickBot="1">
      <c r="A36" s="702"/>
      <c r="B36" s="702"/>
      <c r="C36" s="702"/>
      <c r="D36" s="702"/>
      <c r="E36" s="99" t="s">
        <v>639</v>
      </c>
      <c r="F36" s="135"/>
      <c r="G36" s="305"/>
      <c r="H36" s="305"/>
      <c r="I36" s="30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D7:E7"/>
    <mergeCell ref="E1:I1"/>
    <mergeCell ref="E3:I3"/>
    <mergeCell ref="E2:I2"/>
    <mergeCell ref="B10:G10"/>
    <mergeCell ref="D5:G5"/>
    <mergeCell ref="B7:C7"/>
    <mergeCell ref="D8:E8"/>
    <mergeCell ref="A36:D36"/>
    <mergeCell ref="B8:C8"/>
    <mergeCell ref="B12:H12"/>
    <mergeCell ref="A33:I33"/>
    <mergeCell ref="A35:D35"/>
    <mergeCell ref="A34:D34"/>
  </mergeCells>
  <phoneticPr fontId="34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J315"/>
  <sheetViews>
    <sheetView view="pageBreakPreview" topLeftCell="A14" zoomScaleNormal="130" zoomScaleSheetLayoutView="100" workbookViewId="0">
      <selection activeCell="C14" sqref="C14:G14"/>
    </sheetView>
  </sheetViews>
  <sheetFormatPr baseColWidth="10" defaultColWidth="10.7109375" defaultRowHeight="0" customHeight="1" zeroHeight="1"/>
  <cols>
    <col min="1" max="1" width="4.85546875" style="51" customWidth="1"/>
    <col min="2" max="2" width="11.7109375" style="51" customWidth="1"/>
    <col min="3" max="3" width="13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  <col min="11" max="11" width="4.140625" style="51" customWidth="1"/>
    <col min="12" max="12" width="3.5703125" style="51" customWidth="1"/>
    <col min="13" max="13" width="2.85546875" style="51" customWidth="1"/>
    <col min="14" max="14" width="6.5703125" style="51" customWidth="1"/>
    <col min="15" max="16384" width="10.7109375" style="51"/>
  </cols>
  <sheetData>
    <row r="1" spans="2:9" ht="21.75" customHeight="1">
      <c r="C1" s="751" t="s">
        <v>220</v>
      </c>
      <c r="D1" s="752"/>
      <c r="E1" s="752"/>
      <c r="F1" s="752"/>
      <c r="G1" s="752"/>
      <c r="H1" s="752"/>
      <c r="I1" s="196" t="str">
        <f>_xlfn.CONCAT(DATOS!D1," ",DATOS!D2)</f>
        <v xml:space="preserve"> KTN</v>
      </c>
    </row>
    <row r="2" spans="2:9" ht="9.75" customHeight="1">
      <c r="B2" s="753" t="s">
        <v>221</v>
      </c>
      <c r="C2" s="753"/>
      <c r="D2" s="753"/>
      <c r="E2" s="753"/>
      <c r="F2" s="753"/>
      <c r="G2" s="753"/>
      <c r="H2" s="753"/>
      <c r="I2" s="753"/>
    </row>
    <row r="3" spans="2:9" ht="18" customHeight="1">
      <c r="B3" s="753"/>
      <c r="C3" s="753"/>
      <c r="D3" s="753"/>
      <c r="E3" s="753"/>
      <c r="F3" s="753"/>
      <c r="G3" s="753"/>
      <c r="H3" s="753"/>
      <c r="I3" s="753"/>
    </row>
    <row r="4" spans="2:9" ht="17.25" customHeight="1">
      <c r="D4" s="754" t="s">
        <v>222</v>
      </c>
      <c r="E4" s="754"/>
      <c r="F4" s="754"/>
      <c r="G4" s="754"/>
    </row>
    <row r="5" spans="2:9" ht="9" customHeight="1">
      <c r="D5" s="188"/>
      <c r="E5" s="188"/>
      <c r="F5" s="188"/>
      <c r="G5" s="188"/>
    </row>
    <row r="6" spans="2:9" s="191" customFormat="1" ht="15" customHeight="1">
      <c r="B6" s="725" t="s">
        <v>223</v>
      </c>
      <c r="C6" s="726"/>
      <c r="D6" s="726"/>
      <c r="E6" s="726"/>
      <c r="F6" s="726"/>
      <c r="G6" s="726"/>
      <c r="H6" s="726"/>
      <c r="I6" s="726"/>
    </row>
    <row r="7" spans="2:9" s="191" customFormat="1" ht="15" customHeight="1">
      <c r="B7" s="722" t="s">
        <v>708</v>
      </c>
      <c r="C7" s="722"/>
      <c r="D7" s="722"/>
      <c r="E7" s="722"/>
      <c r="F7" s="722"/>
      <c r="G7" s="722"/>
      <c r="H7" s="722"/>
      <c r="I7" s="722"/>
    </row>
    <row r="8" spans="2:9" s="191" customFormat="1" ht="15" customHeight="1">
      <c r="B8" s="722" t="s">
        <v>709</v>
      </c>
      <c r="C8" s="722"/>
      <c r="D8" s="722"/>
      <c r="E8" s="722"/>
      <c r="F8" s="722"/>
      <c r="G8" s="722"/>
      <c r="H8" s="722"/>
      <c r="I8" s="722"/>
    </row>
    <row r="9" spans="2:9" s="191" customFormat="1" ht="15" customHeight="1">
      <c r="B9" s="722" t="s">
        <v>710</v>
      </c>
      <c r="C9" s="722"/>
      <c r="D9" s="722"/>
      <c r="E9" s="722"/>
      <c r="F9" s="722"/>
      <c r="G9" s="722"/>
      <c r="H9" s="722"/>
      <c r="I9" s="722"/>
    </row>
    <row r="10" spans="2:9" s="191" customFormat="1" ht="15" customHeight="1">
      <c r="B10" s="722" t="s">
        <v>711</v>
      </c>
      <c r="C10" s="722"/>
      <c r="D10" s="722"/>
      <c r="E10" s="722"/>
      <c r="F10" s="722"/>
      <c r="G10" s="722"/>
      <c r="H10" s="722"/>
      <c r="I10" s="722"/>
    </row>
    <row r="11" spans="2:9" s="191" customFormat="1" ht="15" customHeight="1">
      <c r="B11" s="755" t="s">
        <v>224</v>
      </c>
      <c r="C11" s="722"/>
      <c r="D11" s="722"/>
      <c r="E11" s="722"/>
      <c r="F11" s="722"/>
      <c r="G11" s="722"/>
      <c r="H11" s="722"/>
      <c r="I11" s="722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670</v>
      </c>
    </row>
    <row r="14" spans="2:9" s="191" customFormat="1" ht="15" customHeight="1">
      <c r="C14" s="721" t="s">
        <v>176</v>
      </c>
      <c r="D14" s="721"/>
      <c r="E14" s="721"/>
      <c r="F14" s="721"/>
      <c r="G14" s="721"/>
    </row>
    <row r="15" spans="2:9" s="191" customFormat="1" ht="15" customHeight="1">
      <c r="C15" s="721" t="s">
        <v>177</v>
      </c>
      <c r="D15" s="721"/>
    </row>
    <row r="16" spans="2:9" s="191" customFormat="1" ht="15.75" customHeight="1">
      <c r="D16" s="721" t="s">
        <v>87</v>
      </c>
      <c r="E16" s="721"/>
      <c r="F16" s="756" t="s">
        <v>201</v>
      </c>
      <c r="G16" s="756"/>
      <c r="H16" s="94"/>
    </row>
    <row r="17" spans="2:9" s="191" customFormat="1" ht="15.75" customHeight="1">
      <c r="D17" s="721" t="s">
        <v>701</v>
      </c>
      <c r="E17" s="721"/>
      <c r="F17" s="757" t="s">
        <v>201</v>
      </c>
      <c r="G17" s="757"/>
      <c r="H17" s="94"/>
    </row>
    <row r="18" spans="2:9" s="191" customFormat="1" ht="15.75" customHeight="1">
      <c r="D18" s="721" t="s">
        <v>702</v>
      </c>
      <c r="E18" s="721"/>
      <c r="F18" s="758" t="str">
        <f>DATOS!D19</f>
        <v>-</v>
      </c>
      <c r="G18" s="758"/>
      <c r="H18" s="252"/>
    </row>
    <row r="19" spans="2:9" s="191" customFormat="1" ht="41.25" customHeight="1">
      <c r="D19" s="759" t="s">
        <v>840</v>
      </c>
      <c r="E19" s="759"/>
      <c r="F19" s="760" t="str">
        <f>DATOS!D20</f>
        <v>-</v>
      </c>
      <c r="G19" s="760"/>
      <c r="H19" s="760"/>
      <c r="I19" s="197"/>
    </row>
    <row r="20" spans="2:9" s="191" customFormat="1" ht="15.75" customHeight="1">
      <c r="D20" s="721" t="s">
        <v>704</v>
      </c>
      <c r="E20" s="721"/>
      <c r="F20" s="761" t="str">
        <f>DATOS!D21</f>
        <v>-</v>
      </c>
      <c r="G20" s="761"/>
      <c r="H20" s="761"/>
    </row>
    <row r="21" spans="2:9" s="191" customFormat="1" ht="15.75" customHeight="1">
      <c r="D21" s="721" t="s">
        <v>705</v>
      </c>
      <c r="E21" s="721"/>
      <c r="F21" s="761" t="s">
        <v>49</v>
      </c>
      <c r="G21" s="761"/>
      <c r="H21" s="761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722" t="s">
        <v>707</v>
      </c>
      <c r="C23" s="722"/>
      <c r="D23" s="722"/>
      <c r="E23" s="722"/>
      <c r="F23" s="198" t="str">
        <f>DATOS!D14</f>
        <v>-</v>
      </c>
      <c r="G23" s="722" t="s">
        <v>199</v>
      </c>
      <c r="H23" s="722"/>
      <c r="I23" s="722"/>
    </row>
    <row r="24" spans="2:9" s="191" customFormat="1" ht="17.25" customHeight="1">
      <c r="B24" s="722" t="s">
        <v>857</v>
      </c>
      <c r="C24" s="722"/>
      <c r="D24" s="722"/>
      <c r="E24" s="722"/>
      <c r="F24" s="722"/>
      <c r="G24" s="722"/>
      <c r="H24" s="722"/>
      <c r="I24" s="722"/>
    </row>
    <row r="25" spans="2:9" s="191" customFormat="1" ht="17.25" customHeight="1">
      <c r="B25" s="722" t="s">
        <v>178</v>
      </c>
      <c r="C25" s="722"/>
      <c r="D25" s="722"/>
      <c r="E25" s="722"/>
      <c r="F25" s="722"/>
      <c r="G25" s="722"/>
      <c r="H25" s="722"/>
      <c r="I25" s="722"/>
    </row>
    <row r="26" spans="2:9" s="191" customFormat="1" ht="9" customHeight="1"/>
    <row r="27" spans="2:9" s="191" customFormat="1" ht="15" customHeight="1">
      <c r="B27" s="61" t="s">
        <v>179</v>
      </c>
      <c r="C27" s="61"/>
      <c r="D27" s="61"/>
      <c r="E27" s="61"/>
      <c r="F27" s="61"/>
    </row>
    <row r="28" spans="2:9" s="191" customFormat="1" ht="15" customHeight="1">
      <c r="B28" s="61" t="s">
        <v>180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796" t="s">
        <v>205</v>
      </c>
      <c r="C30" s="797"/>
      <c r="D30" s="797" t="s">
        <v>494</v>
      </c>
      <c r="E30" s="777" t="s">
        <v>712</v>
      </c>
      <c r="F30" s="779" t="s">
        <v>713</v>
      </c>
      <c r="G30" s="793" t="s">
        <v>181</v>
      </c>
      <c r="H30" s="793"/>
      <c r="I30" s="787" t="s">
        <v>202</v>
      </c>
    </row>
    <row r="31" spans="2:9" s="60" customFormat="1" ht="15.75" customHeight="1" thickBot="1">
      <c r="B31" s="798"/>
      <c r="C31" s="799"/>
      <c r="D31" s="799"/>
      <c r="E31" s="778"/>
      <c r="F31" s="780"/>
      <c r="G31" s="794"/>
      <c r="H31" s="794"/>
      <c r="I31" s="788"/>
    </row>
    <row r="32" spans="2:9" s="191" customFormat="1" ht="16.5" customHeight="1" thickBot="1">
      <c r="B32" s="800" t="s">
        <v>830</v>
      </c>
      <c r="C32" s="795"/>
      <c r="D32" s="247" t="s">
        <v>832</v>
      </c>
      <c r="E32" s="248" t="e">
        <f>#REF!+#REF!+#REF!+#REF!</f>
        <v>#REF!</v>
      </c>
      <c r="F32" s="248" t="e">
        <f>#REF!+#REF!+#REF!+#REF!</f>
        <v>#REF!</v>
      </c>
      <c r="G32" s="795" t="s">
        <v>844</v>
      </c>
      <c r="H32" s="795"/>
      <c r="I32" s="270" t="s">
        <v>858</v>
      </c>
    </row>
    <row r="33" spans="2:10" s="191" customFormat="1" ht="16.5" customHeight="1">
      <c r="B33" s="800" t="s">
        <v>831</v>
      </c>
      <c r="C33" s="795"/>
      <c r="D33" s="247" t="s">
        <v>833</v>
      </c>
      <c r="E33" s="248" t="e">
        <f>#REF!</f>
        <v>#REF!</v>
      </c>
      <c r="F33" s="248" t="e">
        <f>#REF!</f>
        <v>#REF!</v>
      </c>
      <c r="G33" s="795" t="s">
        <v>646</v>
      </c>
      <c r="H33" s="795"/>
      <c r="I33" s="249" t="s">
        <v>829</v>
      </c>
    </row>
    <row r="34" spans="2:10" s="191" customFormat="1" ht="13.5" customHeight="1" thickBot="1">
      <c r="E34" s="200" t="e">
        <f>SUM(E32:E33)</f>
        <v>#REF!</v>
      </c>
      <c r="F34" s="200" t="e">
        <f>SUM(F32:F33)</f>
        <v>#REF!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723" t="s">
        <v>182</v>
      </c>
      <c r="C36" s="723"/>
      <c r="D36" s="723"/>
      <c r="E36" s="723"/>
    </row>
    <row r="37" spans="2:10" s="60" customFormat="1" ht="15" customHeight="1">
      <c r="B37" s="721" t="s">
        <v>190</v>
      </c>
      <c r="C37" s="721"/>
      <c r="D37" s="721"/>
      <c r="E37" s="721"/>
      <c r="F37" s="721"/>
      <c r="G37" s="721"/>
      <c r="H37" s="721"/>
      <c r="I37" s="721"/>
    </row>
    <row r="38" spans="2:10" s="60" customFormat="1" ht="15" customHeight="1">
      <c r="B38" s="721" t="s">
        <v>191</v>
      </c>
      <c r="C38" s="721"/>
      <c r="D38" s="721"/>
      <c r="E38" s="721"/>
      <c r="F38" s="721"/>
      <c r="G38" s="721"/>
      <c r="H38" s="721"/>
      <c r="I38" s="721"/>
    </row>
    <row r="39" spans="2:10" s="60" customFormat="1" ht="15" customHeight="1">
      <c r="B39" s="721" t="s">
        <v>183</v>
      </c>
      <c r="C39" s="721"/>
      <c r="D39" s="721"/>
      <c r="E39" s="721"/>
      <c r="F39" s="721"/>
      <c r="G39" s="721"/>
      <c r="H39" s="721"/>
      <c r="I39" s="721"/>
    </row>
    <row r="40" spans="2:10" s="60" customFormat="1" ht="4.5" customHeight="1" thickBot="1">
      <c r="C40" s="50"/>
    </row>
    <row r="41" spans="2:10" s="60" customFormat="1" ht="12" customHeight="1">
      <c r="B41" s="781" t="s">
        <v>184</v>
      </c>
      <c r="C41" s="782"/>
      <c r="D41" s="782"/>
      <c r="E41" s="801" t="s">
        <v>186</v>
      </c>
      <c r="F41" s="782" t="s">
        <v>185</v>
      </c>
      <c r="G41" s="782"/>
      <c r="H41" s="782"/>
      <c r="I41" s="789" t="s">
        <v>202</v>
      </c>
    </row>
    <row r="42" spans="2:10" s="60" customFormat="1" ht="15" customHeight="1" thickBot="1">
      <c r="B42" s="783"/>
      <c r="C42" s="784"/>
      <c r="D42" s="784"/>
      <c r="E42" s="802"/>
      <c r="F42" s="784"/>
      <c r="G42" s="784"/>
      <c r="H42" s="784"/>
      <c r="I42" s="790"/>
    </row>
    <row r="43" spans="2:10" s="191" customFormat="1" ht="15" customHeight="1">
      <c r="B43" s="785" t="s">
        <v>662</v>
      </c>
      <c r="C43" s="786"/>
      <c r="D43" s="786"/>
      <c r="E43" s="244" t="e">
        <f>#REF!</f>
        <v>#REF!</v>
      </c>
      <c r="F43" s="792" t="e">
        <f>#REF!</f>
        <v>#REF!</v>
      </c>
      <c r="G43" s="792"/>
      <c r="H43" s="792"/>
      <c r="I43" s="250" t="s">
        <v>203</v>
      </c>
    </row>
    <row r="44" spans="2:10" s="191" customFormat="1" ht="15" customHeight="1">
      <c r="B44" s="718" t="s">
        <v>656</v>
      </c>
      <c r="C44" s="719"/>
      <c r="D44" s="719"/>
      <c r="E44" s="240" t="e">
        <f>#REF!</f>
        <v>#REF!</v>
      </c>
      <c r="F44" s="720" t="e">
        <f>#REF!</f>
        <v>#REF!</v>
      </c>
      <c r="G44" s="720"/>
      <c r="H44" s="720"/>
      <c r="I44" s="251" t="s">
        <v>204</v>
      </c>
    </row>
    <row r="45" spans="2:10" s="191" customFormat="1" ht="15" customHeight="1">
      <c r="B45" s="718" t="s">
        <v>661</v>
      </c>
      <c r="C45" s="719"/>
      <c r="D45" s="719"/>
      <c r="E45" s="240" t="e">
        <f>#REF!</f>
        <v>#REF!</v>
      </c>
      <c r="F45" s="720" t="e">
        <f>#REF!</f>
        <v>#REF!</v>
      </c>
      <c r="G45" s="720"/>
      <c r="H45" s="720"/>
      <c r="I45" s="273" t="s">
        <v>859</v>
      </c>
    </row>
    <row r="46" spans="2:10" s="191" customFormat="1" ht="15" customHeight="1">
      <c r="B46" s="718" t="s">
        <v>658</v>
      </c>
      <c r="C46" s="719"/>
      <c r="D46" s="719"/>
      <c r="E46" s="240" t="e">
        <f>#REF!</f>
        <v>#REF!</v>
      </c>
      <c r="F46" s="720" t="e">
        <f>#REF!</f>
        <v>#REF!</v>
      </c>
      <c r="G46" s="720"/>
      <c r="H46" s="720"/>
      <c r="I46" s="251" t="s">
        <v>829</v>
      </c>
    </row>
    <row r="47" spans="2:10" s="191" customFormat="1" ht="15" customHeight="1">
      <c r="B47" s="718" t="s">
        <v>657</v>
      </c>
      <c r="C47" s="719"/>
      <c r="D47" s="719"/>
      <c r="E47" s="240" t="e">
        <f>#REF!</f>
        <v>#REF!</v>
      </c>
      <c r="F47" s="720" t="e">
        <f>#REF!</f>
        <v>#REF!</v>
      </c>
      <c r="G47" s="720"/>
      <c r="H47" s="720"/>
      <c r="I47" s="251" t="s">
        <v>851</v>
      </c>
    </row>
    <row r="48" spans="2:10" s="191" customFormat="1" ht="15" customHeight="1">
      <c r="B48" s="718" t="s">
        <v>860</v>
      </c>
      <c r="C48" s="719"/>
      <c r="D48" s="719"/>
      <c r="E48" s="240">
        <v>5.7</v>
      </c>
      <c r="F48" s="720" t="s">
        <v>660</v>
      </c>
      <c r="G48" s="720"/>
      <c r="H48" s="720"/>
      <c r="I48" s="251" t="s">
        <v>861</v>
      </c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723" t="s">
        <v>187</v>
      </c>
      <c r="C50" s="723"/>
      <c r="D50" s="723"/>
    </row>
    <row r="51" spans="1:10" s="191" customFormat="1" ht="15" customHeight="1">
      <c r="B51" s="721" t="s">
        <v>188</v>
      </c>
      <c r="C51" s="721"/>
      <c r="D51" s="721"/>
      <c r="E51" s="721"/>
      <c r="F51" s="721"/>
      <c r="G51" s="721"/>
      <c r="H51" s="721"/>
      <c r="I51" s="721"/>
    </row>
    <row r="52" spans="1:10" s="191" customFormat="1" ht="15" customHeight="1">
      <c r="A52" s="199"/>
      <c r="B52" s="721" t="s">
        <v>714</v>
      </c>
      <c r="C52" s="721"/>
      <c r="D52" s="721"/>
      <c r="E52" s="721"/>
      <c r="F52" s="721"/>
      <c r="G52" s="721"/>
      <c r="H52" s="721"/>
      <c r="I52" s="721"/>
    </row>
    <row r="53" spans="1:10" s="191" customFormat="1" ht="15" customHeight="1">
      <c r="A53" s="199"/>
      <c r="B53" s="721" t="s">
        <v>716</v>
      </c>
      <c r="C53" s="721"/>
      <c r="D53" s="721"/>
      <c r="E53" s="721"/>
      <c r="F53" s="721"/>
      <c r="G53" s="721"/>
      <c r="H53" s="721"/>
      <c r="I53" s="721"/>
    </row>
    <row r="54" spans="1:10" s="191" customFormat="1" ht="15" customHeight="1">
      <c r="A54" s="199"/>
      <c r="B54" s="721" t="s">
        <v>715</v>
      </c>
      <c r="C54" s="721"/>
      <c r="D54" s="721"/>
      <c r="E54" s="721"/>
      <c r="F54" s="721"/>
      <c r="G54" s="721"/>
      <c r="H54" s="721"/>
      <c r="I54" s="721"/>
    </row>
    <row r="55" spans="1:10" s="191" customFormat="1" ht="15" customHeight="1">
      <c r="A55" s="199"/>
      <c r="B55" s="721" t="s">
        <v>439</v>
      </c>
      <c r="C55" s="721"/>
      <c r="D55" s="721"/>
      <c r="E55" s="721"/>
      <c r="F55" s="721"/>
      <c r="G55" s="721"/>
      <c r="H55" s="721"/>
      <c r="I55" s="721"/>
    </row>
    <row r="56" spans="1:10" s="191" customFormat="1" ht="15" customHeight="1">
      <c r="A56" s="199"/>
      <c r="B56" s="721" t="s">
        <v>440</v>
      </c>
      <c r="C56" s="721"/>
      <c r="D56" s="721"/>
      <c r="E56" s="721"/>
      <c r="F56" s="721"/>
      <c r="G56" s="721"/>
      <c r="H56" s="721"/>
      <c r="I56" s="721"/>
    </row>
    <row r="57" spans="1:10" s="191" customFormat="1" ht="15" customHeight="1">
      <c r="A57" s="199"/>
      <c r="B57" s="721" t="s">
        <v>441</v>
      </c>
      <c r="C57" s="721"/>
      <c r="D57" s="721"/>
      <c r="E57" s="721"/>
      <c r="F57" s="721"/>
      <c r="G57" s="721"/>
      <c r="H57" s="721"/>
      <c r="I57" s="721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723" t="s">
        <v>189</v>
      </c>
      <c r="C59" s="723"/>
      <c r="D59" s="723"/>
      <c r="E59" s="723"/>
      <c r="F59" s="723"/>
      <c r="G59" s="723"/>
      <c r="H59" s="50"/>
      <c r="I59" s="50"/>
      <c r="J59" s="50"/>
    </row>
    <row r="60" spans="1:10" s="59" customFormat="1" ht="15" customHeight="1">
      <c r="B60" s="721" t="s">
        <v>192</v>
      </c>
      <c r="C60" s="721"/>
      <c r="D60" s="721"/>
      <c r="E60" s="721"/>
      <c r="F60" s="721"/>
      <c r="G60" s="721"/>
      <c r="H60" s="721"/>
      <c r="I60" s="721"/>
      <c r="J60" s="50"/>
    </row>
    <row r="61" spans="1:10" s="59" customFormat="1" ht="15" customHeight="1">
      <c r="B61" s="721" t="s">
        <v>193</v>
      </c>
      <c r="C61" s="721"/>
      <c r="D61" s="721"/>
      <c r="E61" s="721"/>
      <c r="F61" s="721"/>
      <c r="G61" s="721"/>
      <c r="H61" s="721"/>
      <c r="I61" s="721"/>
      <c r="J61" s="50"/>
    </row>
    <row r="62" spans="1:10" s="59" customFormat="1" ht="15" customHeight="1">
      <c r="B62" s="721" t="s">
        <v>194</v>
      </c>
      <c r="C62" s="721"/>
      <c r="D62" s="721"/>
      <c r="E62" s="721"/>
      <c r="F62" s="721"/>
      <c r="G62" s="721"/>
      <c r="H62" s="721"/>
      <c r="I62" s="721"/>
      <c r="J62" s="50"/>
    </row>
    <row r="63" spans="1:10" s="59" customFormat="1" ht="15" customHeight="1">
      <c r="B63" s="721" t="s">
        <v>195</v>
      </c>
      <c r="C63" s="721"/>
      <c r="D63" s="721"/>
      <c r="E63" s="721"/>
      <c r="F63" s="721"/>
      <c r="G63" s="721"/>
      <c r="H63" s="721"/>
      <c r="I63" s="721"/>
    </row>
    <row r="64" spans="1:10" s="59" customFormat="1" ht="15" customHeight="1">
      <c r="B64" s="721" t="s">
        <v>196</v>
      </c>
      <c r="C64" s="721"/>
      <c r="D64" s="721"/>
      <c r="E64" s="721"/>
      <c r="F64" s="721"/>
      <c r="G64" s="721"/>
      <c r="H64" s="721"/>
      <c r="I64" s="721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ht="15" customHeight="1">
      <c r="D66" s="727" t="s">
        <v>197</v>
      </c>
      <c r="E66" s="728"/>
      <c r="F66" s="737" t="s">
        <v>717</v>
      </c>
      <c r="G66" s="738"/>
    </row>
    <row r="67" spans="2:9" ht="15" customHeight="1" thickBot="1">
      <c r="D67" s="729"/>
      <c r="E67" s="730"/>
      <c r="F67" s="739"/>
      <c r="G67" s="740"/>
    </row>
    <row r="68" spans="2:9" s="59" customFormat="1" ht="15" customHeight="1">
      <c r="D68" s="735" t="str">
        <f>D32</f>
        <v>UI-1</v>
      </c>
      <c r="E68" s="736"/>
      <c r="F68" s="764" t="e">
        <f>ROUND(E32/$E$34*100,2)</f>
        <v>#REF!</v>
      </c>
      <c r="G68" s="765"/>
    </row>
    <row r="69" spans="2:9" ht="15" customHeight="1" thickBot="1">
      <c r="D69" s="733" t="str">
        <f>D33</f>
        <v>UI-2</v>
      </c>
      <c r="E69" s="734"/>
      <c r="F69" s="764" t="e">
        <f>ROUND(E33/$E$34*100,2)</f>
        <v>#REF!</v>
      </c>
      <c r="G69" s="765"/>
    </row>
    <row r="70" spans="2:9" ht="15" customHeight="1" thickBot="1">
      <c r="D70" s="731" t="s">
        <v>60</v>
      </c>
      <c r="E70" s="732"/>
      <c r="F70" s="803" t="e">
        <f>SUM(F68:G69)</f>
        <v>#REF!</v>
      </c>
      <c r="G70" s="804"/>
    </row>
    <row r="71" spans="2:9" ht="25.5" customHeight="1">
      <c r="D71" s="68"/>
      <c r="E71" s="69"/>
    </row>
    <row r="72" spans="2:9" s="59" customFormat="1" ht="15" customHeight="1">
      <c r="B72" s="725" t="s">
        <v>216</v>
      </c>
      <c r="C72" s="726"/>
      <c r="D72" s="726"/>
      <c r="E72" s="726"/>
      <c r="F72" s="726"/>
      <c r="G72" s="726"/>
      <c r="H72" s="726"/>
      <c r="I72" s="726"/>
    </row>
    <row r="73" spans="2:9" s="59" customFormat="1" ht="15" customHeight="1">
      <c r="B73" s="722" t="s">
        <v>192</v>
      </c>
      <c r="C73" s="722"/>
      <c r="D73" s="722"/>
      <c r="E73" s="722"/>
      <c r="F73" s="722"/>
      <c r="G73" s="722"/>
      <c r="H73" s="722"/>
      <c r="I73" s="722"/>
    </row>
    <row r="74" spans="2:9" s="59" customFormat="1" ht="15" customHeight="1">
      <c r="B74" s="722" t="s">
        <v>217</v>
      </c>
      <c r="C74" s="722"/>
      <c r="D74" s="722"/>
      <c r="E74" s="722"/>
      <c r="F74" s="722"/>
      <c r="G74" s="722"/>
      <c r="H74" s="722"/>
      <c r="I74" s="722"/>
    </row>
    <row r="75" spans="2:9" s="59" customFormat="1" ht="15" customHeight="1">
      <c r="B75" s="722" t="s">
        <v>218</v>
      </c>
      <c r="C75" s="722"/>
      <c r="D75" s="722"/>
      <c r="E75" s="722"/>
      <c r="F75" s="722"/>
      <c r="G75" s="722"/>
      <c r="H75" s="722"/>
      <c r="I75" s="722"/>
    </row>
    <row r="76" spans="2:9" s="59" customFormat="1" ht="15" customHeight="1">
      <c r="B76" s="755" t="s">
        <v>219</v>
      </c>
      <c r="C76" s="722"/>
      <c r="D76" s="722"/>
      <c r="E76" s="722"/>
      <c r="F76" s="722"/>
      <c r="G76" s="722"/>
      <c r="H76" s="722"/>
      <c r="I76" s="722"/>
    </row>
    <row r="77" spans="2:9" s="59" customFormat="1" ht="15" customHeight="1">
      <c r="B77" s="722" t="s">
        <v>442</v>
      </c>
      <c r="C77" s="722"/>
      <c r="D77" s="722"/>
      <c r="E77" s="722"/>
      <c r="F77" s="722"/>
      <c r="G77" s="722"/>
      <c r="H77" s="722"/>
      <c r="I77" s="722"/>
    </row>
    <row r="78" spans="2:9" s="59" customFormat="1" ht="15" customHeight="1">
      <c r="B78" s="722" t="s">
        <v>443</v>
      </c>
      <c r="C78" s="722"/>
      <c r="D78" s="722"/>
      <c r="E78" s="722"/>
      <c r="F78" s="722"/>
      <c r="G78" s="722"/>
      <c r="H78" s="722"/>
      <c r="I78" s="722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ht="15.75" customHeight="1">
      <c r="D80" s="727" t="s">
        <v>197</v>
      </c>
      <c r="E80" s="728"/>
      <c r="F80" s="728" t="s">
        <v>717</v>
      </c>
      <c r="G80" s="770"/>
    </row>
    <row r="81" spans="1:10" ht="15.75" customHeight="1" thickBot="1">
      <c r="D81" s="729"/>
      <c r="E81" s="730"/>
      <c r="F81" s="730"/>
      <c r="G81" s="771"/>
    </row>
    <row r="82" spans="1:10" s="59" customFormat="1" ht="15" customHeight="1">
      <c r="D82" s="773" t="str">
        <f>D68</f>
        <v>UI-1</v>
      </c>
      <c r="E82" s="774"/>
      <c r="F82" s="764" t="e">
        <f>F68</f>
        <v>#REF!</v>
      </c>
      <c r="G82" s="765"/>
    </row>
    <row r="83" spans="1:10" s="59" customFormat="1" ht="15" customHeight="1" thickBot="1">
      <c r="D83" s="768" t="str">
        <f>D69</f>
        <v>UI-2</v>
      </c>
      <c r="E83" s="769"/>
      <c r="F83" s="762" t="e">
        <f>F69</f>
        <v>#REF!</v>
      </c>
      <c r="G83" s="763"/>
    </row>
    <row r="84" spans="1:10" s="59" customFormat="1" ht="15" customHeight="1" thickBot="1">
      <c r="D84" s="766" t="s">
        <v>60</v>
      </c>
      <c r="E84" s="767"/>
      <c r="F84" s="775" t="e">
        <f t="shared" ref="F84" si="0">F70</f>
        <v>#REF!</v>
      </c>
      <c r="G84" s="776"/>
    </row>
    <row r="85" spans="1:10" ht="28.5" customHeight="1">
      <c r="D85" s="138"/>
      <c r="E85" s="138"/>
    </row>
    <row r="86" spans="1:10" s="94" customFormat="1" ht="15" customHeight="1">
      <c r="A86" s="59"/>
      <c r="B86" s="723" t="s">
        <v>225</v>
      </c>
      <c r="C86" s="723"/>
      <c r="D86" s="723"/>
      <c r="E86" s="723"/>
      <c r="F86" s="723"/>
      <c r="G86" s="723"/>
      <c r="H86" s="191"/>
      <c r="I86" s="191"/>
    </row>
    <row r="87" spans="1:10" s="94" customFormat="1" ht="15" customHeight="1">
      <c r="A87" s="59"/>
      <c r="B87" s="721" t="s">
        <v>226</v>
      </c>
      <c r="C87" s="721"/>
      <c r="D87" s="721"/>
      <c r="E87" s="721"/>
      <c r="F87" s="721"/>
      <c r="G87" s="721"/>
      <c r="H87" s="721"/>
      <c r="I87" s="721"/>
      <c r="J87" s="93"/>
    </row>
    <row r="88" spans="1:10" s="94" customFormat="1" ht="15" customHeight="1">
      <c r="A88" s="59"/>
      <c r="B88" s="721" t="s">
        <v>322</v>
      </c>
      <c r="C88" s="721"/>
      <c r="D88" s="721"/>
      <c r="E88" s="721"/>
      <c r="F88" s="721"/>
      <c r="G88" s="721"/>
      <c r="H88" s="721"/>
      <c r="I88" s="721"/>
      <c r="J88" s="93"/>
    </row>
    <row r="89" spans="1:10" s="94" customFormat="1" ht="15" customHeight="1">
      <c r="A89" s="59"/>
      <c r="B89" s="721" t="s">
        <v>323</v>
      </c>
      <c r="C89" s="721"/>
      <c r="D89" s="721"/>
      <c r="E89" s="721"/>
      <c r="F89" s="721"/>
      <c r="G89" s="721"/>
      <c r="H89" s="721"/>
      <c r="I89" s="721"/>
      <c r="J89" s="93"/>
    </row>
    <row r="90" spans="1:10" s="94" customFormat="1" ht="15" customHeight="1">
      <c r="A90" s="59"/>
      <c r="B90" s="721" t="s">
        <v>227</v>
      </c>
      <c r="C90" s="721"/>
      <c r="D90" s="721"/>
      <c r="E90" s="721"/>
      <c r="F90" s="721"/>
      <c r="G90" s="721"/>
      <c r="H90" s="721"/>
      <c r="I90" s="721"/>
      <c r="J90" s="93"/>
    </row>
    <row r="91" spans="1:10" s="94" customFormat="1" ht="15" customHeight="1">
      <c r="A91" s="59"/>
      <c r="B91" s="721" t="s">
        <v>324</v>
      </c>
      <c r="C91" s="721"/>
      <c r="D91" s="721"/>
      <c r="E91" s="721"/>
      <c r="F91" s="721"/>
      <c r="G91" s="721"/>
      <c r="H91" s="721"/>
      <c r="I91" s="721"/>
      <c r="J91" s="93"/>
    </row>
    <row r="92" spans="1:10" s="94" customFormat="1" ht="15" customHeight="1">
      <c r="A92" s="59"/>
      <c r="B92" s="721" t="s">
        <v>325</v>
      </c>
      <c r="C92" s="721"/>
      <c r="D92" s="721"/>
      <c r="E92" s="721"/>
      <c r="F92" s="721"/>
      <c r="G92" s="721"/>
      <c r="H92" s="721"/>
      <c r="I92" s="721"/>
      <c r="J92" s="93"/>
    </row>
    <row r="93" spans="1:10" s="94" customFormat="1" ht="15" customHeight="1">
      <c r="A93" s="59"/>
      <c r="B93" s="721" t="s">
        <v>228</v>
      </c>
      <c r="C93" s="721"/>
      <c r="D93" s="721"/>
      <c r="E93" s="721"/>
      <c r="F93" s="721"/>
      <c r="G93" s="721"/>
      <c r="H93" s="721"/>
      <c r="I93" s="721"/>
      <c r="J93" s="93"/>
    </row>
    <row r="94" spans="1:10" s="94" customFormat="1" ht="15" customHeight="1">
      <c r="A94" s="59"/>
      <c r="B94" s="721" t="s">
        <v>327</v>
      </c>
      <c r="C94" s="721"/>
      <c r="D94" s="721"/>
      <c r="E94" s="721"/>
      <c r="F94" s="721"/>
      <c r="G94" s="721"/>
      <c r="H94" s="721"/>
      <c r="I94" s="721"/>
      <c r="J94" s="93"/>
    </row>
    <row r="95" spans="1:10" s="94" customFormat="1" ht="15" customHeight="1">
      <c r="A95" s="59"/>
      <c r="B95" s="721" t="s">
        <v>326</v>
      </c>
      <c r="C95" s="721"/>
      <c r="D95" s="721"/>
      <c r="E95" s="721"/>
      <c r="F95" s="721"/>
      <c r="G95" s="721"/>
      <c r="H95" s="721"/>
      <c r="I95" s="721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772" t="s">
        <v>229</v>
      </c>
      <c r="E97" s="772"/>
      <c r="F97" s="772"/>
      <c r="G97" s="772"/>
    </row>
    <row r="98" spans="1:10" s="94" customFormat="1" ht="14.25" customHeight="1">
      <c r="A98" s="59"/>
      <c r="C98" s="59"/>
      <c r="D98" s="724" t="s">
        <v>230</v>
      </c>
      <c r="E98" s="724"/>
      <c r="F98" s="724"/>
      <c r="G98" s="724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723" t="s">
        <v>231</v>
      </c>
      <c r="C100" s="723"/>
      <c r="D100" s="723"/>
      <c r="E100" s="723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721" t="s">
        <v>232</v>
      </c>
      <c r="C101" s="721"/>
      <c r="D101" s="721"/>
      <c r="E101" s="721"/>
      <c r="F101" s="50"/>
      <c r="G101" s="50"/>
      <c r="H101" s="50"/>
      <c r="I101" s="50"/>
      <c r="J101" s="59"/>
    </row>
    <row r="102" spans="1:10" s="94" customFormat="1" ht="15" customHeight="1">
      <c r="A102" s="59"/>
      <c r="B102" s="721" t="s">
        <v>233</v>
      </c>
      <c r="C102" s="721"/>
      <c r="D102" s="721"/>
      <c r="E102" s="721"/>
      <c r="F102" s="721"/>
      <c r="G102" s="50"/>
      <c r="H102" s="50"/>
      <c r="I102" s="50"/>
      <c r="J102" s="59"/>
    </row>
    <row r="103" spans="1:10" s="94" customFormat="1" ht="15" customHeight="1">
      <c r="A103" s="59"/>
      <c r="B103" s="721" t="s">
        <v>328</v>
      </c>
      <c r="C103" s="721"/>
      <c r="D103" s="721"/>
      <c r="E103" s="721"/>
      <c r="F103" s="721"/>
      <c r="G103" s="721"/>
      <c r="H103" s="721"/>
      <c r="I103" s="721"/>
      <c r="J103" s="59"/>
    </row>
    <row r="104" spans="1:10" s="94" customFormat="1" ht="15" customHeight="1">
      <c r="A104" s="59"/>
      <c r="B104" s="721" t="s">
        <v>329</v>
      </c>
      <c r="C104" s="721"/>
      <c r="D104" s="721"/>
      <c r="E104" s="721"/>
      <c r="F104" s="721"/>
      <c r="G104" s="721"/>
      <c r="H104" s="721"/>
      <c r="I104" s="721"/>
      <c r="J104" s="59"/>
    </row>
    <row r="105" spans="1:10" s="94" customFormat="1" ht="15" customHeight="1">
      <c r="A105" s="59"/>
      <c r="B105" s="721" t="s">
        <v>330</v>
      </c>
      <c r="C105" s="721"/>
      <c r="D105" s="721"/>
      <c r="E105" s="721"/>
      <c r="F105" s="721"/>
      <c r="G105" s="721"/>
      <c r="H105" s="721"/>
      <c r="I105" s="721"/>
      <c r="J105" s="59"/>
    </row>
    <row r="106" spans="1:10" s="94" customFormat="1" ht="15" customHeight="1">
      <c r="A106" s="59"/>
      <c r="B106" s="721" t="s">
        <v>331</v>
      </c>
      <c r="C106" s="721"/>
      <c r="D106" s="721"/>
      <c r="E106" s="721"/>
      <c r="F106" s="721"/>
      <c r="G106" s="721"/>
      <c r="H106" s="721"/>
      <c r="I106" s="721"/>
      <c r="J106" s="59"/>
    </row>
    <row r="107" spans="1:10" s="94" customFormat="1" ht="15" customHeight="1">
      <c r="A107" s="59"/>
      <c r="B107" s="721" t="s">
        <v>332</v>
      </c>
      <c r="C107" s="721"/>
      <c r="D107" s="721"/>
      <c r="E107" s="721"/>
      <c r="F107" s="721"/>
      <c r="G107" s="721"/>
      <c r="H107" s="721"/>
      <c r="I107" s="721"/>
      <c r="J107" s="59"/>
    </row>
    <row r="108" spans="1:10" s="94" customFormat="1" ht="15" customHeight="1">
      <c r="A108" s="59"/>
      <c r="B108" s="721" t="s">
        <v>333</v>
      </c>
      <c r="C108" s="721"/>
      <c r="D108" s="721"/>
      <c r="E108" s="721"/>
      <c r="F108" s="721"/>
      <c r="G108" s="721"/>
      <c r="H108" s="721"/>
      <c r="I108" s="721"/>
      <c r="J108" s="93"/>
    </row>
    <row r="109" spans="1:10" s="94" customFormat="1" ht="15" customHeight="1">
      <c r="A109" s="59"/>
      <c r="B109" s="721" t="s">
        <v>334</v>
      </c>
      <c r="C109" s="721"/>
      <c r="D109" s="721"/>
      <c r="E109" s="721"/>
      <c r="F109" s="721"/>
      <c r="G109" s="721"/>
      <c r="H109" s="721"/>
      <c r="I109" s="721"/>
      <c r="J109" s="93"/>
    </row>
    <row r="110" spans="1:10" s="94" customFormat="1" ht="15" customHeight="1">
      <c r="A110" s="59"/>
      <c r="B110" s="721" t="s">
        <v>335</v>
      </c>
      <c r="C110" s="721"/>
      <c r="D110" s="721"/>
      <c r="E110" s="721"/>
      <c r="F110" s="721"/>
      <c r="G110" s="721"/>
      <c r="H110" s="721"/>
      <c r="I110" s="721"/>
      <c r="J110" s="93"/>
    </row>
    <row r="111" spans="1:10" s="94" customFormat="1" ht="15" customHeight="1">
      <c r="A111" s="59"/>
      <c r="B111" s="721" t="s">
        <v>336</v>
      </c>
      <c r="C111" s="721"/>
      <c r="D111" s="721"/>
      <c r="E111" s="721"/>
      <c r="F111" s="721"/>
      <c r="G111" s="721"/>
      <c r="H111" s="721"/>
      <c r="I111" s="721"/>
      <c r="J111" s="93"/>
    </row>
    <row r="112" spans="1:10" s="94" customFormat="1" ht="15" customHeight="1">
      <c r="A112" s="59"/>
      <c r="B112" s="721" t="s">
        <v>337</v>
      </c>
      <c r="C112" s="721"/>
      <c r="D112" s="721"/>
      <c r="E112" s="721"/>
      <c r="F112" s="721"/>
      <c r="G112" s="721"/>
      <c r="H112" s="721"/>
      <c r="I112" s="721"/>
      <c r="J112" s="93"/>
    </row>
    <row r="113" spans="1:10" s="94" customFormat="1" ht="15" customHeight="1">
      <c r="A113" s="59"/>
      <c r="B113" s="721" t="s">
        <v>338</v>
      </c>
      <c r="C113" s="721"/>
      <c r="D113" s="721"/>
      <c r="E113" s="721"/>
      <c r="F113" s="721"/>
      <c r="G113" s="721"/>
      <c r="H113" s="721"/>
      <c r="I113" s="721"/>
      <c r="J113" s="93"/>
    </row>
    <row r="114" spans="1:10" s="94" customFormat="1" ht="15" customHeight="1">
      <c r="A114" s="59"/>
      <c r="B114" s="721" t="s">
        <v>234</v>
      </c>
      <c r="C114" s="721"/>
      <c r="D114" s="721"/>
      <c r="E114" s="721"/>
      <c r="F114" s="721"/>
      <c r="G114" s="721"/>
      <c r="H114" s="721"/>
      <c r="I114" s="721"/>
      <c r="J114" s="93"/>
    </row>
    <row r="115" spans="1:10" s="94" customFormat="1" ht="15" customHeight="1">
      <c r="A115" s="59"/>
      <c r="B115" s="722" t="s">
        <v>235</v>
      </c>
      <c r="C115" s="722"/>
      <c r="D115" s="722"/>
      <c r="E115" s="722"/>
      <c r="F115" s="722"/>
      <c r="G115" s="722"/>
      <c r="H115" s="722"/>
      <c r="I115" s="722"/>
    </row>
    <row r="116" spans="1:10" s="94" customFormat="1" ht="15" customHeight="1">
      <c r="A116" s="59"/>
      <c r="B116" s="722" t="s">
        <v>339</v>
      </c>
      <c r="C116" s="722"/>
      <c r="D116" s="722"/>
      <c r="E116" s="722"/>
      <c r="F116" s="722"/>
      <c r="G116" s="722"/>
      <c r="H116" s="722"/>
      <c r="I116" s="722"/>
    </row>
    <row r="117" spans="1:10" s="94" customFormat="1" ht="15" customHeight="1">
      <c r="A117" s="59"/>
      <c r="B117" s="721" t="s">
        <v>340</v>
      </c>
      <c r="C117" s="721"/>
      <c r="D117" s="721"/>
      <c r="E117" s="721"/>
      <c r="F117" s="721"/>
      <c r="G117" s="721"/>
      <c r="H117" s="721"/>
      <c r="I117" s="721"/>
      <c r="J117" s="93"/>
    </row>
    <row r="118" spans="1:10" s="94" customFormat="1" ht="15" customHeight="1">
      <c r="A118" s="59"/>
      <c r="B118" s="722" t="s">
        <v>341</v>
      </c>
      <c r="C118" s="722"/>
      <c r="D118" s="722"/>
      <c r="E118" s="722"/>
      <c r="F118" s="722"/>
      <c r="G118" s="722"/>
      <c r="H118" s="722"/>
      <c r="I118" s="722"/>
    </row>
    <row r="119" spans="1:10" s="94" customFormat="1" ht="15" customHeight="1">
      <c r="A119" s="59"/>
      <c r="B119" s="722" t="s">
        <v>342</v>
      </c>
      <c r="C119" s="722"/>
      <c r="D119" s="722"/>
      <c r="E119" s="722"/>
      <c r="F119" s="722"/>
      <c r="G119" s="722"/>
      <c r="H119" s="722"/>
      <c r="I119" s="722"/>
      <c r="J119" s="59"/>
    </row>
    <row r="120" spans="1:10" s="94" customFormat="1" ht="15" customHeight="1">
      <c r="A120" s="59"/>
      <c r="B120" s="722" t="s">
        <v>343</v>
      </c>
      <c r="C120" s="722"/>
      <c r="D120" s="722"/>
      <c r="E120" s="722"/>
      <c r="F120" s="722"/>
      <c r="G120" s="722"/>
      <c r="H120" s="722"/>
      <c r="I120" s="722"/>
      <c r="J120" s="59"/>
    </row>
    <row r="121" spans="1:10" s="94" customFormat="1" ht="15" customHeight="1">
      <c r="A121" s="59"/>
      <c r="B121" s="721" t="s">
        <v>344</v>
      </c>
      <c r="C121" s="721"/>
      <c r="D121" s="721"/>
      <c r="E121" s="721"/>
      <c r="F121" s="721"/>
      <c r="G121" s="721"/>
      <c r="H121" s="721"/>
      <c r="I121" s="721"/>
      <c r="J121" s="59"/>
    </row>
    <row r="122" spans="1:10" s="94" customFormat="1" ht="15" customHeight="1">
      <c r="A122" s="59"/>
      <c r="B122" s="722" t="s">
        <v>345</v>
      </c>
      <c r="C122" s="722"/>
      <c r="D122" s="722"/>
      <c r="E122" s="722"/>
      <c r="F122" s="722"/>
      <c r="G122" s="722"/>
      <c r="H122" s="722"/>
      <c r="I122" s="722"/>
      <c r="J122" s="59"/>
    </row>
    <row r="123" spans="1:10" s="94" customFormat="1" ht="15" customHeight="1">
      <c r="A123" s="59"/>
      <c r="B123" s="722" t="s">
        <v>346</v>
      </c>
      <c r="C123" s="722"/>
      <c r="D123" s="722"/>
      <c r="E123" s="722"/>
      <c r="F123" s="722"/>
      <c r="G123" s="722"/>
      <c r="H123" s="722"/>
      <c r="I123" s="722"/>
      <c r="J123" s="59"/>
    </row>
    <row r="124" spans="1:10" s="94" customFormat="1" ht="15" customHeight="1">
      <c r="A124" s="59"/>
      <c r="B124" s="722" t="s">
        <v>347</v>
      </c>
      <c r="C124" s="722"/>
      <c r="D124" s="722"/>
      <c r="E124" s="722"/>
      <c r="F124" s="722"/>
      <c r="G124" s="722"/>
      <c r="H124" s="722"/>
      <c r="I124" s="722"/>
      <c r="J124" s="59"/>
    </row>
    <row r="125" spans="1:10" s="94" customFormat="1" ht="15" customHeight="1">
      <c r="A125" s="59"/>
      <c r="B125" s="722" t="s">
        <v>348</v>
      </c>
      <c r="C125" s="722"/>
      <c r="D125" s="722"/>
      <c r="E125" s="722"/>
      <c r="F125" s="722"/>
      <c r="G125" s="722"/>
      <c r="H125" s="722"/>
      <c r="I125" s="722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723" t="s">
        <v>236</v>
      </c>
      <c r="C127" s="723"/>
      <c r="D127" s="723"/>
      <c r="E127" s="723"/>
      <c r="F127" s="723"/>
      <c r="G127" s="723"/>
      <c r="H127" s="723"/>
      <c r="I127" s="723"/>
      <c r="J127" s="59"/>
    </row>
    <row r="128" spans="1:10" s="94" customFormat="1" ht="15" customHeight="1">
      <c r="A128" s="59"/>
      <c r="B128" s="721" t="s">
        <v>237</v>
      </c>
      <c r="C128" s="721"/>
      <c r="D128" s="721"/>
      <c r="E128" s="721"/>
      <c r="F128" s="721"/>
      <c r="G128" s="721"/>
      <c r="H128" s="721"/>
      <c r="I128" s="721"/>
      <c r="J128" s="59"/>
    </row>
    <row r="129" spans="1:10" s="94" customFormat="1" ht="15" customHeight="1">
      <c r="A129" s="59"/>
      <c r="B129" s="721" t="s">
        <v>238</v>
      </c>
      <c r="C129" s="721"/>
      <c r="D129" s="721"/>
      <c r="E129" s="721"/>
      <c r="F129" s="721"/>
      <c r="G129" s="721"/>
      <c r="H129" s="721"/>
      <c r="I129" s="721"/>
      <c r="J129" s="59"/>
    </row>
    <row r="130" spans="1:10" s="94" customFormat="1" ht="15" customHeight="1">
      <c r="A130" s="59"/>
      <c r="B130" s="721" t="s">
        <v>349</v>
      </c>
      <c r="C130" s="721"/>
      <c r="D130" s="721"/>
      <c r="E130" s="721"/>
      <c r="F130" s="721"/>
      <c r="G130" s="721"/>
      <c r="H130" s="721"/>
      <c r="I130" s="721"/>
      <c r="J130" s="59"/>
    </row>
    <row r="131" spans="1:10" s="94" customFormat="1" ht="15" customHeight="1">
      <c r="A131" s="59"/>
      <c r="B131" s="721" t="s">
        <v>350</v>
      </c>
      <c r="C131" s="721"/>
      <c r="D131" s="721"/>
      <c r="E131" s="721"/>
      <c r="F131" s="721"/>
      <c r="G131" s="721"/>
      <c r="H131" s="721"/>
      <c r="I131" s="721"/>
      <c r="J131" s="59"/>
    </row>
    <row r="132" spans="1:10" s="94" customFormat="1" ht="15" customHeight="1">
      <c r="A132" s="59"/>
      <c r="B132" s="721" t="s">
        <v>351</v>
      </c>
      <c r="C132" s="721"/>
      <c r="D132" s="721"/>
      <c r="E132" s="721"/>
      <c r="F132" s="721"/>
      <c r="G132" s="721"/>
      <c r="H132" s="721"/>
      <c r="I132" s="721"/>
      <c r="J132" s="59"/>
    </row>
    <row r="133" spans="1:10" s="94" customFormat="1" ht="15" customHeight="1">
      <c r="A133" s="59"/>
      <c r="B133" s="722" t="s">
        <v>352</v>
      </c>
      <c r="C133" s="722"/>
      <c r="D133" s="722"/>
      <c r="E133" s="722"/>
      <c r="F133" s="722"/>
      <c r="G133" s="722"/>
      <c r="H133" s="722"/>
      <c r="I133" s="722"/>
      <c r="J133" s="59"/>
    </row>
    <row r="134" spans="1:10" s="94" customFormat="1" ht="15" customHeight="1">
      <c r="A134" s="59"/>
      <c r="B134" s="722" t="s">
        <v>353</v>
      </c>
      <c r="C134" s="722"/>
      <c r="D134" s="722"/>
      <c r="E134" s="722"/>
      <c r="F134" s="722"/>
      <c r="G134" s="722"/>
      <c r="H134" s="722"/>
      <c r="I134" s="722"/>
      <c r="J134" s="59"/>
    </row>
    <row r="135" spans="1:10" s="94" customFormat="1" ht="15" customHeight="1">
      <c r="A135" s="59"/>
      <c r="B135" s="721" t="s">
        <v>239</v>
      </c>
      <c r="C135" s="721"/>
      <c r="D135" s="721"/>
      <c r="E135" s="721"/>
      <c r="F135" s="721"/>
      <c r="G135" s="721"/>
      <c r="H135" s="721"/>
      <c r="I135" s="721"/>
      <c r="J135" s="59"/>
    </row>
    <row r="136" spans="1:10" s="94" customFormat="1" ht="15" customHeight="1">
      <c r="A136" s="59"/>
      <c r="B136" s="721" t="s">
        <v>354</v>
      </c>
      <c r="C136" s="721"/>
      <c r="D136" s="721"/>
      <c r="E136" s="721"/>
      <c r="F136" s="721"/>
      <c r="G136" s="721"/>
      <c r="H136" s="721"/>
      <c r="I136" s="721"/>
      <c r="J136" s="59"/>
    </row>
    <row r="137" spans="1:10" s="94" customFormat="1" ht="15" customHeight="1">
      <c r="A137" s="59"/>
      <c r="B137" s="721" t="s">
        <v>355</v>
      </c>
      <c r="C137" s="721"/>
      <c r="D137" s="721"/>
      <c r="E137" s="721"/>
      <c r="F137" s="721"/>
      <c r="G137" s="721"/>
      <c r="H137" s="721"/>
      <c r="I137" s="721"/>
      <c r="J137" s="59"/>
    </row>
    <row r="138" spans="1:10" s="94" customFormat="1" ht="15" customHeight="1">
      <c r="A138" s="59"/>
      <c r="B138" s="721" t="s">
        <v>356</v>
      </c>
      <c r="C138" s="721"/>
      <c r="D138" s="721"/>
      <c r="E138" s="721"/>
      <c r="F138" s="721"/>
      <c r="G138" s="721"/>
      <c r="H138" s="721"/>
      <c r="I138" s="721"/>
      <c r="J138" s="59"/>
    </row>
    <row r="139" spans="1:10" s="94" customFormat="1" ht="15" customHeight="1">
      <c r="A139" s="59"/>
      <c r="B139" s="721" t="s">
        <v>240</v>
      </c>
      <c r="C139" s="721"/>
      <c r="D139" s="721"/>
      <c r="E139" s="721"/>
      <c r="F139" s="721"/>
      <c r="G139" s="721"/>
      <c r="H139" s="721"/>
      <c r="I139" s="721"/>
      <c r="J139" s="59"/>
    </row>
    <row r="140" spans="1:10" s="94" customFormat="1" ht="15" customHeight="1">
      <c r="A140" s="59"/>
      <c r="B140" s="721" t="s">
        <v>241</v>
      </c>
      <c r="C140" s="721"/>
      <c r="D140" s="721"/>
      <c r="E140" s="721"/>
      <c r="F140" s="721"/>
      <c r="G140" s="721"/>
      <c r="H140" s="721"/>
      <c r="I140" s="721"/>
      <c r="J140" s="59"/>
    </row>
    <row r="141" spans="1:10" s="94" customFormat="1" ht="15" customHeight="1">
      <c r="A141" s="59"/>
      <c r="B141" s="721" t="s">
        <v>357</v>
      </c>
      <c r="C141" s="721"/>
      <c r="D141" s="721"/>
      <c r="E141" s="721"/>
      <c r="F141" s="721"/>
      <c r="G141" s="721"/>
      <c r="H141" s="721"/>
      <c r="I141" s="721"/>
      <c r="J141" s="59"/>
    </row>
    <row r="142" spans="1:10" s="94" customFormat="1" ht="15" customHeight="1">
      <c r="A142" s="59"/>
      <c r="B142" s="721" t="s">
        <v>358</v>
      </c>
      <c r="C142" s="721"/>
      <c r="D142" s="721"/>
      <c r="E142" s="721"/>
      <c r="F142" s="721"/>
      <c r="G142" s="721"/>
      <c r="H142" s="721"/>
      <c r="I142" s="721"/>
      <c r="J142" s="59"/>
    </row>
    <row r="143" spans="1:10" s="94" customFormat="1" ht="15" customHeight="1">
      <c r="A143" s="59"/>
      <c r="B143" s="721" t="s">
        <v>242</v>
      </c>
      <c r="C143" s="721"/>
      <c r="D143" s="721"/>
      <c r="E143" s="721"/>
      <c r="F143" s="721"/>
      <c r="G143" s="721"/>
      <c r="H143" s="721"/>
      <c r="I143" s="721"/>
      <c r="J143" s="59"/>
    </row>
    <row r="144" spans="1:10" s="94" customFormat="1" ht="15" customHeight="1">
      <c r="A144" s="59"/>
      <c r="B144" s="721" t="s">
        <v>359</v>
      </c>
      <c r="C144" s="721"/>
      <c r="D144" s="721"/>
      <c r="E144" s="721"/>
      <c r="F144" s="721"/>
      <c r="G144" s="721"/>
      <c r="H144" s="721"/>
      <c r="I144" s="721"/>
      <c r="J144" s="59"/>
    </row>
    <row r="145" spans="1:10" s="94" customFormat="1" ht="15" customHeight="1">
      <c r="A145" s="59"/>
      <c r="B145" s="721" t="s">
        <v>360</v>
      </c>
      <c r="C145" s="721"/>
      <c r="D145" s="721"/>
      <c r="E145" s="721"/>
      <c r="F145" s="721"/>
      <c r="G145" s="721"/>
      <c r="H145" s="721"/>
      <c r="I145" s="721"/>
      <c r="J145" s="59"/>
    </row>
    <row r="146" spans="1:10" s="94" customFormat="1" ht="15" customHeight="1">
      <c r="A146" s="59"/>
      <c r="B146" s="721" t="s">
        <v>361</v>
      </c>
      <c r="C146" s="721"/>
      <c r="D146" s="721"/>
      <c r="E146" s="721"/>
      <c r="F146" s="721"/>
      <c r="G146" s="721"/>
      <c r="H146" s="721"/>
      <c r="I146" s="721"/>
      <c r="J146" s="59"/>
    </row>
    <row r="147" spans="1:10" s="94" customFormat="1" ht="15" customHeight="1">
      <c r="A147" s="59"/>
      <c r="B147" s="721" t="s">
        <v>362</v>
      </c>
      <c r="C147" s="721"/>
      <c r="D147" s="721"/>
      <c r="E147" s="721"/>
      <c r="F147" s="721"/>
      <c r="G147" s="721"/>
      <c r="H147" s="721"/>
      <c r="I147" s="721"/>
      <c r="J147" s="59"/>
    </row>
    <row r="148" spans="1:10" s="94" customFormat="1" ht="15" customHeight="1">
      <c r="A148" s="59"/>
      <c r="B148" s="721" t="s">
        <v>363</v>
      </c>
      <c r="C148" s="721"/>
      <c r="D148" s="721"/>
      <c r="E148" s="721"/>
      <c r="F148" s="721"/>
      <c r="G148" s="721"/>
      <c r="H148" s="721"/>
      <c r="I148" s="721"/>
      <c r="J148" s="59"/>
    </row>
    <row r="149" spans="1:10" s="94" customFormat="1" ht="15" customHeight="1">
      <c r="A149" s="59"/>
      <c r="B149" s="721" t="s">
        <v>243</v>
      </c>
      <c r="C149" s="721"/>
      <c r="D149" s="721"/>
      <c r="E149" s="721"/>
      <c r="F149" s="721"/>
      <c r="G149" s="721"/>
      <c r="H149" s="721"/>
      <c r="I149" s="721"/>
      <c r="J149" s="59"/>
    </row>
    <row r="150" spans="1:10" s="94" customFormat="1" ht="15" customHeight="1">
      <c r="A150" s="59"/>
      <c r="B150" s="721" t="s">
        <v>244</v>
      </c>
      <c r="C150" s="721"/>
      <c r="D150" s="721"/>
      <c r="E150" s="721"/>
      <c r="F150" s="721"/>
      <c r="G150" s="721"/>
      <c r="H150" s="721"/>
      <c r="I150" s="721"/>
      <c r="J150" s="59"/>
    </row>
    <row r="151" spans="1:10" s="94" customFormat="1" ht="15" customHeight="1">
      <c r="A151" s="59"/>
      <c r="B151" s="721" t="s">
        <v>245</v>
      </c>
      <c r="C151" s="721"/>
      <c r="D151" s="721"/>
      <c r="E151" s="721"/>
      <c r="F151" s="721"/>
      <c r="G151" s="721"/>
      <c r="H151" s="721"/>
      <c r="I151" s="721"/>
      <c r="J151" s="59"/>
    </row>
    <row r="152" spans="1:10" s="94" customFormat="1" ht="15" customHeight="1">
      <c r="A152" s="59"/>
      <c r="B152" s="722" t="s">
        <v>246</v>
      </c>
      <c r="C152" s="722"/>
      <c r="D152" s="722"/>
      <c r="E152" s="722"/>
      <c r="F152" s="722"/>
      <c r="G152" s="722"/>
      <c r="H152" s="722"/>
      <c r="I152" s="722"/>
      <c r="J152" s="59"/>
    </row>
    <row r="153" spans="1:10" s="94" customFormat="1" ht="15" customHeight="1">
      <c r="A153" s="59"/>
      <c r="B153" s="722" t="s">
        <v>247</v>
      </c>
      <c r="C153" s="722"/>
      <c r="D153" s="722"/>
      <c r="E153" s="722"/>
      <c r="F153" s="722"/>
      <c r="G153" s="722"/>
      <c r="H153" s="722"/>
      <c r="I153" s="722"/>
      <c r="J153" s="59"/>
    </row>
    <row r="154" spans="1:10" s="94" customFormat="1" ht="15" customHeight="1">
      <c r="A154" s="59"/>
      <c r="B154" s="722" t="s">
        <v>248</v>
      </c>
      <c r="C154" s="722"/>
      <c r="D154" s="722"/>
      <c r="E154" s="722"/>
      <c r="F154" s="722"/>
      <c r="G154" s="722"/>
      <c r="H154" s="722"/>
      <c r="I154" s="722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723" t="s">
        <v>249</v>
      </c>
      <c r="C156" s="723"/>
      <c r="D156" s="723"/>
      <c r="E156" s="723"/>
      <c r="F156" s="723"/>
      <c r="G156" s="723"/>
      <c r="H156" s="723"/>
      <c r="I156" s="723"/>
      <c r="J156" s="192"/>
    </row>
    <row r="157" spans="1:10" s="94" customFormat="1" ht="15" customHeight="1">
      <c r="A157" s="59"/>
      <c r="B157" s="721" t="s">
        <v>250</v>
      </c>
      <c r="C157" s="721"/>
      <c r="D157" s="721"/>
      <c r="E157" s="721"/>
      <c r="F157" s="721"/>
      <c r="G157" s="721"/>
      <c r="H157" s="721"/>
      <c r="I157" s="721"/>
      <c r="J157" s="59"/>
    </row>
    <row r="158" spans="1:10" s="94" customFormat="1" ht="15" customHeight="1">
      <c r="A158" s="59"/>
      <c r="B158" s="721" t="s">
        <v>364</v>
      </c>
      <c r="C158" s="721"/>
      <c r="D158" s="721"/>
      <c r="E158" s="721"/>
      <c r="F158" s="721"/>
      <c r="G158" s="721"/>
      <c r="H158" s="721"/>
      <c r="I158" s="721"/>
      <c r="J158" s="59"/>
    </row>
    <row r="159" spans="1:10" s="94" customFormat="1" ht="15" customHeight="1">
      <c r="A159" s="59"/>
      <c r="B159" s="721" t="s">
        <v>365</v>
      </c>
      <c r="C159" s="721"/>
      <c r="D159" s="721"/>
      <c r="E159" s="721"/>
      <c r="F159" s="721"/>
      <c r="G159" s="721"/>
      <c r="H159" s="721"/>
      <c r="I159" s="721"/>
      <c r="J159" s="59"/>
    </row>
    <row r="160" spans="1:10" s="94" customFormat="1" ht="15" customHeight="1">
      <c r="A160" s="59"/>
      <c r="B160" s="721" t="s">
        <v>251</v>
      </c>
      <c r="C160" s="721"/>
      <c r="D160" s="721"/>
      <c r="E160" s="721"/>
      <c r="F160" s="721"/>
      <c r="G160" s="721"/>
      <c r="H160" s="721"/>
      <c r="I160" s="721"/>
      <c r="J160" s="59"/>
    </row>
    <row r="161" spans="1:10" s="94" customFormat="1" ht="15" customHeight="1">
      <c r="A161" s="59"/>
      <c r="B161" s="721" t="s">
        <v>366</v>
      </c>
      <c r="C161" s="721"/>
      <c r="D161" s="721"/>
      <c r="E161" s="721"/>
      <c r="F161" s="721"/>
      <c r="G161" s="721"/>
      <c r="H161" s="721"/>
      <c r="I161" s="721"/>
      <c r="J161" s="59"/>
    </row>
    <row r="162" spans="1:10" s="94" customFormat="1" ht="24" customHeight="1">
      <c r="A162" s="59"/>
      <c r="B162" s="59"/>
      <c r="C162" s="58"/>
      <c r="D162" s="750" t="s">
        <v>252</v>
      </c>
      <c r="E162" s="750"/>
      <c r="F162" s="750"/>
      <c r="G162" s="750"/>
      <c r="H162" s="58"/>
      <c r="I162" s="58"/>
      <c r="J162" s="58"/>
    </row>
    <row r="163" spans="1:10" s="94" customFormat="1" ht="15" customHeight="1">
      <c r="A163" s="59"/>
      <c r="B163" s="59"/>
      <c r="C163" s="58"/>
      <c r="D163" s="744" t="s">
        <v>253</v>
      </c>
      <c r="E163" s="744"/>
      <c r="F163" s="744"/>
      <c r="G163" s="744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723" t="s">
        <v>254</v>
      </c>
      <c r="C165" s="723"/>
      <c r="D165" s="723"/>
      <c r="E165" s="723"/>
      <c r="F165" s="723"/>
      <c r="G165" s="723"/>
      <c r="H165" s="723"/>
      <c r="I165" s="723"/>
      <c r="J165" s="59"/>
    </row>
    <row r="166" spans="1:10" s="94" customFormat="1" ht="15" customHeight="1">
      <c r="A166" s="59"/>
      <c r="B166" s="721" t="s">
        <v>255</v>
      </c>
      <c r="C166" s="721"/>
      <c r="D166" s="721"/>
      <c r="E166" s="721"/>
      <c r="F166" s="721"/>
      <c r="G166" s="721"/>
      <c r="H166" s="721"/>
      <c r="I166" s="721"/>
      <c r="J166" s="59"/>
    </row>
    <row r="167" spans="1:10" s="94" customFormat="1" ht="15" customHeight="1">
      <c r="A167" s="59"/>
      <c r="B167" s="721" t="s">
        <v>367</v>
      </c>
      <c r="C167" s="721"/>
      <c r="D167" s="721"/>
      <c r="E167" s="721"/>
      <c r="F167" s="721"/>
      <c r="G167" s="721"/>
      <c r="H167" s="721"/>
      <c r="I167" s="721"/>
      <c r="J167" s="59"/>
    </row>
    <row r="168" spans="1:10" s="94" customFormat="1" ht="15" customHeight="1">
      <c r="A168" s="59"/>
      <c r="B168" s="721" t="s">
        <v>368</v>
      </c>
      <c r="C168" s="721"/>
      <c r="D168" s="721"/>
      <c r="E168" s="721"/>
      <c r="F168" s="721"/>
      <c r="G168" s="721"/>
      <c r="H168" s="721"/>
      <c r="I168" s="721"/>
      <c r="J168" s="59"/>
    </row>
    <row r="169" spans="1:10" s="94" customFormat="1" ht="15" customHeight="1">
      <c r="A169" s="59"/>
      <c r="B169" s="723" t="s">
        <v>256</v>
      </c>
      <c r="C169" s="723"/>
      <c r="D169" s="723"/>
      <c r="E169" s="723"/>
      <c r="F169" s="723"/>
      <c r="G169" s="723"/>
      <c r="H169" s="723"/>
      <c r="I169" s="723"/>
      <c r="J169" s="59"/>
    </row>
    <row r="170" spans="1:10" s="94" customFormat="1" ht="15" customHeight="1">
      <c r="A170" s="59"/>
      <c r="B170" s="721" t="s">
        <v>257</v>
      </c>
      <c r="C170" s="721"/>
      <c r="D170" s="721"/>
      <c r="E170" s="721"/>
      <c r="F170" s="721"/>
      <c r="G170" s="721"/>
      <c r="H170" s="721"/>
      <c r="I170" s="721"/>
      <c r="J170" s="59"/>
    </row>
    <row r="171" spans="1:10" s="94" customFormat="1" ht="15" customHeight="1">
      <c r="A171" s="59"/>
      <c r="B171" s="721" t="s">
        <v>258</v>
      </c>
      <c r="C171" s="721"/>
      <c r="D171" s="721"/>
      <c r="E171" s="721"/>
      <c r="F171" s="721"/>
      <c r="G171" s="721"/>
      <c r="H171" s="721"/>
      <c r="I171" s="721"/>
      <c r="J171" s="59"/>
    </row>
    <row r="172" spans="1:10" s="94" customFormat="1" ht="15" customHeight="1">
      <c r="A172" s="59"/>
      <c r="B172" s="722" t="s">
        <v>259</v>
      </c>
      <c r="C172" s="722"/>
      <c r="D172" s="722"/>
      <c r="E172" s="722"/>
      <c r="F172" s="722"/>
      <c r="G172" s="722"/>
      <c r="H172" s="722"/>
      <c r="I172" s="722"/>
      <c r="J172" s="59"/>
    </row>
    <row r="173" spans="1:10" s="94" customFormat="1" ht="15" customHeight="1">
      <c r="A173" s="59"/>
      <c r="B173" s="722" t="s">
        <v>260</v>
      </c>
      <c r="C173" s="722"/>
      <c r="D173" s="722"/>
      <c r="E173" s="722"/>
      <c r="F173" s="722"/>
      <c r="G173" s="722"/>
      <c r="H173" s="722"/>
      <c r="I173" s="722"/>
      <c r="J173" s="59"/>
    </row>
    <row r="174" spans="1:10" s="94" customFormat="1" ht="15" customHeight="1">
      <c r="A174" s="59"/>
      <c r="B174" s="721" t="s">
        <v>261</v>
      </c>
      <c r="C174" s="721"/>
      <c r="D174" s="721"/>
      <c r="E174" s="721"/>
      <c r="F174" s="721"/>
      <c r="G174" s="721"/>
      <c r="H174" s="721"/>
      <c r="I174" s="721"/>
      <c r="J174" s="59"/>
    </row>
    <row r="175" spans="1:10" s="94" customFormat="1" ht="15" customHeight="1">
      <c r="A175" s="59"/>
      <c r="B175" s="721" t="s">
        <v>262</v>
      </c>
      <c r="C175" s="721"/>
      <c r="D175" s="721"/>
      <c r="E175" s="721"/>
      <c r="F175" s="721"/>
      <c r="G175" s="721"/>
      <c r="H175" s="721"/>
      <c r="I175" s="721"/>
      <c r="J175" s="59"/>
    </row>
    <row r="176" spans="1:10" s="94" customFormat="1" ht="15" customHeight="1">
      <c r="A176" s="59"/>
      <c r="B176" s="722" t="s">
        <v>369</v>
      </c>
      <c r="C176" s="722"/>
      <c r="D176" s="722"/>
      <c r="E176" s="722"/>
      <c r="F176" s="722"/>
      <c r="G176" s="722"/>
      <c r="H176" s="722"/>
      <c r="I176" s="722"/>
      <c r="J176" s="59"/>
    </row>
    <row r="177" spans="1:10" s="94" customFormat="1" ht="15" customHeight="1">
      <c r="A177" s="59"/>
      <c r="B177" s="722" t="s">
        <v>370</v>
      </c>
      <c r="C177" s="722"/>
      <c r="D177" s="722"/>
      <c r="E177" s="722"/>
      <c r="F177" s="722"/>
      <c r="G177" s="722"/>
      <c r="H177" s="722"/>
      <c r="I177" s="722"/>
      <c r="J177" s="192"/>
    </row>
    <row r="178" spans="1:10" s="104" customFormat="1" ht="15" customHeight="1">
      <c r="B178" s="722" t="s">
        <v>371</v>
      </c>
      <c r="C178" s="722"/>
      <c r="D178" s="722"/>
      <c r="E178" s="722"/>
      <c r="F178" s="722"/>
      <c r="G178" s="722"/>
      <c r="H178" s="722"/>
      <c r="I178" s="722"/>
      <c r="J178" s="192"/>
    </row>
    <row r="179" spans="1:10" s="59" customFormat="1" ht="15" customHeight="1">
      <c r="B179" s="722" t="s">
        <v>372</v>
      </c>
      <c r="C179" s="722"/>
      <c r="D179" s="722"/>
      <c r="E179" s="722"/>
      <c r="F179" s="722"/>
      <c r="G179" s="722"/>
      <c r="H179" s="722"/>
      <c r="I179" s="722"/>
      <c r="J179" s="94"/>
    </row>
    <row r="180" spans="1:10" s="59" customFormat="1" ht="15" customHeight="1">
      <c r="B180" s="721" t="s">
        <v>263</v>
      </c>
      <c r="C180" s="721"/>
      <c r="D180" s="721"/>
      <c r="E180" s="721"/>
      <c r="F180" s="721"/>
      <c r="G180" s="721"/>
      <c r="H180" s="721"/>
      <c r="I180" s="721"/>
      <c r="J180" s="94"/>
    </row>
    <row r="181" spans="1:10" s="59" customFormat="1" ht="15" customHeight="1">
      <c r="B181" s="721" t="s">
        <v>375</v>
      </c>
      <c r="C181" s="721"/>
      <c r="D181" s="721"/>
      <c r="E181" s="721"/>
      <c r="F181" s="721"/>
      <c r="G181" s="721"/>
      <c r="H181" s="721"/>
      <c r="I181" s="721"/>
      <c r="J181" s="94"/>
    </row>
    <row r="182" spans="1:10" s="59" customFormat="1" ht="15" customHeight="1">
      <c r="B182" s="722" t="s">
        <v>376</v>
      </c>
      <c r="C182" s="722"/>
      <c r="D182" s="722"/>
      <c r="E182" s="722"/>
      <c r="F182" s="722"/>
      <c r="G182" s="722"/>
      <c r="H182" s="722"/>
      <c r="I182" s="722"/>
      <c r="J182" s="94"/>
    </row>
    <row r="183" spans="1:10" s="59" customFormat="1" ht="15" customHeight="1">
      <c r="B183" s="722" t="s">
        <v>373</v>
      </c>
      <c r="C183" s="722"/>
      <c r="D183" s="722"/>
      <c r="E183" s="722"/>
      <c r="F183" s="722"/>
      <c r="G183" s="722"/>
      <c r="H183" s="722"/>
      <c r="I183" s="722"/>
      <c r="J183" s="94"/>
    </row>
    <row r="184" spans="1:10" s="59" customFormat="1" ht="15" customHeight="1">
      <c r="B184" s="722" t="s">
        <v>374</v>
      </c>
      <c r="C184" s="722"/>
      <c r="D184" s="722"/>
      <c r="E184" s="722"/>
      <c r="F184" s="722"/>
      <c r="G184" s="722"/>
      <c r="H184" s="722"/>
      <c r="I184" s="722"/>
      <c r="J184" s="94"/>
    </row>
    <row r="185" spans="1:10" s="59" customFormat="1" ht="15" customHeight="1">
      <c r="B185" s="721" t="s">
        <v>264</v>
      </c>
      <c r="C185" s="721"/>
      <c r="D185" s="721"/>
      <c r="E185" s="721"/>
      <c r="F185" s="721"/>
      <c r="G185" s="721"/>
      <c r="H185" s="721"/>
      <c r="I185" s="721"/>
      <c r="J185" s="93"/>
    </row>
    <row r="186" spans="1:10" s="59" customFormat="1" ht="15" customHeight="1">
      <c r="B186" s="722" t="s">
        <v>265</v>
      </c>
      <c r="C186" s="722"/>
      <c r="D186" s="722"/>
      <c r="E186" s="722"/>
      <c r="F186" s="722"/>
      <c r="G186" s="722"/>
      <c r="H186" s="722"/>
      <c r="I186" s="722"/>
      <c r="J186" s="94"/>
    </row>
    <row r="187" spans="1:10" s="59" customFormat="1" ht="15" customHeight="1">
      <c r="B187" s="721" t="s">
        <v>377</v>
      </c>
      <c r="C187" s="721"/>
      <c r="D187" s="721"/>
      <c r="E187" s="721"/>
      <c r="F187" s="721"/>
      <c r="G187" s="721"/>
      <c r="H187" s="721"/>
      <c r="I187" s="721"/>
      <c r="J187" s="94"/>
    </row>
    <row r="188" spans="1:10" s="59" customFormat="1" ht="15" customHeight="1">
      <c r="B188" s="722" t="s">
        <v>378</v>
      </c>
      <c r="C188" s="722"/>
      <c r="D188" s="722"/>
      <c r="E188" s="722"/>
      <c r="F188" s="722"/>
      <c r="G188" s="722"/>
      <c r="H188" s="722"/>
      <c r="I188" s="722"/>
      <c r="J188" s="94"/>
    </row>
    <row r="189" spans="1:10" s="94" customFormat="1" ht="15" customHeight="1">
      <c r="A189" s="59"/>
      <c r="B189" s="721" t="s">
        <v>266</v>
      </c>
      <c r="C189" s="721"/>
      <c r="D189" s="721"/>
      <c r="E189" s="721"/>
      <c r="F189" s="721"/>
      <c r="G189" s="721"/>
      <c r="H189" s="721"/>
      <c r="I189" s="721"/>
      <c r="J189" s="59"/>
    </row>
    <row r="190" spans="1:10" s="94" customFormat="1" ht="15" customHeight="1">
      <c r="A190" s="59"/>
      <c r="B190" s="722" t="s">
        <v>267</v>
      </c>
      <c r="C190" s="722"/>
      <c r="D190" s="722"/>
      <c r="E190" s="722"/>
      <c r="F190" s="722"/>
      <c r="G190" s="722"/>
      <c r="H190" s="722"/>
      <c r="I190" s="722"/>
      <c r="J190" s="59"/>
    </row>
    <row r="191" spans="1:10" s="94" customFormat="1" ht="15" customHeight="1">
      <c r="A191" s="59"/>
      <c r="B191" s="721" t="s">
        <v>268</v>
      </c>
      <c r="C191" s="721"/>
      <c r="D191" s="721"/>
      <c r="E191" s="721"/>
      <c r="F191" s="721"/>
      <c r="G191" s="721"/>
      <c r="H191" s="721"/>
      <c r="I191" s="721"/>
      <c r="J191" s="59"/>
    </row>
    <row r="192" spans="1:10" s="94" customFormat="1" ht="15" customHeight="1">
      <c r="A192" s="59"/>
      <c r="B192" s="721" t="s">
        <v>379</v>
      </c>
      <c r="C192" s="721"/>
      <c r="D192" s="721"/>
      <c r="E192" s="721"/>
      <c r="F192" s="721"/>
      <c r="G192" s="721"/>
      <c r="H192" s="721"/>
      <c r="I192" s="721"/>
      <c r="J192" s="59"/>
    </row>
    <row r="193" spans="1:10" s="94" customFormat="1" ht="15" customHeight="1">
      <c r="A193" s="59"/>
      <c r="B193" s="721" t="s">
        <v>380</v>
      </c>
      <c r="C193" s="721"/>
      <c r="D193" s="721"/>
      <c r="E193" s="721"/>
      <c r="F193" s="721"/>
      <c r="G193" s="721"/>
      <c r="H193" s="721"/>
      <c r="I193" s="721"/>
      <c r="J193" s="59"/>
    </row>
    <row r="194" spans="1:10" s="94" customFormat="1" ht="15" customHeight="1">
      <c r="A194" s="59"/>
      <c r="B194" s="721" t="s">
        <v>381</v>
      </c>
      <c r="C194" s="721"/>
      <c r="D194" s="721"/>
      <c r="E194" s="721"/>
      <c r="F194" s="721"/>
      <c r="G194" s="721"/>
      <c r="H194" s="721"/>
      <c r="I194" s="721"/>
      <c r="J194" s="59"/>
    </row>
    <row r="195" spans="1:10" s="94" customFormat="1" ht="15" customHeight="1">
      <c r="A195" s="59"/>
      <c r="B195" s="722" t="s">
        <v>269</v>
      </c>
      <c r="C195" s="722"/>
      <c r="D195" s="722"/>
      <c r="E195" s="722"/>
      <c r="F195" s="722"/>
      <c r="G195" s="722"/>
      <c r="H195" s="722"/>
      <c r="I195" s="722"/>
      <c r="J195" s="59"/>
    </row>
    <row r="196" spans="1:10" s="94" customFormat="1" ht="15" customHeight="1">
      <c r="A196" s="59"/>
      <c r="B196" s="721" t="s">
        <v>382</v>
      </c>
      <c r="C196" s="721"/>
      <c r="D196" s="721"/>
      <c r="E196" s="721"/>
      <c r="F196" s="721"/>
      <c r="G196" s="721"/>
      <c r="H196" s="721"/>
      <c r="I196" s="721"/>
      <c r="J196" s="59"/>
    </row>
    <row r="197" spans="1:10" s="94" customFormat="1" ht="15" customHeight="1">
      <c r="A197" s="59"/>
      <c r="B197" s="721" t="s">
        <v>383</v>
      </c>
      <c r="C197" s="721"/>
      <c r="D197" s="721"/>
      <c r="E197" s="721"/>
      <c r="F197" s="721"/>
      <c r="G197" s="721"/>
      <c r="H197" s="721"/>
      <c r="I197" s="721"/>
      <c r="J197" s="59"/>
    </row>
    <row r="198" spans="1:10" s="94" customFormat="1" ht="15" customHeight="1">
      <c r="A198" s="59"/>
      <c r="B198" s="721" t="s">
        <v>270</v>
      </c>
      <c r="C198" s="721"/>
      <c r="D198" s="721"/>
      <c r="E198" s="721"/>
      <c r="F198" s="721"/>
      <c r="G198" s="721"/>
      <c r="H198" s="721"/>
      <c r="I198" s="721"/>
      <c r="J198" s="59"/>
    </row>
    <row r="199" spans="1:10" s="94" customFormat="1" ht="15" customHeight="1">
      <c r="A199" s="59"/>
      <c r="B199" s="723" t="s">
        <v>271</v>
      </c>
      <c r="C199" s="723"/>
      <c r="D199" s="723"/>
      <c r="E199" s="723"/>
      <c r="F199" s="723"/>
      <c r="G199" s="723"/>
      <c r="H199" s="723"/>
      <c r="I199" s="723"/>
      <c r="J199" s="59"/>
    </row>
    <row r="200" spans="1:10" s="94" customFormat="1" ht="15" customHeight="1">
      <c r="A200" s="59"/>
      <c r="B200" s="723" t="s">
        <v>384</v>
      </c>
      <c r="C200" s="723"/>
      <c r="D200" s="723"/>
      <c r="E200" s="723"/>
      <c r="F200" s="723"/>
      <c r="G200" s="723"/>
      <c r="H200" s="723"/>
      <c r="I200" s="723"/>
      <c r="J200" s="59"/>
    </row>
    <row r="201" spans="1:10" s="94" customFormat="1" ht="15" customHeight="1">
      <c r="A201" s="59"/>
      <c r="B201" s="721" t="s">
        <v>272</v>
      </c>
      <c r="C201" s="721"/>
      <c r="D201" s="721"/>
      <c r="E201" s="721"/>
      <c r="F201" s="721"/>
      <c r="G201" s="721"/>
      <c r="H201" s="721"/>
      <c r="I201" s="721"/>
      <c r="J201" s="59"/>
    </row>
    <row r="202" spans="1:10" s="94" customFormat="1" ht="15" customHeight="1">
      <c r="A202" s="59"/>
      <c r="B202" s="721" t="s">
        <v>387</v>
      </c>
      <c r="C202" s="721"/>
      <c r="D202" s="721"/>
      <c r="E202" s="721"/>
      <c r="F202" s="721"/>
      <c r="G202" s="721"/>
      <c r="H202" s="721"/>
      <c r="I202" s="721"/>
      <c r="J202" s="59"/>
    </row>
    <row r="203" spans="1:10" s="94" customFormat="1" ht="15" customHeight="1">
      <c r="A203" s="59"/>
      <c r="B203" s="721" t="s">
        <v>388</v>
      </c>
      <c r="C203" s="721"/>
      <c r="D203" s="721"/>
      <c r="E203" s="721"/>
      <c r="F203" s="721"/>
      <c r="G203" s="721"/>
      <c r="H203" s="721"/>
      <c r="I203" s="721"/>
      <c r="J203" s="59"/>
    </row>
    <row r="204" spans="1:10" s="94" customFormat="1" ht="15" customHeight="1">
      <c r="A204" s="59"/>
      <c r="B204" s="721" t="s">
        <v>273</v>
      </c>
      <c r="C204" s="721"/>
      <c r="D204" s="721"/>
      <c r="E204" s="721"/>
      <c r="F204" s="721"/>
      <c r="G204" s="721"/>
      <c r="H204" s="721"/>
      <c r="I204" s="721"/>
      <c r="J204" s="59"/>
    </row>
    <row r="205" spans="1:10" s="94" customFormat="1" ht="15" customHeight="1">
      <c r="A205" s="59"/>
      <c r="B205" s="721" t="s">
        <v>385</v>
      </c>
      <c r="C205" s="721"/>
      <c r="D205" s="721"/>
      <c r="E205" s="721"/>
      <c r="F205" s="721"/>
      <c r="G205" s="721"/>
      <c r="H205" s="721"/>
      <c r="I205" s="721"/>
      <c r="J205" s="59"/>
    </row>
    <row r="206" spans="1:10" s="94" customFormat="1" ht="15" customHeight="1">
      <c r="A206" s="59"/>
      <c r="B206" s="721" t="s">
        <v>386</v>
      </c>
      <c r="C206" s="721"/>
      <c r="D206" s="721"/>
      <c r="E206" s="721"/>
      <c r="F206" s="721"/>
      <c r="G206" s="721"/>
      <c r="H206" s="721"/>
      <c r="I206" s="721"/>
      <c r="J206" s="59"/>
    </row>
    <row r="207" spans="1:10" s="94" customFormat="1" ht="15" customHeight="1">
      <c r="A207" s="59"/>
      <c r="B207" s="721" t="s">
        <v>274</v>
      </c>
      <c r="C207" s="721"/>
      <c r="D207" s="721"/>
      <c r="E207" s="721"/>
      <c r="F207" s="721"/>
      <c r="G207" s="721"/>
      <c r="H207" s="721"/>
      <c r="I207" s="721"/>
      <c r="J207" s="59"/>
    </row>
    <row r="208" spans="1:10" s="94" customFormat="1" ht="15" customHeight="1">
      <c r="A208" s="59"/>
      <c r="B208" s="722" t="s">
        <v>275</v>
      </c>
      <c r="C208" s="722"/>
      <c r="D208" s="722"/>
      <c r="E208" s="722"/>
      <c r="F208" s="722"/>
      <c r="G208" s="722"/>
      <c r="H208" s="722"/>
      <c r="I208" s="722"/>
      <c r="J208" s="59"/>
    </row>
    <row r="209" spans="1:10" s="94" customFormat="1" ht="15" customHeight="1">
      <c r="A209" s="59"/>
      <c r="B209" s="723" t="s">
        <v>276</v>
      </c>
      <c r="C209" s="723"/>
      <c r="D209" s="723"/>
      <c r="E209" s="723"/>
      <c r="F209" s="723"/>
      <c r="G209" s="723"/>
      <c r="H209" s="723"/>
      <c r="I209" s="723"/>
      <c r="J209" s="59"/>
    </row>
    <row r="210" spans="1:10" s="94" customFormat="1" ht="15" customHeight="1">
      <c r="A210" s="59"/>
      <c r="B210" s="721" t="s">
        <v>389</v>
      </c>
      <c r="C210" s="721"/>
      <c r="D210" s="721"/>
      <c r="E210" s="721"/>
      <c r="F210" s="721"/>
      <c r="G210" s="721"/>
      <c r="H210" s="721"/>
      <c r="I210" s="721"/>
      <c r="J210" s="59"/>
    </row>
    <row r="211" spans="1:10" s="94" customFormat="1" ht="15" customHeight="1">
      <c r="A211" s="59"/>
      <c r="B211" s="721" t="s">
        <v>390</v>
      </c>
      <c r="C211" s="721"/>
      <c r="D211" s="721"/>
      <c r="E211" s="721"/>
      <c r="F211" s="721"/>
      <c r="G211" s="721"/>
      <c r="H211" s="721"/>
      <c r="I211" s="721"/>
      <c r="J211" s="59"/>
    </row>
    <row r="212" spans="1:10" s="94" customFormat="1" ht="15" customHeight="1">
      <c r="A212" s="59"/>
      <c r="B212" s="721" t="s">
        <v>277</v>
      </c>
      <c r="C212" s="721"/>
      <c r="D212" s="721"/>
      <c r="E212" s="721"/>
      <c r="F212" s="721"/>
      <c r="G212" s="721"/>
      <c r="H212" s="721"/>
      <c r="I212" s="721"/>
      <c r="J212" s="59"/>
    </row>
    <row r="213" spans="1:10" s="94" customFormat="1" ht="15" customHeight="1">
      <c r="A213" s="59"/>
      <c r="B213" s="721" t="s">
        <v>278</v>
      </c>
      <c r="C213" s="721"/>
      <c r="D213" s="721"/>
      <c r="E213" s="721"/>
      <c r="F213" s="721"/>
      <c r="G213" s="721"/>
      <c r="H213" s="721"/>
      <c r="I213" s="721"/>
      <c r="J213" s="59"/>
    </row>
    <row r="214" spans="1:10" s="94" customFormat="1" ht="15" customHeight="1">
      <c r="A214" s="59"/>
      <c r="B214" s="722" t="s">
        <v>391</v>
      </c>
      <c r="C214" s="722"/>
      <c r="D214" s="722"/>
      <c r="E214" s="722"/>
      <c r="F214" s="722"/>
      <c r="G214" s="722"/>
      <c r="H214" s="722"/>
      <c r="I214" s="722"/>
      <c r="J214" s="59"/>
    </row>
    <row r="215" spans="1:10" s="94" customFormat="1" ht="15" customHeight="1">
      <c r="A215" s="59"/>
      <c r="B215" s="722" t="s">
        <v>392</v>
      </c>
      <c r="C215" s="722"/>
      <c r="D215" s="722"/>
      <c r="E215" s="722"/>
      <c r="F215" s="722"/>
      <c r="G215" s="722"/>
      <c r="H215" s="722"/>
      <c r="I215" s="722"/>
      <c r="J215" s="59"/>
    </row>
    <row r="216" spans="1:10" s="94" customFormat="1" ht="15" customHeight="1">
      <c r="A216" s="59"/>
      <c r="B216" s="722" t="s">
        <v>393</v>
      </c>
      <c r="C216" s="722"/>
      <c r="D216" s="722"/>
      <c r="E216" s="722"/>
      <c r="F216" s="722"/>
      <c r="G216" s="722"/>
      <c r="H216" s="722"/>
      <c r="I216" s="722"/>
      <c r="J216" s="59"/>
    </row>
    <row r="217" spans="1:10" s="94" customFormat="1" ht="15" customHeight="1">
      <c r="A217" s="59"/>
      <c r="B217" s="722" t="s">
        <v>394</v>
      </c>
      <c r="C217" s="722"/>
      <c r="D217" s="722"/>
      <c r="E217" s="722"/>
      <c r="F217" s="722"/>
      <c r="G217" s="722"/>
      <c r="H217" s="722"/>
      <c r="I217" s="722"/>
    </row>
    <row r="218" spans="1:10" s="94" customFormat="1" ht="15" customHeight="1">
      <c r="A218" s="59"/>
      <c r="B218" s="721" t="s">
        <v>279</v>
      </c>
      <c r="C218" s="721"/>
      <c r="D218" s="721"/>
      <c r="E218" s="721"/>
      <c r="F218" s="721"/>
      <c r="G218" s="721"/>
      <c r="H218" s="721"/>
      <c r="I218" s="721"/>
    </row>
    <row r="219" spans="1:10" s="94" customFormat="1" ht="15" customHeight="1">
      <c r="A219" s="59"/>
      <c r="B219" s="721" t="s">
        <v>671</v>
      </c>
      <c r="C219" s="721"/>
      <c r="D219" s="721"/>
      <c r="E219" s="721"/>
      <c r="F219" s="721"/>
      <c r="G219" s="721"/>
      <c r="H219" s="721"/>
      <c r="I219" s="721"/>
    </row>
    <row r="220" spans="1:10" s="94" customFormat="1" ht="15" customHeight="1">
      <c r="A220" s="59"/>
      <c r="B220" s="721" t="s">
        <v>395</v>
      </c>
      <c r="C220" s="721"/>
      <c r="D220" s="721"/>
      <c r="E220" s="721"/>
      <c r="F220" s="721"/>
      <c r="G220" s="721"/>
      <c r="H220" s="721"/>
      <c r="I220" s="721"/>
    </row>
    <row r="221" spans="1:10" s="94" customFormat="1" ht="15" customHeight="1">
      <c r="A221" s="59"/>
      <c r="B221" s="722" t="s">
        <v>280</v>
      </c>
      <c r="C221" s="722"/>
      <c r="D221" s="722"/>
      <c r="E221" s="722"/>
      <c r="F221" s="722"/>
      <c r="G221" s="722"/>
      <c r="H221" s="722"/>
      <c r="I221" s="722"/>
    </row>
    <row r="222" spans="1:10" s="94" customFormat="1" ht="15" customHeight="1">
      <c r="A222" s="59"/>
      <c r="B222" s="722" t="s">
        <v>396</v>
      </c>
      <c r="C222" s="722"/>
      <c r="D222" s="722"/>
      <c r="E222" s="722"/>
      <c r="F222" s="722"/>
      <c r="G222" s="722"/>
      <c r="H222" s="722"/>
      <c r="I222" s="722"/>
    </row>
    <row r="223" spans="1:10" s="94" customFormat="1" ht="15" customHeight="1">
      <c r="A223" s="59"/>
      <c r="B223" s="722" t="s">
        <v>397</v>
      </c>
      <c r="C223" s="722"/>
      <c r="D223" s="722"/>
      <c r="E223" s="722"/>
      <c r="F223" s="722"/>
      <c r="G223" s="722"/>
      <c r="H223" s="722"/>
      <c r="I223" s="722"/>
      <c r="J223" s="192"/>
    </row>
    <row r="224" spans="1:10" s="94" customFormat="1" ht="15" customHeight="1">
      <c r="A224" s="59"/>
      <c r="B224" s="722" t="s">
        <v>398</v>
      </c>
      <c r="C224" s="722"/>
      <c r="D224" s="722"/>
      <c r="E224" s="722"/>
      <c r="F224" s="722"/>
      <c r="G224" s="722"/>
      <c r="H224" s="722"/>
      <c r="I224" s="722"/>
    </row>
    <row r="225" spans="1:10" s="94" customFormat="1" ht="15" customHeight="1">
      <c r="A225" s="59"/>
      <c r="B225" s="721" t="s">
        <v>399</v>
      </c>
      <c r="C225" s="721"/>
      <c r="D225" s="721"/>
      <c r="E225" s="721"/>
      <c r="F225" s="721"/>
      <c r="G225" s="721"/>
      <c r="H225" s="721"/>
      <c r="I225" s="721"/>
    </row>
    <row r="226" spans="1:10" s="94" customFormat="1" ht="15" customHeight="1">
      <c r="A226" s="59"/>
      <c r="B226" s="722" t="s">
        <v>400</v>
      </c>
      <c r="C226" s="722"/>
      <c r="D226" s="722"/>
      <c r="E226" s="722"/>
      <c r="F226" s="722"/>
      <c r="G226" s="722"/>
      <c r="H226" s="722"/>
      <c r="I226" s="722"/>
    </row>
    <row r="227" spans="1:10" s="94" customFormat="1" ht="15" customHeight="1">
      <c r="A227" s="59"/>
      <c r="B227" s="722" t="s">
        <v>401</v>
      </c>
      <c r="C227" s="722"/>
      <c r="D227" s="722"/>
      <c r="E227" s="722"/>
      <c r="F227" s="722"/>
      <c r="G227" s="722"/>
      <c r="H227" s="722"/>
      <c r="I227" s="722"/>
      <c r="J227" s="192"/>
    </row>
    <row r="228" spans="1:10" s="94" customFormat="1" ht="15" customHeight="1">
      <c r="A228" s="59"/>
      <c r="B228" s="723" t="s">
        <v>281</v>
      </c>
      <c r="C228" s="723"/>
      <c r="D228" s="723"/>
      <c r="E228" s="723"/>
      <c r="F228" s="723"/>
      <c r="G228" s="723"/>
      <c r="H228" s="723"/>
      <c r="I228" s="723"/>
      <c r="J228" s="59"/>
    </row>
    <row r="229" spans="1:10" s="94" customFormat="1" ht="15" customHeight="1">
      <c r="A229" s="59"/>
      <c r="B229" s="721" t="s">
        <v>402</v>
      </c>
      <c r="C229" s="721"/>
      <c r="D229" s="721"/>
      <c r="E229" s="721"/>
      <c r="F229" s="721"/>
      <c r="G229" s="721"/>
      <c r="H229" s="721"/>
      <c r="I229" s="721"/>
      <c r="J229" s="59"/>
    </row>
    <row r="230" spans="1:10" s="94" customFormat="1" ht="15" customHeight="1">
      <c r="A230" s="59"/>
      <c r="B230" s="722" t="s">
        <v>403</v>
      </c>
      <c r="C230" s="722"/>
      <c r="D230" s="722"/>
      <c r="E230" s="722"/>
      <c r="F230" s="722"/>
      <c r="G230" s="722"/>
      <c r="H230" s="722"/>
      <c r="I230" s="722"/>
      <c r="J230" s="59"/>
    </row>
    <row r="231" spans="1:10" s="94" customFormat="1" ht="15" customHeight="1">
      <c r="A231" s="59"/>
      <c r="B231" s="722" t="s">
        <v>404</v>
      </c>
      <c r="C231" s="722"/>
      <c r="D231" s="722"/>
      <c r="E231" s="722"/>
      <c r="F231" s="722"/>
      <c r="G231" s="722"/>
      <c r="H231" s="722"/>
      <c r="I231" s="722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723" t="s">
        <v>282</v>
      </c>
      <c r="C233" s="723"/>
      <c r="D233" s="723"/>
      <c r="E233" s="723"/>
      <c r="F233" s="723"/>
      <c r="G233" s="723"/>
      <c r="H233" s="723"/>
      <c r="I233" s="723"/>
    </row>
    <row r="234" spans="1:10" s="94" customFormat="1" ht="15" customHeight="1">
      <c r="A234" s="59"/>
      <c r="B234" s="722" t="s">
        <v>283</v>
      </c>
      <c r="C234" s="722"/>
      <c r="D234" s="722"/>
      <c r="E234" s="722"/>
      <c r="F234" s="722"/>
      <c r="G234" s="722"/>
      <c r="H234" s="722"/>
      <c r="I234" s="722"/>
    </row>
    <row r="235" spans="1:10" s="94" customFormat="1" ht="15" customHeight="1">
      <c r="A235" s="59"/>
      <c r="B235" s="722" t="s">
        <v>483</v>
      </c>
      <c r="C235" s="722"/>
      <c r="D235" s="722"/>
      <c r="E235" s="722"/>
      <c r="F235" s="722"/>
      <c r="G235" s="722"/>
      <c r="H235" s="722"/>
      <c r="I235" s="722"/>
    </row>
    <row r="236" spans="1:10" s="94" customFormat="1" ht="15" customHeight="1">
      <c r="A236" s="59"/>
      <c r="B236" s="722" t="s">
        <v>284</v>
      </c>
      <c r="C236" s="722"/>
      <c r="D236" s="722"/>
      <c r="E236" s="722"/>
      <c r="F236" s="722"/>
      <c r="G236" s="722"/>
      <c r="H236" s="722"/>
      <c r="I236" s="722"/>
    </row>
    <row r="237" spans="1:10" s="94" customFormat="1" ht="15" customHeight="1">
      <c r="A237" s="59"/>
      <c r="B237" s="749" t="s">
        <v>591</v>
      </c>
      <c r="C237" s="749"/>
      <c r="D237" s="749"/>
      <c r="E237" s="749"/>
      <c r="F237" s="749"/>
      <c r="G237" s="749"/>
      <c r="H237" s="749"/>
      <c r="I237" s="749"/>
    </row>
    <row r="238" spans="1:10" s="94" customFormat="1" ht="15" customHeight="1">
      <c r="A238" s="59"/>
      <c r="B238" s="749" t="s">
        <v>484</v>
      </c>
      <c r="C238" s="749"/>
      <c r="D238" s="749"/>
      <c r="E238" s="749"/>
      <c r="F238" s="749"/>
      <c r="G238" s="749"/>
      <c r="H238" s="749"/>
      <c r="I238" s="749"/>
    </row>
    <row r="239" spans="1:10" s="94" customFormat="1" ht="15" customHeight="1">
      <c r="A239" s="59"/>
      <c r="B239" s="95" t="s">
        <v>485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723" t="s">
        <v>285</v>
      </c>
      <c r="C241" s="723"/>
      <c r="D241" s="723"/>
      <c r="E241" s="723"/>
      <c r="F241" s="723"/>
      <c r="G241" s="723"/>
      <c r="H241" s="723"/>
      <c r="I241" s="723"/>
    </row>
    <row r="242" spans="1:10" s="94" customFormat="1" ht="15" customHeight="1">
      <c r="A242" s="59"/>
      <c r="B242" s="721" t="s">
        <v>286</v>
      </c>
      <c r="C242" s="721"/>
      <c r="D242" s="721"/>
      <c r="E242" s="721"/>
      <c r="F242" s="721"/>
      <c r="G242" s="721"/>
      <c r="H242" s="721"/>
      <c r="I242" s="721"/>
    </row>
    <row r="243" spans="1:10" s="59" customFormat="1" ht="15" customHeight="1">
      <c r="B243" s="721" t="s">
        <v>287</v>
      </c>
      <c r="C243" s="721"/>
      <c r="D243" s="721"/>
      <c r="E243" s="721"/>
      <c r="F243" s="721"/>
      <c r="G243" s="721"/>
      <c r="H243" s="721"/>
      <c r="I243" s="721"/>
      <c r="J243" s="93"/>
    </row>
    <row r="244" spans="1:10" s="94" customFormat="1" ht="15" customHeight="1">
      <c r="A244" s="59"/>
      <c r="B244" s="721" t="s">
        <v>288</v>
      </c>
      <c r="C244" s="721"/>
      <c r="D244" s="721"/>
      <c r="E244" s="721"/>
      <c r="F244" s="721"/>
      <c r="G244" s="721"/>
      <c r="H244" s="721"/>
      <c r="I244" s="721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723" t="s">
        <v>289</v>
      </c>
      <c r="C246" s="723"/>
      <c r="D246" s="723"/>
      <c r="E246" s="723"/>
      <c r="F246" s="723"/>
      <c r="G246" s="723"/>
      <c r="H246" s="723"/>
      <c r="I246" s="723"/>
    </row>
    <row r="247" spans="1:10" s="94" customFormat="1" ht="15" customHeight="1">
      <c r="A247" s="59"/>
      <c r="B247" s="721" t="s">
        <v>405</v>
      </c>
      <c r="C247" s="721"/>
      <c r="D247" s="721"/>
      <c r="E247" s="721"/>
      <c r="F247" s="721"/>
      <c r="G247" s="721"/>
      <c r="H247" s="721"/>
      <c r="I247" s="721"/>
    </row>
    <row r="248" spans="1:10" s="59" customFormat="1" ht="15" customHeight="1">
      <c r="B248" s="721" t="s">
        <v>406</v>
      </c>
      <c r="C248" s="721"/>
      <c r="D248" s="721"/>
      <c r="E248" s="721"/>
      <c r="F248" s="721"/>
      <c r="G248" s="721"/>
      <c r="H248" s="721"/>
      <c r="I248" s="721"/>
      <c r="J248" s="93"/>
    </row>
    <row r="249" spans="1:10" s="94" customFormat="1" ht="15" customHeight="1">
      <c r="A249" s="59"/>
      <c r="B249" s="721" t="s">
        <v>290</v>
      </c>
      <c r="C249" s="721"/>
      <c r="D249" s="721"/>
      <c r="E249" s="721"/>
      <c r="F249" s="721"/>
      <c r="G249" s="721"/>
      <c r="H249" s="721"/>
      <c r="I249" s="721"/>
    </row>
    <row r="250" spans="1:10" s="94" customFormat="1" ht="15" customHeight="1">
      <c r="A250" s="59"/>
      <c r="B250" s="721" t="s">
        <v>291</v>
      </c>
      <c r="C250" s="721"/>
      <c r="D250" s="721"/>
      <c r="E250" s="721"/>
      <c r="F250" s="721"/>
      <c r="G250" s="721"/>
      <c r="H250" s="721"/>
      <c r="I250" s="721"/>
    </row>
    <row r="251" spans="1:10" s="94" customFormat="1" ht="15" customHeight="1">
      <c r="A251" s="59"/>
      <c r="B251" s="741" t="s">
        <v>292</v>
      </c>
      <c r="C251" s="741"/>
      <c r="D251" s="741"/>
      <c r="E251" s="741"/>
      <c r="F251" s="741"/>
      <c r="G251" s="741"/>
      <c r="H251" s="741"/>
      <c r="I251" s="741"/>
    </row>
    <row r="252" spans="1:10" s="94" customFormat="1" ht="15" customHeight="1">
      <c r="A252" s="59"/>
      <c r="B252" s="748" t="s">
        <v>293</v>
      </c>
      <c r="C252" s="748"/>
      <c r="D252" s="748"/>
      <c r="E252" s="748"/>
      <c r="F252" s="748"/>
      <c r="G252" s="748"/>
      <c r="H252" s="748"/>
      <c r="I252" s="748"/>
    </row>
    <row r="253" spans="1:10" s="94" customFormat="1" ht="15" customHeight="1">
      <c r="A253" s="59"/>
      <c r="B253" s="721" t="s">
        <v>294</v>
      </c>
      <c r="C253" s="721"/>
      <c r="D253" s="721"/>
      <c r="E253" s="721"/>
      <c r="F253" s="721"/>
      <c r="G253" s="721"/>
      <c r="H253" s="721"/>
      <c r="I253" s="721"/>
    </row>
    <row r="254" spans="1:10" s="94" customFormat="1" ht="15" customHeight="1">
      <c r="A254" s="59"/>
      <c r="B254" s="721" t="s">
        <v>295</v>
      </c>
      <c r="C254" s="721"/>
      <c r="D254" s="721"/>
      <c r="E254" s="721"/>
      <c r="F254" s="721"/>
      <c r="G254" s="721"/>
      <c r="H254" s="721"/>
      <c r="I254" s="721"/>
    </row>
    <row r="255" spans="1:10" s="94" customFormat="1" ht="15" customHeight="1">
      <c r="A255" s="59"/>
      <c r="B255" s="721" t="s">
        <v>407</v>
      </c>
      <c r="C255" s="721"/>
      <c r="D255" s="721"/>
      <c r="E255" s="721"/>
      <c r="F255" s="721"/>
      <c r="G255" s="721"/>
      <c r="H255" s="721"/>
      <c r="I255" s="721"/>
      <c r="J255" s="93"/>
    </row>
    <row r="256" spans="1:10" s="94" customFormat="1" ht="15" customHeight="1">
      <c r="A256" s="59"/>
      <c r="B256" s="721" t="s">
        <v>408</v>
      </c>
      <c r="C256" s="721"/>
      <c r="D256" s="721"/>
      <c r="E256" s="721"/>
      <c r="F256" s="721"/>
      <c r="G256" s="721"/>
      <c r="H256" s="721"/>
      <c r="I256" s="721"/>
      <c r="J256" s="93"/>
    </row>
    <row r="257" spans="1:10" s="94" customFormat="1" ht="15" customHeight="1">
      <c r="A257" s="59"/>
      <c r="B257" s="722" t="s">
        <v>409</v>
      </c>
      <c r="C257" s="722"/>
      <c r="D257" s="722"/>
      <c r="E257" s="722"/>
      <c r="F257" s="722"/>
      <c r="G257" s="722"/>
      <c r="H257" s="722"/>
      <c r="I257" s="722"/>
    </row>
    <row r="258" spans="1:10" s="94" customFormat="1" ht="15" customHeight="1">
      <c r="A258" s="59"/>
      <c r="B258" s="721" t="s">
        <v>410</v>
      </c>
      <c r="C258" s="721"/>
      <c r="D258" s="721"/>
      <c r="E258" s="721"/>
      <c r="F258" s="721"/>
      <c r="G258" s="721"/>
      <c r="H258" s="721"/>
      <c r="I258" s="721"/>
    </row>
    <row r="259" spans="1:10" s="94" customFormat="1" ht="15" customHeight="1">
      <c r="A259" s="59"/>
      <c r="B259" s="722" t="s">
        <v>411</v>
      </c>
      <c r="C259" s="722"/>
      <c r="D259" s="722"/>
      <c r="E259" s="722"/>
      <c r="F259" s="722"/>
      <c r="G259" s="722"/>
      <c r="H259" s="722"/>
      <c r="I259" s="722"/>
    </row>
    <row r="260" spans="1:10" s="94" customFormat="1" ht="15" customHeight="1">
      <c r="A260" s="59"/>
      <c r="B260" s="722" t="s">
        <v>412</v>
      </c>
      <c r="C260" s="722"/>
      <c r="D260" s="722"/>
      <c r="E260" s="722"/>
      <c r="F260" s="722"/>
      <c r="G260" s="722"/>
      <c r="H260" s="722"/>
      <c r="I260" s="722"/>
    </row>
    <row r="261" spans="1:10" s="94" customFormat="1" ht="15" customHeight="1">
      <c r="A261" s="59"/>
      <c r="B261" s="722" t="s">
        <v>413</v>
      </c>
      <c r="C261" s="722"/>
      <c r="D261" s="722"/>
      <c r="E261" s="722"/>
      <c r="F261" s="722"/>
      <c r="G261" s="722"/>
      <c r="H261" s="722"/>
      <c r="I261" s="722"/>
    </row>
    <row r="262" spans="1:10" s="94" customFormat="1" ht="15" customHeight="1">
      <c r="A262" s="59"/>
      <c r="B262" s="722" t="s">
        <v>414</v>
      </c>
      <c r="C262" s="722"/>
      <c r="D262" s="722"/>
      <c r="E262" s="722"/>
      <c r="F262" s="722"/>
      <c r="G262" s="722"/>
      <c r="H262" s="722"/>
      <c r="I262" s="722"/>
    </row>
    <row r="263" spans="1:10" s="94" customFormat="1" ht="15" customHeight="1">
      <c r="A263" s="59"/>
      <c r="B263" s="722" t="s">
        <v>296</v>
      </c>
      <c r="C263" s="722"/>
      <c r="D263" s="722"/>
      <c r="E263" s="722"/>
      <c r="F263" s="722"/>
      <c r="G263" s="722"/>
      <c r="H263" s="722"/>
      <c r="I263" s="722"/>
    </row>
    <row r="264" spans="1:10" s="94" customFormat="1" ht="15" customHeight="1">
      <c r="A264" s="59"/>
      <c r="B264" s="721" t="s">
        <v>415</v>
      </c>
      <c r="C264" s="721"/>
      <c r="D264" s="721"/>
      <c r="E264" s="721"/>
      <c r="F264" s="721"/>
      <c r="G264" s="721"/>
      <c r="H264" s="721"/>
      <c r="I264" s="721"/>
    </row>
    <row r="265" spans="1:10" s="94" customFormat="1" ht="15" customHeight="1">
      <c r="A265" s="59"/>
      <c r="B265" s="721" t="s">
        <v>416</v>
      </c>
      <c r="C265" s="721"/>
      <c r="D265" s="721"/>
      <c r="E265" s="721"/>
      <c r="F265" s="721"/>
      <c r="G265" s="721"/>
      <c r="H265" s="721"/>
      <c r="I265" s="721"/>
    </row>
    <row r="266" spans="1:10" s="94" customFormat="1" ht="15" customHeight="1">
      <c r="A266" s="59"/>
      <c r="B266" s="721" t="s">
        <v>417</v>
      </c>
      <c r="C266" s="721"/>
      <c r="D266" s="721"/>
      <c r="E266" s="721"/>
      <c r="F266" s="721"/>
      <c r="G266" s="721"/>
      <c r="H266" s="721"/>
      <c r="I266" s="721"/>
    </row>
    <row r="267" spans="1:10" s="94" customFormat="1" ht="15" customHeight="1">
      <c r="A267" s="59"/>
      <c r="B267" s="721" t="s">
        <v>297</v>
      </c>
      <c r="C267" s="721"/>
      <c r="D267" s="721"/>
      <c r="E267" s="721"/>
      <c r="F267" s="721"/>
      <c r="G267" s="721"/>
      <c r="H267" s="721"/>
      <c r="I267" s="721"/>
    </row>
    <row r="268" spans="1:10" s="94" customFormat="1" ht="15" customHeight="1">
      <c r="A268" s="59"/>
      <c r="B268" s="721" t="s">
        <v>418</v>
      </c>
      <c r="C268" s="721"/>
      <c r="D268" s="721"/>
      <c r="E268" s="721"/>
      <c r="F268" s="721"/>
      <c r="G268" s="721"/>
      <c r="H268" s="721"/>
      <c r="I268" s="721"/>
    </row>
    <row r="269" spans="1:10" s="94" customFormat="1" ht="15" customHeight="1">
      <c r="A269" s="59"/>
      <c r="B269" s="722" t="s">
        <v>419</v>
      </c>
      <c r="C269" s="722"/>
      <c r="D269" s="722"/>
      <c r="E269" s="722"/>
      <c r="F269" s="722"/>
      <c r="G269" s="722"/>
      <c r="H269" s="722"/>
      <c r="I269" s="722"/>
    </row>
    <row r="270" spans="1:10" s="94" customFormat="1" ht="15" customHeight="1">
      <c r="A270" s="59"/>
      <c r="B270" s="722" t="s">
        <v>420</v>
      </c>
      <c r="C270" s="722"/>
      <c r="D270" s="722"/>
      <c r="E270" s="722"/>
      <c r="F270" s="722"/>
      <c r="G270" s="722"/>
      <c r="H270" s="722"/>
      <c r="I270" s="722"/>
    </row>
    <row r="271" spans="1:10" s="59" customFormat="1" ht="15" customHeight="1">
      <c r="B271" s="742" t="s">
        <v>592</v>
      </c>
      <c r="C271" s="742"/>
      <c r="D271" s="742"/>
      <c r="E271" s="742"/>
      <c r="F271" s="742"/>
      <c r="G271" s="742"/>
      <c r="H271" s="742"/>
      <c r="I271" s="742"/>
      <c r="J271" s="94"/>
    </row>
    <row r="272" spans="1:10" s="192" customFormat="1" ht="15" customHeight="1">
      <c r="A272" s="59"/>
      <c r="B272" s="722" t="s">
        <v>421</v>
      </c>
      <c r="C272" s="722"/>
      <c r="D272" s="722"/>
      <c r="E272" s="722"/>
      <c r="F272" s="722"/>
      <c r="G272" s="722"/>
      <c r="H272" s="722"/>
      <c r="I272" s="722"/>
    </row>
    <row r="273" spans="1:10" s="94" customFormat="1" ht="15" customHeight="1">
      <c r="A273" s="59"/>
      <c r="B273" s="722" t="s">
        <v>298</v>
      </c>
      <c r="C273" s="722"/>
      <c r="D273" s="722"/>
      <c r="E273" s="722"/>
      <c r="F273" s="722"/>
      <c r="G273" s="722"/>
      <c r="H273" s="722"/>
      <c r="I273" s="722"/>
    </row>
    <row r="274" spans="1:10" s="94" customFormat="1" ht="15" customHeight="1">
      <c r="A274" s="59"/>
      <c r="B274" s="721" t="s">
        <v>422</v>
      </c>
      <c r="C274" s="721"/>
      <c r="D274" s="721"/>
      <c r="E274" s="721"/>
      <c r="F274" s="721"/>
      <c r="G274" s="721"/>
      <c r="H274" s="721"/>
      <c r="I274" s="721"/>
    </row>
    <row r="275" spans="1:10" s="59" customFormat="1" ht="15" customHeight="1">
      <c r="B275" s="721" t="s">
        <v>423</v>
      </c>
      <c r="C275" s="721"/>
      <c r="D275" s="721"/>
      <c r="E275" s="721"/>
      <c r="F275" s="721"/>
      <c r="G275" s="721"/>
      <c r="H275" s="721"/>
      <c r="I275" s="721"/>
      <c r="J275" s="93"/>
    </row>
    <row r="276" spans="1:10" s="94" customFormat="1" ht="15" customHeight="1">
      <c r="A276" s="59"/>
      <c r="B276" s="721" t="s">
        <v>424</v>
      </c>
      <c r="C276" s="721"/>
      <c r="D276" s="721"/>
      <c r="E276" s="721"/>
      <c r="F276" s="721"/>
      <c r="G276" s="721"/>
      <c r="H276" s="721"/>
      <c r="I276" s="721"/>
      <c r="J276" s="93"/>
    </row>
    <row r="277" spans="1:10" s="94" customFormat="1" ht="15" customHeight="1">
      <c r="A277" s="59"/>
      <c r="B277" s="721" t="s">
        <v>593</v>
      </c>
      <c r="C277" s="721"/>
      <c r="D277" s="721"/>
      <c r="E277" s="721"/>
      <c r="F277" s="721"/>
      <c r="G277" s="721"/>
      <c r="H277" s="721"/>
      <c r="I277" s="721"/>
      <c r="J277" s="93"/>
    </row>
    <row r="278" spans="1:10" s="94" customFormat="1" ht="15" customHeight="1">
      <c r="A278" s="59"/>
      <c r="B278" s="721" t="s">
        <v>425</v>
      </c>
      <c r="C278" s="721"/>
      <c r="D278" s="721"/>
      <c r="E278" s="721"/>
      <c r="F278" s="721"/>
      <c r="G278" s="721"/>
      <c r="H278" s="721"/>
      <c r="I278" s="721"/>
      <c r="J278" s="93"/>
    </row>
    <row r="279" spans="1:10" s="94" customFormat="1" ht="15" customHeight="1">
      <c r="A279" s="59"/>
      <c r="B279" s="721" t="s">
        <v>426</v>
      </c>
      <c r="C279" s="721"/>
      <c r="D279" s="721"/>
      <c r="E279" s="721"/>
      <c r="F279" s="721"/>
      <c r="G279" s="721"/>
      <c r="H279" s="721"/>
      <c r="I279" s="721"/>
    </row>
    <row r="280" spans="1:10" s="94" customFormat="1" ht="15" customHeight="1">
      <c r="A280" s="59"/>
      <c r="B280" s="722" t="s">
        <v>368</v>
      </c>
      <c r="C280" s="722"/>
      <c r="D280" s="722"/>
      <c r="E280" s="722"/>
      <c r="F280" s="722"/>
      <c r="G280" s="722"/>
      <c r="H280" s="722"/>
      <c r="I280" s="722"/>
    </row>
    <row r="281" spans="1:10" s="94" customFormat="1" ht="15" customHeight="1">
      <c r="A281" s="59"/>
      <c r="B281" s="721" t="s">
        <v>299</v>
      </c>
      <c r="C281" s="721"/>
      <c r="D281" s="721"/>
      <c r="E281" s="721"/>
      <c r="F281" s="721"/>
      <c r="G281" s="721"/>
      <c r="H281" s="721"/>
      <c r="I281" s="721"/>
    </row>
    <row r="282" spans="1:10" s="94" customFormat="1" ht="15" customHeight="1">
      <c r="A282" s="59"/>
      <c r="B282" s="50" t="s">
        <v>300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721" t="s">
        <v>301</v>
      </c>
      <c r="C283" s="721"/>
      <c r="D283" s="721"/>
      <c r="E283" s="721"/>
      <c r="F283" s="721"/>
      <c r="G283" s="721"/>
      <c r="H283" s="721"/>
      <c r="I283" s="721"/>
    </row>
    <row r="284" spans="1:10" s="94" customFormat="1" ht="15" customHeight="1">
      <c r="A284" s="59"/>
      <c r="B284" s="721" t="s">
        <v>302</v>
      </c>
      <c r="C284" s="721"/>
      <c r="D284" s="721"/>
      <c r="E284" s="721"/>
      <c r="F284" s="721"/>
      <c r="G284" s="721"/>
      <c r="H284" s="721"/>
      <c r="I284" s="721"/>
    </row>
    <row r="285" spans="1:10" s="94" customFormat="1" ht="15" customHeight="1">
      <c r="A285" s="59"/>
      <c r="C285" s="93"/>
      <c r="D285" s="743" t="s">
        <v>427</v>
      </c>
      <c r="E285" s="743"/>
      <c r="F285" s="743"/>
      <c r="G285" s="93"/>
      <c r="H285" s="93"/>
      <c r="I285" s="93"/>
      <c r="J285" s="93"/>
    </row>
    <row r="286" spans="1:10" s="94" customFormat="1" ht="15" customHeight="1">
      <c r="A286" s="59"/>
      <c r="D286" s="744" t="s">
        <v>303</v>
      </c>
      <c r="E286" s="744"/>
      <c r="F286" s="744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723" t="s">
        <v>304</v>
      </c>
      <c r="C288" s="723"/>
      <c r="D288" s="723"/>
      <c r="E288" s="723"/>
      <c r="F288" s="723"/>
      <c r="G288" s="723"/>
      <c r="H288" s="723"/>
      <c r="I288" s="723"/>
    </row>
    <row r="289" spans="1:9" s="94" customFormat="1" ht="15" customHeight="1">
      <c r="A289" s="59"/>
      <c r="B289" s="721" t="s">
        <v>305</v>
      </c>
      <c r="C289" s="721"/>
      <c r="D289" s="721"/>
      <c r="E289" s="721"/>
      <c r="F289" s="721"/>
      <c r="G289" s="721"/>
      <c r="H289" s="721"/>
      <c r="I289" s="721"/>
    </row>
    <row r="290" spans="1:9" s="94" customFormat="1" ht="15" customHeight="1">
      <c r="A290" s="59"/>
      <c r="B290" s="722" t="s">
        <v>306</v>
      </c>
      <c r="C290" s="722"/>
      <c r="D290" s="722"/>
      <c r="E290" s="722"/>
      <c r="F290" s="722"/>
      <c r="G290" s="722"/>
      <c r="H290" s="722"/>
      <c r="I290" s="722"/>
    </row>
    <row r="291" spans="1:9" s="94" customFormat="1" ht="15" customHeight="1">
      <c r="A291" s="59"/>
      <c r="B291" s="723" t="s">
        <v>307</v>
      </c>
      <c r="C291" s="723"/>
      <c r="D291" s="723"/>
      <c r="E291" s="723"/>
      <c r="F291" s="723"/>
      <c r="G291" s="723"/>
      <c r="H291" s="723"/>
      <c r="I291" s="723"/>
    </row>
    <row r="292" spans="1:9" s="94" customFormat="1" ht="15" customHeight="1">
      <c r="A292" s="59"/>
      <c r="B292" s="721" t="s">
        <v>308</v>
      </c>
      <c r="C292" s="721"/>
      <c r="D292" s="721"/>
      <c r="E292" s="721"/>
      <c r="F292" s="721"/>
      <c r="G292" s="721"/>
      <c r="H292" s="721"/>
      <c r="I292" s="721"/>
    </row>
    <row r="293" spans="1:9" s="94" customFormat="1" ht="15" customHeight="1">
      <c r="A293" s="59"/>
      <c r="B293" s="721" t="s">
        <v>309</v>
      </c>
      <c r="C293" s="721"/>
      <c r="D293" s="721"/>
      <c r="E293" s="721"/>
      <c r="F293" s="721"/>
      <c r="G293" s="721"/>
      <c r="H293" s="721"/>
      <c r="I293" s="721"/>
    </row>
    <row r="294" spans="1:9" s="94" customFormat="1" ht="15" customHeight="1">
      <c r="A294" s="59"/>
      <c r="B294" s="723" t="s">
        <v>310</v>
      </c>
      <c r="C294" s="723"/>
      <c r="D294" s="723"/>
      <c r="E294" s="723"/>
      <c r="F294" s="723"/>
      <c r="G294" s="723"/>
      <c r="H294" s="723"/>
      <c r="I294" s="723"/>
    </row>
    <row r="295" spans="1:9" s="94" customFormat="1" ht="15" customHeight="1">
      <c r="A295" s="59"/>
      <c r="B295" s="721" t="s">
        <v>311</v>
      </c>
      <c r="C295" s="721"/>
      <c r="D295" s="721"/>
      <c r="E295" s="721"/>
      <c r="F295" s="721"/>
      <c r="G295" s="721"/>
      <c r="H295" s="721"/>
      <c r="I295" s="721"/>
    </row>
    <row r="296" spans="1:9" s="94" customFormat="1" ht="15" customHeight="1">
      <c r="A296" s="59"/>
      <c r="B296" s="721" t="s">
        <v>312</v>
      </c>
      <c r="C296" s="721"/>
      <c r="D296" s="721"/>
      <c r="E296" s="721"/>
      <c r="F296" s="721"/>
      <c r="G296" s="721"/>
      <c r="H296" s="721"/>
      <c r="I296" s="721"/>
    </row>
    <row r="297" spans="1:9" s="94" customFormat="1" ht="15" customHeight="1">
      <c r="A297" s="59"/>
      <c r="B297" s="721" t="s">
        <v>313</v>
      </c>
      <c r="C297" s="721"/>
      <c r="D297" s="721"/>
      <c r="E297" s="721"/>
      <c r="F297" s="721"/>
      <c r="G297" s="721"/>
      <c r="H297" s="721"/>
      <c r="I297" s="721"/>
    </row>
    <row r="298" spans="1:9" s="94" customFormat="1" ht="15" customHeight="1">
      <c r="A298" s="59"/>
      <c r="B298" s="741" t="s">
        <v>594</v>
      </c>
      <c r="C298" s="741"/>
      <c r="D298" s="741"/>
      <c r="E298" s="741"/>
      <c r="F298" s="741"/>
      <c r="G298" s="741"/>
      <c r="H298" s="741"/>
      <c r="I298" s="741"/>
    </row>
    <row r="299" spans="1:9" s="94" customFormat="1" ht="15" customHeight="1">
      <c r="A299" s="59"/>
      <c r="B299" s="741" t="s">
        <v>595</v>
      </c>
      <c r="C299" s="741"/>
      <c r="D299" s="741"/>
      <c r="E299" s="741"/>
      <c r="F299" s="741"/>
      <c r="G299" s="741"/>
      <c r="H299" s="741"/>
      <c r="I299" s="741"/>
    </row>
    <row r="300" spans="1:9" s="94" customFormat="1" ht="15" customHeight="1">
      <c r="A300" s="59"/>
      <c r="B300" s="723" t="s">
        <v>314</v>
      </c>
      <c r="C300" s="723"/>
      <c r="D300" s="723"/>
      <c r="E300" s="723"/>
      <c r="F300" s="723"/>
      <c r="G300" s="723"/>
      <c r="H300" s="723"/>
      <c r="I300" s="723"/>
    </row>
    <row r="301" spans="1:9" s="94" customFormat="1" ht="15" customHeight="1">
      <c r="A301" s="59"/>
      <c r="B301" s="721" t="s">
        <v>596</v>
      </c>
      <c r="C301" s="721"/>
      <c r="D301" s="721"/>
      <c r="E301" s="721"/>
      <c r="F301" s="721"/>
      <c r="G301" s="721"/>
      <c r="H301" s="721"/>
      <c r="I301" s="721"/>
    </row>
    <row r="302" spans="1:9" s="94" customFormat="1" ht="15" customHeight="1">
      <c r="A302" s="59"/>
      <c r="B302" s="721" t="s">
        <v>315</v>
      </c>
      <c r="C302" s="721"/>
      <c r="D302" s="721"/>
      <c r="E302" s="721"/>
      <c r="F302" s="721"/>
      <c r="G302" s="721"/>
      <c r="H302" s="721"/>
      <c r="I302" s="721"/>
    </row>
    <row r="303" spans="1:9" s="94" customFormat="1" ht="15" customHeight="1">
      <c r="A303" s="59"/>
      <c r="B303" s="723" t="s">
        <v>316</v>
      </c>
      <c r="C303" s="723"/>
      <c r="D303" s="723"/>
      <c r="E303" s="723"/>
      <c r="F303" s="723"/>
      <c r="G303" s="723"/>
      <c r="H303" s="723"/>
      <c r="I303" s="723"/>
    </row>
    <row r="304" spans="1:9" s="94" customFormat="1" ht="15" customHeight="1">
      <c r="A304" s="59"/>
      <c r="B304" s="721" t="s">
        <v>317</v>
      </c>
      <c r="C304" s="721"/>
      <c r="D304" s="721"/>
      <c r="E304" s="721"/>
      <c r="F304" s="721"/>
      <c r="G304" s="721"/>
      <c r="H304" s="721"/>
      <c r="I304" s="721"/>
    </row>
    <row r="305" spans="1:10" s="94" customFormat="1" ht="15" customHeight="1">
      <c r="A305" s="59"/>
      <c r="B305" s="721" t="s">
        <v>318</v>
      </c>
      <c r="C305" s="721"/>
      <c r="D305" s="721"/>
      <c r="E305" s="721"/>
      <c r="F305" s="721"/>
      <c r="G305" s="721"/>
      <c r="H305" s="721"/>
      <c r="I305" s="721"/>
    </row>
    <row r="306" spans="1:10" s="94" customFormat="1" ht="15" customHeight="1">
      <c r="A306" s="59"/>
      <c r="B306" s="722" t="s">
        <v>319</v>
      </c>
      <c r="C306" s="722"/>
      <c r="D306" s="722"/>
      <c r="E306" s="722"/>
      <c r="F306" s="722"/>
      <c r="G306" s="722"/>
      <c r="H306" s="722"/>
      <c r="I306" s="722"/>
    </row>
    <row r="307" spans="1:10" s="94" customFormat="1" ht="15" customHeight="1">
      <c r="A307" s="59"/>
      <c r="B307" s="722" t="s">
        <v>320</v>
      </c>
      <c r="C307" s="722"/>
      <c r="D307" s="722"/>
      <c r="E307" s="722"/>
      <c r="F307" s="722"/>
      <c r="G307" s="722"/>
      <c r="H307" s="722"/>
      <c r="I307" s="722"/>
    </row>
    <row r="308" spans="1:10" s="94" customFormat="1" ht="15" customHeight="1">
      <c r="A308" s="59"/>
      <c r="B308" s="723" t="s">
        <v>321</v>
      </c>
      <c r="C308" s="723"/>
      <c r="D308" s="723"/>
      <c r="E308" s="723"/>
      <c r="F308" s="723"/>
      <c r="G308" s="723"/>
      <c r="H308" s="723"/>
      <c r="I308" s="723"/>
    </row>
    <row r="309" spans="1:10" s="94" customFormat="1" ht="15" customHeight="1">
      <c r="A309" s="59"/>
      <c r="B309" s="741" t="s">
        <v>589</v>
      </c>
      <c r="C309" s="741"/>
      <c r="D309" s="741"/>
      <c r="E309" s="746" t="s">
        <v>842</v>
      </c>
      <c r="F309" s="746"/>
      <c r="G309" s="746"/>
      <c r="H309" s="239" t="s">
        <v>852</v>
      </c>
      <c r="I309" s="202" t="s">
        <v>846</v>
      </c>
    </row>
    <row r="310" spans="1:10" s="94" customFormat="1" ht="15" customHeight="1">
      <c r="A310" s="59"/>
      <c r="B310" s="741" t="s">
        <v>590</v>
      </c>
      <c r="C310" s="741"/>
      <c r="D310" s="741"/>
      <c r="E310" s="741"/>
      <c r="F310" s="741"/>
      <c r="G310" s="741"/>
      <c r="H310" s="741"/>
      <c r="I310" s="741"/>
    </row>
    <row r="311" spans="1:10" ht="15" customHeight="1"/>
    <row r="312" spans="1:10" ht="62.25" customHeight="1" thickBot="1">
      <c r="B312" s="747" t="e">
        <f>DATOS!#REF!</f>
        <v>#REF!</v>
      </c>
      <c r="C312" s="747"/>
      <c r="D312" s="747"/>
      <c r="E312" s="100" t="s">
        <v>206</v>
      </c>
      <c r="F312" s="154" t="str">
        <f>DATOS!D7</f>
        <v>-</v>
      </c>
      <c r="G312" s="745"/>
      <c r="H312" s="745"/>
      <c r="I312" s="745"/>
    </row>
    <row r="313" spans="1:10" ht="61.5" customHeight="1" thickBot="1">
      <c r="A313" s="702" t="s">
        <v>842</v>
      </c>
      <c r="B313" s="702"/>
      <c r="C313" s="702"/>
      <c r="D313" s="702"/>
      <c r="E313" s="99" t="s">
        <v>847</v>
      </c>
      <c r="F313" s="135" t="s">
        <v>846</v>
      </c>
      <c r="G313" s="791"/>
      <c r="H313" s="791"/>
      <c r="I313" s="791"/>
      <c r="J313" s="70"/>
    </row>
    <row r="314" spans="1:10" ht="61.5" customHeight="1" thickBot="1">
      <c r="A314" s="702" t="s">
        <v>843</v>
      </c>
      <c r="B314" s="702"/>
      <c r="C314" s="702"/>
      <c r="D314" s="702"/>
      <c r="E314" s="99" t="s">
        <v>847</v>
      </c>
      <c r="F314" s="135" t="s">
        <v>845</v>
      </c>
      <c r="G314" s="791"/>
      <c r="H314" s="791"/>
      <c r="I314" s="791"/>
      <c r="J314" s="70"/>
    </row>
    <row r="315" spans="1:10" ht="15" customHeight="1">
      <c r="B315" s="203"/>
      <c r="C315" s="203"/>
      <c r="D315" s="203"/>
      <c r="E315" s="203"/>
      <c r="F315" s="203"/>
      <c r="J315" s="59"/>
    </row>
  </sheetData>
  <sheetProtection selectLockedCells="1"/>
  <protectedRanges>
    <protectedRange sqref="B13:F13 H13:K13" name="I15"/>
  </protectedRanges>
  <mergeCells count="315"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</mergeCells>
  <phoneticPr fontId="34" type="noConversion"/>
  <pageMargins left="0.25" right="0.25" top="0.55000000000000004" bottom="0.56999999999999995" header="0.3" footer="0.3"/>
  <pageSetup paperSize="9" scale="83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topLeftCell="A66" zoomScaleNormal="100" zoomScaleSheetLayoutView="100" workbookViewId="0">
      <selection activeCell="B2" sqref="B2:L2"/>
    </sheetView>
  </sheetViews>
  <sheetFormatPr baseColWidth="10"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540" t="s">
        <v>698</v>
      </c>
      <c r="N1" s="540"/>
    </row>
    <row r="2" spans="1:14" customFormat="1" ht="15" customHeight="1">
      <c r="A2" s="53"/>
      <c r="B2" s="879" t="s">
        <v>645</v>
      </c>
      <c r="C2" s="879"/>
      <c r="D2" s="879"/>
      <c r="E2" s="879"/>
      <c r="F2" s="879"/>
      <c r="G2" s="879"/>
      <c r="H2" s="879"/>
      <c r="I2" s="879"/>
      <c r="J2" s="879"/>
      <c r="K2" s="879"/>
      <c r="L2" s="879"/>
      <c r="M2" s="52"/>
      <c r="N2" s="52"/>
    </row>
    <row r="3" spans="1:14" customFormat="1" ht="15" customHeight="1">
      <c r="A3" s="204"/>
      <c r="B3" s="888" t="s">
        <v>781</v>
      </c>
      <c r="C3" s="888"/>
      <c r="D3" s="888"/>
      <c r="E3" s="888"/>
      <c r="F3" s="888"/>
      <c r="G3" s="888"/>
      <c r="H3" s="888"/>
      <c r="I3" s="888"/>
      <c r="J3" s="888"/>
      <c r="K3" s="888"/>
      <c r="L3" s="888"/>
      <c r="M3" s="204"/>
      <c r="N3" s="55"/>
    </row>
    <row r="4" spans="1:14" customFormat="1" ht="15" customHeight="1">
      <c r="A4" s="53"/>
      <c r="B4" s="888" t="s">
        <v>679</v>
      </c>
      <c r="C4" s="888"/>
      <c r="D4" s="888"/>
      <c r="E4" s="888"/>
      <c r="F4" s="888"/>
      <c r="G4" s="888"/>
      <c r="H4" s="888"/>
      <c r="I4" s="888"/>
      <c r="J4" s="888"/>
      <c r="K4" s="888"/>
      <c r="L4" s="888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806" t="s">
        <v>734</v>
      </c>
      <c r="C6" s="806"/>
      <c r="D6" s="806"/>
      <c r="E6" s="806"/>
      <c r="F6" s="806"/>
      <c r="G6" s="806"/>
      <c r="H6" s="806"/>
      <c r="I6" s="806"/>
      <c r="J6" s="806"/>
      <c r="K6" s="806"/>
      <c r="L6" s="806"/>
      <c r="M6" s="806"/>
      <c r="N6" s="806"/>
    </row>
    <row r="7" spans="1:14" ht="15" customHeight="1">
      <c r="B7" s="806" t="s">
        <v>680</v>
      </c>
      <c r="C7" s="806"/>
      <c r="D7" s="806"/>
      <c r="E7" s="806"/>
      <c r="F7" s="806"/>
      <c r="G7" s="806"/>
      <c r="H7" s="806"/>
      <c r="I7" s="806"/>
      <c r="J7" s="806"/>
      <c r="K7" s="806"/>
      <c r="L7" s="806"/>
      <c r="M7" s="806"/>
      <c r="N7" s="806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889" t="str">
        <f>DATOS!D20</f>
        <v>-</v>
      </c>
      <c r="C9" s="889"/>
      <c r="D9" s="889"/>
      <c r="E9" s="193" t="str">
        <f>DATOS!D21</f>
        <v>-</v>
      </c>
      <c r="F9" s="193" t="str">
        <f>DATOS!D22</f>
        <v>-</v>
      </c>
      <c r="G9" s="889" t="str">
        <f>CONSTANCIA!F8</f>
        <v>-</v>
      </c>
      <c r="H9" s="889"/>
      <c r="I9" s="889"/>
      <c r="J9" s="889"/>
      <c r="K9" s="892" t="str">
        <f>CONSTANCIA!H8</f>
        <v>-</v>
      </c>
      <c r="L9" s="892"/>
      <c r="M9" s="892"/>
    </row>
    <row r="10" spans="1:14" ht="15" customHeight="1">
      <c r="B10" s="890" t="s">
        <v>213</v>
      </c>
      <c r="C10" s="890"/>
      <c r="E10" s="112" t="s">
        <v>27</v>
      </c>
      <c r="F10" s="150" t="s">
        <v>147</v>
      </c>
      <c r="G10" s="891" t="s">
        <v>214</v>
      </c>
      <c r="H10" s="891"/>
      <c r="I10" s="891"/>
      <c r="J10" s="891"/>
      <c r="K10" s="893" t="s">
        <v>687</v>
      </c>
      <c r="L10" s="893"/>
      <c r="M10" s="893"/>
      <c r="N10" s="116"/>
    </row>
    <row r="11" spans="1:14" ht="15" customHeight="1">
      <c r="B11" s="896" t="s">
        <v>201</v>
      </c>
      <c r="C11" s="896"/>
      <c r="D11" s="896" t="s">
        <v>201</v>
      </c>
      <c r="E11" s="896"/>
      <c r="F11" s="896"/>
      <c r="G11" s="896" t="s">
        <v>663</v>
      </c>
      <c r="H11" s="896"/>
      <c r="I11" s="896"/>
      <c r="J11" s="112"/>
      <c r="K11" s="111"/>
      <c r="L11" s="111"/>
      <c r="M11" s="111"/>
      <c r="N11" s="111"/>
    </row>
    <row r="12" spans="1:14" ht="15" customHeight="1">
      <c r="B12" s="891" t="s">
        <v>87</v>
      </c>
      <c r="C12" s="891"/>
      <c r="D12" s="891" t="s">
        <v>146</v>
      </c>
      <c r="E12" s="891"/>
      <c r="F12" s="891"/>
      <c r="G12" s="891" t="s">
        <v>26</v>
      </c>
      <c r="H12" s="891"/>
      <c r="I12" s="891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644</v>
      </c>
      <c r="B14" s="901" t="s">
        <v>686</v>
      </c>
      <c r="C14" s="901"/>
      <c r="D14" s="901"/>
      <c r="E14" s="901"/>
      <c r="F14" s="145" t="s">
        <v>492</v>
      </c>
      <c r="G14" s="226" t="s">
        <v>647</v>
      </c>
      <c r="H14" s="145" t="s">
        <v>782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783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898" t="s">
        <v>682</v>
      </c>
      <c r="C16" s="898"/>
      <c r="D16" s="898"/>
      <c r="E16" s="898"/>
      <c r="F16" s="898"/>
      <c r="G16" s="898"/>
      <c r="H16" s="898"/>
      <c r="I16" s="898"/>
      <c r="J16" s="898"/>
      <c r="K16" s="898"/>
      <c r="L16" s="898"/>
      <c r="M16" s="898"/>
      <c r="N16" s="898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889" t="str">
        <f>B9</f>
        <v>-</v>
      </c>
      <c r="C18" s="889"/>
      <c r="D18" s="889"/>
      <c r="E18" s="193" t="s">
        <v>49</v>
      </c>
      <c r="F18" s="194" t="s">
        <v>49</v>
      </c>
      <c r="G18" s="889" t="s">
        <v>654</v>
      </c>
      <c r="H18" s="889"/>
      <c r="I18" s="194">
        <v>384</v>
      </c>
      <c r="J18" s="889" t="s">
        <v>684</v>
      </c>
      <c r="K18" s="889"/>
      <c r="L18" s="889"/>
      <c r="M18" s="889"/>
    </row>
    <row r="19" spans="1:14" ht="15" customHeight="1">
      <c r="B19" s="890" t="s">
        <v>213</v>
      </c>
      <c r="C19" s="890"/>
      <c r="D19" s="890"/>
      <c r="E19" s="112" t="s">
        <v>27</v>
      </c>
      <c r="F19" s="111" t="s">
        <v>147</v>
      </c>
      <c r="G19" s="895" t="s">
        <v>214</v>
      </c>
      <c r="H19" s="895"/>
      <c r="I19" s="100" t="s">
        <v>207</v>
      </c>
      <c r="J19" s="891" t="s">
        <v>202</v>
      </c>
      <c r="K19" s="891"/>
      <c r="L19" s="891"/>
      <c r="M19" s="891"/>
    </row>
    <row r="20" spans="1:14" ht="15" customHeight="1">
      <c r="B20" s="896" t="s">
        <v>201</v>
      </c>
      <c r="C20" s="896"/>
      <c r="D20" s="896" t="str">
        <f>D11</f>
        <v>LIMA</v>
      </c>
      <c r="E20" s="896"/>
      <c r="F20" s="896"/>
      <c r="G20" s="896" t="str">
        <f>G11</f>
        <v>SAN BORJA</v>
      </c>
      <c r="H20" s="896"/>
      <c r="I20" s="896"/>
    </row>
    <row r="21" spans="1:14" ht="15" customHeight="1">
      <c r="B21" s="891" t="s">
        <v>87</v>
      </c>
      <c r="C21" s="891"/>
      <c r="D21" s="891" t="s">
        <v>146</v>
      </c>
      <c r="E21" s="891"/>
      <c r="F21" s="891"/>
      <c r="G21" s="891" t="s">
        <v>26</v>
      </c>
      <c r="H21" s="891"/>
      <c r="I21" s="891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644</v>
      </c>
      <c r="B23" s="894" t="e">
        <f>DATOS!#REF!</f>
        <v>#REF!</v>
      </c>
      <c r="C23" s="894"/>
      <c r="D23" s="894"/>
      <c r="E23" s="894"/>
      <c r="F23" s="145" t="s">
        <v>492</v>
      </c>
      <c r="G23" s="145" t="s">
        <v>672</v>
      </c>
      <c r="H23" s="145" t="s">
        <v>785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784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898" t="s">
        <v>682</v>
      </c>
      <c r="C25" s="898"/>
      <c r="D25" s="898"/>
      <c r="E25" s="898"/>
      <c r="F25" s="898"/>
      <c r="G25" s="898"/>
      <c r="H25" s="898"/>
      <c r="I25" s="898"/>
      <c r="J25" s="898"/>
      <c r="K25" s="898"/>
      <c r="L25" s="898"/>
      <c r="M25" s="898"/>
      <c r="N25" s="898"/>
    </row>
    <row r="26" spans="1:14" ht="12.75" customHeight="1"/>
    <row r="27" spans="1:14" ht="30" customHeight="1">
      <c r="A27" s="139"/>
      <c r="B27" s="900" t="str">
        <f>B18</f>
        <v>-</v>
      </c>
      <c r="C27" s="900"/>
      <c r="D27" s="900"/>
      <c r="E27" s="127" t="s">
        <v>49</v>
      </c>
      <c r="F27" s="184" t="s">
        <v>49</v>
      </c>
      <c r="G27" s="900" t="str">
        <f>G18</f>
        <v>CALLE VERROCHIO</v>
      </c>
      <c r="H27" s="900"/>
      <c r="I27" s="184">
        <v>382</v>
      </c>
      <c r="J27" s="899" t="s">
        <v>683</v>
      </c>
      <c r="K27" s="899"/>
      <c r="L27" s="899"/>
      <c r="M27" s="899"/>
      <c r="N27" s="139"/>
    </row>
    <row r="28" spans="1:14" ht="15" customHeight="1">
      <c r="B28" s="890" t="s">
        <v>213</v>
      </c>
      <c r="C28" s="890"/>
      <c r="D28" s="890"/>
      <c r="E28" s="112" t="s">
        <v>27</v>
      </c>
      <c r="F28" s="111" t="s">
        <v>147</v>
      </c>
      <c r="G28" s="895" t="s">
        <v>214</v>
      </c>
      <c r="H28" s="895"/>
      <c r="I28" s="142" t="str">
        <f>I19</f>
        <v>N° Int</v>
      </c>
      <c r="J28" s="890" t="str">
        <f>J19</f>
        <v>Piso</v>
      </c>
      <c r="K28" s="890"/>
      <c r="L28" s="890"/>
      <c r="M28" s="140"/>
      <c r="N28" s="146"/>
    </row>
    <row r="29" spans="1:14" ht="14.25">
      <c r="B29" s="896" t="s">
        <v>201</v>
      </c>
      <c r="C29" s="896"/>
      <c r="D29" s="896" t="str">
        <f>D20</f>
        <v>LIMA</v>
      </c>
      <c r="E29" s="896"/>
      <c r="F29" s="896"/>
      <c r="G29" s="896" t="str">
        <f>G20</f>
        <v>SAN BORJA</v>
      </c>
      <c r="H29" s="896"/>
      <c r="I29" s="896"/>
    </row>
    <row r="30" spans="1:14" ht="15" customHeight="1">
      <c r="B30" s="891" t="s">
        <v>87</v>
      </c>
      <c r="C30" s="891"/>
      <c r="D30" s="891" t="s">
        <v>146</v>
      </c>
      <c r="E30" s="891"/>
      <c r="F30" s="891"/>
      <c r="G30" s="891" t="s">
        <v>26</v>
      </c>
      <c r="H30" s="891"/>
      <c r="I30" s="891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897" t="s">
        <v>688</v>
      </c>
      <c r="C32" s="897"/>
      <c r="D32" s="897"/>
      <c r="E32" s="897"/>
      <c r="F32" s="897"/>
      <c r="G32" s="897"/>
      <c r="H32" s="897"/>
      <c r="I32" s="897"/>
      <c r="J32" s="897"/>
      <c r="K32" s="897"/>
      <c r="L32" s="897"/>
      <c r="M32" s="897"/>
      <c r="N32" s="897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919" t="s">
        <v>643</v>
      </c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</row>
    <row r="35" spans="2:14" ht="10.5" customHeight="1">
      <c r="K35" s="98"/>
      <c r="L35" s="98"/>
      <c r="M35" s="98"/>
      <c r="N35" s="98"/>
    </row>
    <row r="36" spans="2:14" ht="15" customHeight="1">
      <c r="B36" s="902" t="s">
        <v>786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902"/>
      <c r="M36" s="902"/>
      <c r="N36" s="902"/>
    </row>
    <row r="37" spans="2:14" ht="15" customHeight="1">
      <c r="B37" s="902" t="s">
        <v>787</v>
      </c>
      <c r="C37" s="902"/>
      <c r="D37" s="902"/>
      <c r="E37" s="902"/>
      <c r="F37" s="902"/>
      <c r="G37" s="902"/>
      <c r="H37" s="902"/>
      <c r="I37" s="902"/>
      <c r="J37" s="902"/>
      <c r="K37" s="902"/>
      <c r="L37" s="902"/>
      <c r="M37" s="902"/>
      <c r="N37" s="902"/>
    </row>
    <row r="38" spans="2:14" ht="15" customHeight="1">
      <c r="B38" s="902" t="s">
        <v>788</v>
      </c>
      <c r="C38" s="902"/>
      <c r="D38" s="902"/>
      <c r="E38" s="902"/>
      <c r="F38" s="902"/>
      <c r="G38" s="902"/>
      <c r="H38" s="902"/>
      <c r="I38" s="902"/>
      <c r="J38" s="902"/>
      <c r="K38" s="902"/>
      <c r="L38" s="902"/>
      <c r="M38" s="902"/>
      <c r="N38" s="902"/>
    </row>
    <row r="39" spans="2:14" ht="15" customHeight="1">
      <c r="B39" s="902" t="s">
        <v>789</v>
      </c>
      <c r="C39" s="902"/>
      <c r="D39" s="902"/>
      <c r="E39" s="902"/>
      <c r="F39" s="902"/>
      <c r="G39" s="902"/>
      <c r="H39" s="902"/>
      <c r="I39" s="902"/>
      <c r="J39" s="902"/>
      <c r="K39" s="902"/>
      <c r="L39" s="902"/>
      <c r="M39" s="902"/>
      <c r="N39" s="902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911" t="s">
        <v>642</v>
      </c>
      <c r="C41" s="911"/>
      <c r="D41" s="911"/>
      <c r="E41" s="911"/>
      <c r="F41" s="911"/>
      <c r="G41" s="911"/>
      <c r="H41" s="911"/>
      <c r="I41" s="911"/>
      <c r="J41" s="911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736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748" t="s">
        <v>735</v>
      </c>
      <c r="C52" s="814"/>
      <c r="D52" s="814"/>
      <c r="E52" s="814"/>
      <c r="F52" s="814"/>
      <c r="G52" s="814"/>
      <c r="H52" s="814"/>
      <c r="I52" s="814"/>
      <c r="J52" s="814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912" t="s">
        <v>641</v>
      </c>
      <c r="C54" s="912"/>
      <c r="D54" s="912"/>
      <c r="E54" s="912"/>
      <c r="F54" s="912"/>
      <c r="G54" s="912"/>
      <c r="H54" s="912"/>
      <c r="I54" s="912"/>
      <c r="J54" s="912"/>
      <c r="K54" s="229"/>
      <c r="L54" s="229"/>
      <c r="M54" s="229"/>
      <c r="N54" s="229"/>
    </row>
    <row r="55" spans="2:14" s="230" customFormat="1" ht="15" customHeight="1">
      <c r="B55" s="828" t="s">
        <v>685</v>
      </c>
      <c r="C55" s="828"/>
      <c r="D55" s="828"/>
      <c r="E55" s="828"/>
      <c r="F55" s="828"/>
      <c r="G55" s="828"/>
      <c r="H55" s="828"/>
      <c r="I55" s="828"/>
      <c r="J55" s="828"/>
      <c r="K55" s="828"/>
      <c r="L55" s="828"/>
      <c r="M55" s="828"/>
      <c r="N55" s="828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828" t="s">
        <v>794</v>
      </c>
      <c r="C57" s="828"/>
      <c r="D57" s="828"/>
      <c r="E57" s="828"/>
      <c r="F57" s="828"/>
      <c r="G57" s="828"/>
      <c r="H57" s="828"/>
      <c r="I57" s="828"/>
      <c r="J57" s="828"/>
      <c r="K57" s="828"/>
      <c r="L57" s="828"/>
      <c r="M57" s="828"/>
      <c r="N57" s="828"/>
    </row>
    <row r="58" spans="2:14" s="230" customFormat="1" ht="15" customHeight="1">
      <c r="B58" s="828" t="s">
        <v>790</v>
      </c>
      <c r="C58" s="828"/>
      <c r="D58" s="828"/>
      <c r="E58" s="828"/>
      <c r="F58" s="828"/>
      <c r="G58" s="828"/>
      <c r="H58" s="828"/>
      <c r="I58" s="828"/>
      <c r="J58" s="828"/>
      <c r="K58" s="828"/>
      <c r="L58" s="828"/>
      <c r="M58" s="828"/>
      <c r="N58" s="828"/>
    </row>
    <row r="59" spans="2:14" s="230" customFormat="1" ht="10.5" customHeight="1"/>
    <row r="60" spans="2:14" s="230" customFormat="1" ht="14.25" customHeight="1">
      <c r="B60" s="918" t="s">
        <v>795</v>
      </c>
      <c r="C60" s="918"/>
      <c r="D60" s="918"/>
      <c r="E60" s="918"/>
      <c r="F60" s="918"/>
      <c r="G60" s="918"/>
      <c r="H60" s="918"/>
      <c r="I60" s="918"/>
      <c r="J60" s="918"/>
      <c r="K60" s="918"/>
      <c r="L60" s="918"/>
      <c r="M60" s="918"/>
      <c r="N60" s="918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827" t="s">
        <v>796</v>
      </c>
      <c r="C62" s="827"/>
      <c r="D62" s="827"/>
      <c r="E62" s="827"/>
      <c r="F62" s="827"/>
      <c r="G62" s="827"/>
      <c r="H62" s="827"/>
      <c r="I62" s="827"/>
      <c r="J62" s="827"/>
      <c r="K62" s="827"/>
      <c r="L62" s="827"/>
      <c r="M62" s="827"/>
      <c r="N62" s="827"/>
    </row>
    <row r="63" spans="2:14" s="230" customFormat="1" ht="15" customHeight="1">
      <c r="B63" s="827" t="s">
        <v>791</v>
      </c>
      <c r="C63" s="827"/>
      <c r="D63" s="827"/>
      <c r="E63" s="827"/>
      <c r="F63" s="827"/>
      <c r="G63" s="827"/>
      <c r="H63" s="827"/>
      <c r="I63" s="827"/>
      <c r="J63" s="827"/>
      <c r="K63" s="827"/>
      <c r="L63" s="827"/>
      <c r="M63" s="827"/>
      <c r="N63" s="827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826" t="s">
        <v>223</v>
      </c>
      <c r="C65" s="826"/>
      <c r="D65" s="826"/>
      <c r="E65" s="826"/>
      <c r="F65" s="826"/>
      <c r="G65" s="826"/>
      <c r="H65" s="826"/>
      <c r="I65" s="826"/>
      <c r="J65" s="826"/>
      <c r="K65" s="826"/>
      <c r="L65" s="826"/>
      <c r="M65" s="826"/>
      <c r="N65" s="826"/>
    </row>
    <row r="66" spans="2:14" s="230" customFormat="1" ht="15" customHeight="1">
      <c r="B66" s="825" t="s">
        <v>792</v>
      </c>
      <c r="C66" s="825"/>
      <c r="D66" s="825"/>
      <c r="E66" s="825"/>
      <c r="F66" s="825"/>
      <c r="G66" s="825"/>
      <c r="H66" s="825"/>
      <c r="I66" s="825"/>
      <c r="J66" s="825"/>
      <c r="K66" s="825"/>
      <c r="L66" s="825"/>
      <c r="M66" s="825"/>
      <c r="N66" s="825"/>
    </row>
    <row r="67" spans="2:14" s="230" customFormat="1" ht="15" customHeight="1">
      <c r="B67" s="825" t="s">
        <v>793</v>
      </c>
      <c r="C67" s="825"/>
      <c r="D67" s="825"/>
      <c r="E67" s="825"/>
      <c r="F67" s="825"/>
      <c r="G67" s="825"/>
      <c r="H67" s="825"/>
      <c r="I67" s="825"/>
      <c r="J67" s="825"/>
      <c r="K67" s="825"/>
      <c r="L67" s="825"/>
      <c r="M67" s="825"/>
      <c r="N67" s="825"/>
    </row>
    <row r="68" spans="2:14" s="230" customFormat="1" ht="15" customHeight="1">
      <c r="B68" s="825" t="s">
        <v>797</v>
      </c>
      <c r="C68" s="825"/>
      <c r="D68" s="825"/>
      <c r="E68" s="825"/>
      <c r="F68" s="825"/>
      <c r="G68" s="825"/>
      <c r="H68" s="825"/>
      <c r="I68" s="825"/>
      <c r="J68" s="825"/>
      <c r="K68" s="825"/>
      <c r="L68" s="825"/>
      <c r="M68" s="825"/>
      <c r="N68" s="825"/>
    </row>
    <row r="69" spans="2:14" s="230" customFormat="1" ht="15" customHeight="1">
      <c r="B69" s="910" t="s">
        <v>224</v>
      </c>
      <c r="C69" s="910"/>
      <c r="D69" s="910"/>
      <c r="E69" s="910"/>
      <c r="F69" s="910"/>
      <c r="G69" s="910"/>
      <c r="H69" s="910"/>
      <c r="I69" s="910"/>
      <c r="J69" s="910"/>
      <c r="K69" s="910"/>
      <c r="L69" s="910"/>
      <c r="M69" s="910"/>
      <c r="N69" s="910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909" t="s">
        <v>670</v>
      </c>
      <c r="C71" s="909"/>
      <c r="D71" s="909"/>
      <c r="E71" s="909"/>
      <c r="F71" s="909"/>
      <c r="G71" s="909"/>
      <c r="H71" s="909"/>
      <c r="I71" s="909"/>
      <c r="J71" s="909"/>
      <c r="K71" s="909"/>
      <c r="L71" s="909"/>
      <c r="M71" s="909"/>
      <c r="N71" s="909"/>
    </row>
    <row r="72" spans="2:14" s="230" customFormat="1" ht="15" customHeight="1">
      <c r="B72" s="234"/>
      <c r="C72" s="829" t="s">
        <v>176</v>
      </c>
      <c r="D72" s="829"/>
      <c r="E72" s="829"/>
      <c r="F72" s="829"/>
      <c r="G72" s="829"/>
      <c r="H72" s="829"/>
      <c r="I72" s="829"/>
      <c r="J72" s="829"/>
      <c r="K72" s="829"/>
      <c r="L72" s="829"/>
      <c r="M72" s="231"/>
      <c r="N72" s="231"/>
    </row>
    <row r="73" spans="2:14" s="230" customFormat="1" ht="15" customHeight="1">
      <c r="B73" s="234"/>
      <c r="C73" s="829" t="s">
        <v>177</v>
      </c>
      <c r="D73" s="829"/>
      <c r="E73" s="829"/>
      <c r="F73" s="829"/>
      <c r="G73" s="829"/>
      <c r="H73" s="829"/>
      <c r="I73" s="829"/>
      <c r="J73" s="829"/>
      <c r="K73" s="829"/>
      <c r="L73" s="829"/>
      <c r="M73" s="231"/>
      <c r="N73" s="231"/>
    </row>
    <row r="74" spans="2:14" ht="15" customHeight="1">
      <c r="B74" s="59"/>
      <c r="C74" s="59"/>
      <c r="E74" s="741" t="s">
        <v>87</v>
      </c>
      <c r="F74" s="741"/>
      <c r="G74" s="741" t="s">
        <v>201</v>
      </c>
      <c r="H74" s="741"/>
      <c r="I74" s="741"/>
    </row>
    <row r="75" spans="2:14" ht="15" customHeight="1">
      <c r="B75" s="59"/>
      <c r="C75" s="59"/>
      <c r="E75" s="741" t="s">
        <v>701</v>
      </c>
      <c r="F75" s="741"/>
      <c r="G75" s="824" t="s">
        <v>201</v>
      </c>
      <c r="H75" s="824"/>
      <c r="I75" s="824"/>
    </row>
    <row r="76" spans="2:14" ht="15" customHeight="1">
      <c r="B76" s="59"/>
      <c r="C76" s="59"/>
      <c r="E76" s="741" t="s">
        <v>702</v>
      </c>
      <c r="F76" s="741"/>
      <c r="G76" s="823" t="s">
        <v>755</v>
      </c>
      <c r="H76" s="823"/>
      <c r="I76" s="823"/>
    </row>
    <row r="77" spans="2:14" ht="15" customHeight="1">
      <c r="B77" s="59"/>
      <c r="C77" s="59"/>
      <c r="E77" s="741" t="s">
        <v>703</v>
      </c>
      <c r="F77" s="741"/>
      <c r="G77" s="908" t="str">
        <f>DATOS!D20</f>
        <v>-</v>
      </c>
      <c r="H77" s="908"/>
      <c r="I77" s="908"/>
    </row>
    <row r="78" spans="2:14" ht="15" customHeight="1">
      <c r="B78" s="59"/>
      <c r="C78" s="59"/>
      <c r="E78" s="741" t="s">
        <v>704</v>
      </c>
      <c r="F78" s="741"/>
      <c r="G78" s="913" t="str">
        <f>DATOS!D21</f>
        <v>-</v>
      </c>
      <c r="H78" s="913"/>
      <c r="I78" s="913"/>
    </row>
    <row r="79" spans="2:14" ht="15" customHeight="1">
      <c r="B79" s="59"/>
      <c r="C79" s="59"/>
      <c r="E79" s="741" t="s">
        <v>705</v>
      </c>
      <c r="F79" s="741"/>
      <c r="G79" s="913" t="s">
        <v>648</v>
      </c>
      <c r="H79" s="913"/>
      <c r="I79" s="913"/>
    </row>
    <row r="80" spans="2:14" ht="15" customHeight="1">
      <c r="B80" s="59"/>
      <c r="C80" s="59"/>
      <c r="E80" s="741" t="s">
        <v>706</v>
      </c>
      <c r="F80" s="741"/>
      <c r="G80" s="913" t="s">
        <v>654</v>
      </c>
      <c r="H80" s="913"/>
      <c r="I80" s="913"/>
    </row>
    <row r="81" spans="2:14" ht="15" customHeight="1">
      <c r="B81" s="59"/>
      <c r="C81" s="59"/>
      <c r="E81" s="741" t="s">
        <v>200</v>
      </c>
      <c r="F81" s="741"/>
      <c r="G81" s="913" t="s">
        <v>49</v>
      </c>
      <c r="H81" s="913"/>
      <c r="I81" s="913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722" t="s">
        <v>707</v>
      </c>
      <c r="C83" s="722"/>
      <c r="D83" s="722"/>
      <c r="E83" s="722"/>
      <c r="F83" s="722"/>
      <c r="G83" s="722"/>
      <c r="H83" s="209">
        <v>3</v>
      </c>
      <c r="I83" s="818" t="s">
        <v>199</v>
      </c>
      <c r="J83" s="818"/>
      <c r="K83" s="818"/>
      <c r="L83" s="818"/>
      <c r="M83" s="818"/>
      <c r="N83" s="154"/>
    </row>
    <row r="84" spans="2:14" s="60" customFormat="1" ht="15" customHeight="1">
      <c r="B84" s="722" t="s">
        <v>664</v>
      </c>
      <c r="C84" s="722"/>
      <c r="D84" s="722"/>
      <c r="E84" s="722"/>
      <c r="F84" s="722"/>
      <c r="G84" s="722"/>
      <c r="H84" s="722"/>
      <c r="I84" s="722"/>
      <c r="J84" s="722"/>
      <c r="K84" s="722"/>
      <c r="L84" s="722"/>
      <c r="M84" s="722"/>
      <c r="N84" s="722"/>
    </row>
    <row r="85" spans="2:14" s="60" customFormat="1" ht="15" customHeight="1">
      <c r="B85" s="722" t="s">
        <v>178</v>
      </c>
      <c r="C85" s="722"/>
      <c r="D85" s="722"/>
      <c r="E85" s="722"/>
      <c r="F85" s="722"/>
      <c r="G85" s="722"/>
      <c r="H85" s="722"/>
      <c r="I85" s="722"/>
      <c r="J85" s="722"/>
      <c r="K85" s="722"/>
      <c r="L85" s="722"/>
      <c r="M85" s="722"/>
      <c r="N85" s="722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723" t="s">
        <v>179</v>
      </c>
      <c r="C87" s="723"/>
      <c r="D87" s="723"/>
      <c r="E87" s="723"/>
      <c r="F87" s="723"/>
      <c r="G87" s="723"/>
      <c r="H87" s="723"/>
      <c r="I87" s="723"/>
      <c r="J87" s="723"/>
      <c r="K87" s="723"/>
      <c r="L87" s="723"/>
      <c r="M87" s="723"/>
      <c r="N87" s="723"/>
    </row>
    <row r="88" spans="2:14" s="60" customFormat="1" ht="15" customHeight="1">
      <c r="B88" s="723" t="s">
        <v>180</v>
      </c>
      <c r="C88" s="723"/>
      <c r="D88" s="723"/>
      <c r="E88" s="723"/>
      <c r="F88" s="723"/>
      <c r="G88" s="723"/>
      <c r="H88" s="723"/>
      <c r="I88" s="723"/>
      <c r="J88" s="723"/>
      <c r="K88" s="723"/>
      <c r="L88" s="723"/>
      <c r="M88" s="723"/>
      <c r="N88" s="723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916" t="s">
        <v>205</v>
      </c>
      <c r="C90" s="737"/>
      <c r="D90" s="737" t="s">
        <v>494</v>
      </c>
      <c r="E90" s="737"/>
      <c r="F90" s="737" t="s">
        <v>779</v>
      </c>
      <c r="G90" s="737"/>
      <c r="H90" s="737" t="s">
        <v>758</v>
      </c>
      <c r="I90" s="737"/>
      <c r="J90" s="728" t="s">
        <v>181</v>
      </c>
      <c r="K90" s="728"/>
      <c r="L90" s="728"/>
      <c r="M90" s="728" t="s">
        <v>202</v>
      </c>
      <c r="N90" s="770"/>
    </row>
    <row r="91" spans="2:14" ht="15" customHeight="1">
      <c r="B91" s="733"/>
      <c r="C91" s="734"/>
      <c r="D91" s="734"/>
      <c r="E91" s="734"/>
      <c r="F91" s="734"/>
      <c r="G91" s="734"/>
      <c r="H91" s="734"/>
      <c r="I91" s="734"/>
      <c r="J91" s="769"/>
      <c r="K91" s="769"/>
      <c r="L91" s="769"/>
      <c r="M91" s="769"/>
      <c r="N91" s="917"/>
    </row>
    <row r="92" spans="2:14" ht="15" customHeight="1">
      <c r="B92" s="864" t="s">
        <v>649</v>
      </c>
      <c r="C92" s="819"/>
      <c r="D92" s="819" t="s">
        <v>666</v>
      </c>
      <c r="E92" s="819"/>
      <c r="F92" s="903" t="e">
        <f>#REF!</f>
        <v>#REF!</v>
      </c>
      <c r="G92" s="903"/>
      <c r="H92" s="872" t="e">
        <f>#REF!</f>
        <v>#REF!</v>
      </c>
      <c r="I92" s="872"/>
      <c r="J92" s="868" t="s">
        <v>646</v>
      </c>
      <c r="K92" s="868"/>
      <c r="L92" s="868"/>
      <c r="M92" s="914" t="s">
        <v>203</v>
      </c>
      <c r="N92" s="915"/>
    </row>
    <row r="93" spans="2:14" ht="15" customHeight="1">
      <c r="B93" s="864" t="s">
        <v>466</v>
      </c>
      <c r="C93" s="819"/>
      <c r="D93" s="868" t="s">
        <v>466</v>
      </c>
      <c r="E93" s="868"/>
      <c r="F93" s="872" t="e">
        <f>#REF!</f>
        <v>#REF!</v>
      </c>
      <c r="G93" s="872"/>
      <c r="H93" s="872" t="e">
        <f>#REF!</f>
        <v>#REF!</v>
      </c>
      <c r="I93" s="872"/>
      <c r="J93" s="868" t="s">
        <v>466</v>
      </c>
      <c r="K93" s="868"/>
      <c r="L93" s="868"/>
      <c r="M93" s="914" t="s">
        <v>203</v>
      </c>
      <c r="N93" s="915"/>
    </row>
    <row r="94" spans="2:14" ht="15" customHeight="1">
      <c r="B94" s="851" t="s">
        <v>805</v>
      </c>
      <c r="C94" s="850"/>
      <c r="D94" s="849" t="s">
        <v>805</v>
      </c>
      <c r="E94" s="850"/>
      <c r="F94" s="847" t="e">
        <f>#REF!</f>
        <v>#REF!</v>
      </c>
      <c r="G94" s="848"/>
      <c r="H94" s="847" t="e">
        <f>#REF!</f>
        <v>#REF!</v>
      </c>
      <c r="I94" s="848"/>
      <c r="J94" s="844" t="s">
        <v>805</v>
      </c>
      <c r="K94" s="845"/>
      <c r="L94" s="846"/>
      <c r="M94" s="842" t="s">
        <v>203</v>
      </c>
      <c r="N94" s="843"/>
    </row>
    <row r="95" spans="2:14" ht="15" customHeight="1" thickBot="1">
      <c r="B95" s="865" t="s">
        <v>665</v>
      </c>
      <c r="C95" s="866"/>
      <c r="D95" s="866" t="s">
        <v>667</v>
      </c>
      <c r="E95" s="866"/>
      <c r="F95" s="871" t="e">
        <f>#REF!+#REF!</f>
        <v>#REF!</v>
      </c>
      <c r="G95" s="871"/>
      <c r="H95" s="871" t="e">
        <f>#REF!+#REF!</f>
        <v>#REF!</v>
      </c>
      <c r="I95" s="871"/>
      <c r="J95" s="867" t="s">
        <v>669</v>
      </c>
      <c r="K95" s="867"/>
      <c r="L95" s="867"/>
      <c r="M95" s="862" t="s">
        <v>668</v>
      </c>
      <c r="N95" s="863"/>
    </row>
    <row r="96" spans="2:14" ht="15" customHeight="1" thickBot="1">
      <c r="B96" s="59"/>
      <c r="C96" s="59"/>
      <c r="D96" s="59"/>
      <c r="F96" s="873" t="e">
        <f>SUM(F92:F95)</f>
        <v>#REF!</v>
      </c>
      <c r="G96" s="874"/>
      <c r="H96" s="869" t="e">
        <f>SUM(H92:I95)</f>
        <v>#REF!</v>
      </c>
      <c r="I96" s="870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723" t="s">
        <v>182</v>
      </c>
      <c r="C98" s="723"/>
      <c r="D98" s="723"/>
      <c r="E98" s="723"/>
      <c r="F98" s="723"/>
      <c r="G98" s="723"/>
      <c r="H98" s="723"/>
      <c r="I98" s="723"/>
      <c r="J98" s="723"/>
      <c r="K98" s="723"/>
      <c r="L98" s="723"/>
      <c r="M98" s="723"/>
      <c r="N98" s="723"/>
    </row>
    <row r="99" spans="2:14" s="60" customFormat="1" ht="15" customHeight="1">
      <c r="B99" s="721" t="s">
        <v>190</v>
      </c>
      <c r="C99" s="721"/>
      <c r="D99" s="721"/>
      <c r="E99" s="721"/>
      <c r="F99" s="721"/>
      <c r="G99" s="721"/>
      <c r="H99" s="721"/>
      <c r="I99" s="721"/>
      <c r="J99" s="721"/>
      <c r="K99" s="721"/>
      <c r="L99" s="721"/>
      <c r="M99" s="721"/>
      <c r="N99" s="721"/>
    </row>
    <row r="100" spans="2:14" s="60" customFormat="1" ht="15" customHeight="1">
      <c r="B100" s="721" t="s">
        <v>191</v>
      </c>
      <c r="C100" s="721"/>
      <c r="D100" s="721"/>
      <c r="E100" s="721"/>
      <c r="F100" s="721"/>
      <c r="G100" s="721"/>
      <c r="H100" s="721"/>
      <c r="I100" s="721"/>
      <c r="J100" s="721"/>
      <c r="K100" s="721"/>
      <c r="L100" s="721"/>
      <c r="M100" s="721"/>
      <c r="N100" s="721"/>
    </row>
    <row r="101" spans="2:14" s="60" customFormat="1" ht="15" customHeight="1">
      <c r="B101" s="721" t="s">
        <v>183</v>
      </c>
      <c r="C101" s="721"/>
      <c r="D101" s="721"/>
      <c r="E101" s="721"/>
      <c r="F101" s="721"/>
      <c r="G101" s="721"/>
      <c r="H101" s="721"/>
      <c r="I101" s="721"/>
      <c r="J101" s="721"/>
      <c r="K101" s="721"/>
      <c r="L101" s="721"/>
      <c r="M101" s="721"/>
      <c r="N101" s="721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852" t="s">
        <v>184</v>
      </c>
      <c r="C103" s="801"/>
      <c r="D103" s="801"/>
      <c r="E103" s="801" t="s">
        <v>186</v>
      </c>
      <c r="F103" s="801"/>
      <c r="G103" s="801"/>
      <c r="H103" s="801" t="s">
        <v>185</v>
      </c>
      <c r="I103" s="801"/>
      <c r="J103" s="801"/>
      <c r="K103" s="801" t="s">
        <v>202</v>
      </c>
      <c r="L103" s="801"/>
      <c r="M103" s="906"/>
      <c r="N103" s="154"/>
    </row>
    <row r="104" spans="2:14" ht="15" customHeight="1" thickBot="1">
      <c r="B104" s="853"/>
      <c r="C104" s="854"/>
      <c r="D104" s="854"/>
      <c r="E104" s="854"/>
      <c r="F104" s="854"/>
      <c r="G104" s="854"/>
      <c r="H104" s="854"/>
      <c r="I104" s="854"/>
      <c r="J104" s="854"/>
      <c r="K104" s="854"/>
      <c r="L104" s="854"/>
      <c r="M104" s="907"/>
      <c r="N104" s="154"/>
    </row>
    <row r="105" spans="2:14" ht="15" customHeight="1">
      <c r="B105" s="857" t="s">
        <v>655</v>
      </c>
      <c r="C105" s="858"/>
      <c r="D105" s="858"/>
      <c r="E105" s="905" t="e">
        <f>#REF!</f>
        <v>#REF!</v>
      </c>
      <c r="F105" s="905"/>
      <c r="G105" s="905"/>
      <c r="H105" s="859" t="e">
        <f>#REF!</f>
        <v>#REF!</v>
      </c>
      <c r="I105" s="859"/>
      <c r="J105" s="859"/>
      <c r="K105" s="855" t="s">
        <v>203</v>
      </c>
      <c r="L105" s="855"/>
      <c r="M105" s="856"/>
      <c r="N105" s="154"/>
    </row>
    <row r="106" spans="2:14" ht="15" customHeight="1">
      <c r="B106" s="838" t="s">
        <v>662</v>
      </c>
      <c r="C106" s="839"/>
      <c r="D106" s="839"/>
      <c r="E106" s="904" t="e">
        <f>#REF!</f>
        <v>#REF!</v>
      </c>
      <c r="F106" s="904"/>
      <c r="G106" s="904"/>
      <c r="H106" s="840" t="e">
        <f>#REF!</f>
        <v>#REF!</v>
      </c>
      <c r="I106" s="840"/>
      <c r="J106" s="840"/>
      <c r="K106" s="860" t="s">
        <v>204</v>
      </c>
      <c r="L106" s="860"/>
      <c r="M106" s="861"/>
      <c r="N106" s="154"/>
    </row>
    <row r="107" spans="2:14" ht="15" customHeight="1">
      <c r="B107" s="838" t="s">
        <v>656</v>
      </c>
      <c r="C107" s="839"/>
      <c r="D107" s="839"/>
      <c r="E107" s="904" t="e">
        <f>#REF!</f>
        <v>#REF!</v>
      </c>
      <c r="F107" s="904"/>
      <c r="G107" s="904"/>
      <c r="H107" s="840" t="e">
        <f>#REF!</f>
        <v>#REF!</v>
      </c>
      <c r="I107" s="840"/>
      <c r="J107" s="840"/>
      <c r="K107" s="860" t="s">
        <v>204</v>
      </c>
      <c r="L107" s="860"/>
      <c r="M107" s="861"/>
      <c r="N107" s="154"/>
    </row>
    <row r="108" spans="2:14" ht="15" customHeight="1">
      <c r="B108" s="838" t="s">
        <v>661</v>
      </c>
      <c r="C108" s="839"/>
      <c r="D108" s="839"/>
      <c r="E108" s="904" t="e">
        <f>#REF!</f>
        <v>#REF!</v>
      </c>
      <c r="F108" s="904"/>
      <c r="G108" s="904"/>
      <c r="H108" s="840" t="e">
        <f>#REF!</f>
        <v>#REF!</v>
      </c>
      <c r="I108" s="840"/>
      <c r="J108" s="840"/>
      <c r="K108" s="860" t="s">
        <v>204</v>
      </c>
      <c r="L108" s="860"/>
      <c r="M108" s="861"/>
      <c r="N108" s="154"/>
    </row>
    <row r="109" spans="2:14" ht="15" customHeight="1">
      <c r="B109" s="838" t="s">
        <v>658</v>
      </c>
      <c r="C109" s="839"/>
      <c r="D109" s="839"/>
      <c r="E109" s="904" t="e">
        <f>#REF!</f>
        <v>#REF!</v>
      </c>
      <c r="F109" s="904"/>
      <c r="G109" s="904"/>
      <c r="H109" s="840" t="e">
        <f>#REF!</f>
        <v>#REF!</v>
      </c>
      <c r="I109" s="840"/>
      <c r="J109" s="840"/>
      <c r="K109" s="860" t="s">
        <v>481</v>
      </c>
      <c r="L109" s="860"/>
      <c r="M109" s="861"/>
      <c r="N109" s="154"/>
    </row>
    <row r="110" spans="2:14" ht="15" customHeight="1">
      <c r="B110" s="838" t="s">
        <v>657</v>
      </c>
      <c r="C110" s="839"/>
      <c r="D110" s="839"/>
      <c r="E110" s="904" t="e">
        <f>#REF!</f>
        <v>#REF!</v>
      </c>
      <c r="F110" s="904"/>
      <c r="G110" s="904"/>
      <c r="H110" s="840" t="e">
        <f>#REF!</f>
        <v>#REF!</v>
      </c>
      <c r="I110" s="840"/>
      <c r="J110" s="840"/>
      <c r="K110" s="860" t="s">
        <v>481</v>
      </c>
      <c r="L110" s="860"/>
      <c r="M110" s="861"/>
      <c r="N110" s="154"/>
    </row>
    <row r="111" spans="2:14" ht="15" customHeight="1" thickBot="1">
      <c r="B111" s="886" t="s">
        <v>723</v>
      </c>
      <c r="C111" s="887"/>
      <c r="D111" s="887"/>
      <c r="E111" s="881" t="e">
        <f>#REF!</f>
        <v>#REF!</v>
      </c>
      <c r="F111" s="881"/>
      <c r="G111" s="881"/>
      <c r="H111" s="841" t="e">
        <f>#REF!</f>
        <v>#REF!</v>
      </c>
      <c r="I111" s="841"/>
      <c r="J111" s="841"/>
      <c r="K111" s="882" t="s">
        <v>668</v>
      </c>
      <c r="L111" s="882"/>
      <c r="M111" s="883"/>
      <c r="N111" s="154"/>
    </row>
    <row r="112" spans="2:14" s="60" customFormat="1" ht="15" customHeight="1">
      <c r="B112" s="723" t="s">
        <v>187</v>
      </c>
      <c r="C112" s="723"/>
      <c r="D112" s="723"/>
      <c r="E112" s="723"/>
      <c r="F112" s="723"/>
      <c r="G112" s="723"/>
      <c r="H112" s="723"/>
      <c r="I112" s="723"/>
      <c r="J112" s="723"/>
      <c r="K112" s="723"/>
      <c r="L112" s="723"/>
      <c r="M112" s="723"/>
      <c r="N112" s="225"/>
    </row>
    <row r="113" spans="2:14" s="60" customFormat="1" ht="15" customHeight="1">
      <c r="B113" s="721" t="s">
        <v>188</v>
      </c>
      <c r="C113" s="721"/>
      <c r="D113" s="721"/>
      <c r="E113" s="721"/>
      <c r="F113" s="721"/>
      <c r="G113" s="721"/>
      <c r="H113" s="721"/>
      <c r="I113" s="721"/>
      <c r="J113" s="721"/>
      <c r="K113" s="721"/>
      <c r="L113" s="721"/>
      <c r="M113" s="721"/>
      <c r="N113" s="721"/>
    </row>
    <row r="114" spans="2:14" s="60" customFormat="1" ht="15" customHeight="1">
      <c r="B114" s="721" t="s">
        <v>714</v>
      </c>
      <c r="C114" s="721"/>
      <c r="D114" s="721"/>
      <c r="E114" s="721"/>
      <c r="F114" s="721"/>
      <c r="G114" s="721"/>
      <c r="H114" s="721"/>
      <c r="I114" s="721"/>
      <c r="J114" s="721"/>
      <c r="K114" s="721"/>
      <c r="L114" s="721"/>
      <c r="M114" s="721"/>
      <c r="N114" s="721"/>
    </row>
    <row r="115" spans="2:14" s="60" customFormat="1" ht="15" customHeight="1">
      <c r="B115" s="721" t="s">
        <v>716</v>
      </c>
      <c r="C115" s="721"/>
      <c r="D115" s="721"/>
      <c r="E115" s="721"/>
      <c r="F115" s="721"/>
      <c r="G115" s="721"/>
      <c r="H115" s="721"/>
      <c r="I115" s="721"/>
      <c r="J115" s="721"/>
      <c r="K115" s="721"/>
      <c r="L115" s="721"/>
      <c r="M115" s="721"/>
      <c r="N115" s="721"/>
    </row>
    <row r="116" spans="2:14" s="60" customFormat="1" ht="15" customHeight="1">
      <c r="B116" s="721" t="s">
        <v>715</v>
      </c>
      <c r="C116" s="721"/>
      <c r="D116" s="721"/>
      <c r="E116" s="721"/>
      <c r="F116" s="721"/>
      <c r="G116" s="721"/>
      <c r="H116" s="721"/>
      <c r="I116" s="721"/>
      <c r="J116" s="721"/>
      <c r="K116" s="721"/>
      <c r="L116" s="721"/>
      <c r="M116" s="721"/>
      <c r="N116" s="721"/>
    </row>
    <row r="117" spans="2:14" s="60" customFormat="1" ht="15" customHeight="1">
      <c r="B117" s="721" t="s">
        <v>439</v>
      </c>
      <c r="C117" s="721"/>
      <c r="D117" s="721"/>
      <c r="E117" s="721"/>
      <c r="F117" s="721"/>
      <c r="G117" s="721"/>
      <c r="H117" s="721"/>
      <c r="I117" s="721"/>
      <c r="J117" s="721"/>
      <c r="K117" s="721"/>
      <c r="L117" s="721"/>
      <c r="M117" s="721"/>
      <c r="N117" s="721"/>
    </row>
    <row r="118" spans="2:14" s="60" customFormat="1" ht="15" customHeight="1">
      <c r="B118" s="721" t="s">
        <v>440</v>
      </c>
      <c r="C118" s="721"/>
      <c r="D118" s="721"/>
      <c r="E118" s="721"/>
      <c r="F118" s="721"/>
      <c r="G118" s="721"/>
      <c r="H118" s="721"/>
      <c r="I118" s="721"/>
      <c r="J118" s="721"/>
      <c r="K118" s="721"/>
      <c r="L118" s="721"/>
      <c r="M118" s="721"/>
      <c r="N118" s="721"/>
    </row>
    <row r="119" spans="2:14" s="60" customFormat="1" ht="15" customHeight="1">
      <c r="B119" s="721" t="s">
        <v>441</v>
      </c>
      <c r="C119" s="721"/>
      <c r="D119" s="721"/>
      <c r="E119" s="721"/>
      <c r="F119" s="721"/>
      <c r="G119" s="721"/>
      <c r="H119" s="721"/>
      <c r="I119" s="721"/>
      <c r="J119" s="721"/>
      <c r="K119" s="721"/>
      <c r="L119" s="721"/>
      <c r="M119" s="721"/>
      <c r="N119" s="721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723" t="s">
        <v>189</v>
      </c>
      <c r="C121" s="723"/>
      <c r="D121" s="723"/>
      <c r="E121" s="723"/>
      <c r="F121" s="723"/>
      <c r="G121" s="723"/>
      <c r="H121" s="723"/>
      <c r="I121" s="723"/>
      <c r="J121" s="723"/>
      <c r="K121" s="723"/>
      <c r="L121" s="723"/>
      <c r="M121" s="723"/>
      <c r="N121" s="723"/>
    </row>
    <row r="122" spans="2:14" s="60" customFormat="1" ht="15" customHeight="1">
      <c r="B122" s="721" t="s">
        <v>192</v>
      </c>
      <c r="C122" s="721"/>
      <c r="D122" s="721"/>
      <c r="E122" s="721"/>
      <c r="F122" s="721"/>
      <c r="G122" s="721"/>
      <c r="H122" s="721"/>
      <c r="I122" s="721"/>
      <c r="J122" s="721"/>
      <c r="K122" s="721"/>
      <c r="L122" s="721"/>
      <c r="M122" s="721"/>
      <c r="N122" s="721"/>
    </row>
    <row r="123" spans="2:14" s="60" customFormat="1" ht="15" customHeight="1">
      <c r="B123" s="721" t="s">
        <v>193</v>
      </c>
      <c r="C123" s="721"/>
      <c r="D123" s="721"/>
      <c r="E123" s="721"/>
      <c r="F123" s="721"/>
      <c r="G123" s="721"/>
      <c r="H123" s="721"/>
      <c r="I123" s="721"/>
      <c r="J123" s="721"/>
      <c r="K123" s="721"/>
      <c r="L123" s="721"/>
      <c r="M123" s="721"/>
      <c r="N123" s="721"/>
    </row>
    <row r="124" spans="2:14" s="60" customFormat="1" ht="15" customHeight="1">
      <c r="B124" s="721" t="s">
        <v>194</v>
      </c>
      <c r="C124" s="721"/>
      <c r="D124" s="721"/>
      <c r="E124" s="721"/>
      <c r="F124" s="721"/>
      <c r="G124" s="721"/>
      <c r="H124" s="721"/>
      <c r="I124" s="721"/>
      <c r="J124" s="721"/>
      <c r="K124" s="721"/>
      <c r="L124" s="721"/>
      <c r="M124" s="721"/>
      <c r="N124" s="721"/>
    </row>
    <row r="125" spans="2:14" s="60" customFormat="1" ht="15" customHeight="1">
      <c r="B125" s="721" t="s">
        <v>195</v>
      </c>
      <c r="C125" s="721"/>
      <c r="D125" s="721"/>
      <c r="E125" s="721"/>
      <c r="F125" s="721"/>
      <c r="G125" s="721"/>
      <c r="H125" s="721"/>
      <c r="I125" s="721"/>
      <c r="J125" s="721"/>
      <c r="K125" s="721"/>
      <c r="L125" s="721"/>
      <c r="M125" s="721"/>
      <c r="N125" s="721"/>
    </row>
    <row r="126" spans="2:14" s="60" customFormat="1" ht="15" customHeight="1">
      <c r="B126" s="721" t="s">
        <v>196</v>
      </c>
      <c r="C126" s="721"/>
      <c r="D126" s="721"/>
      <c r="E126" s="721"/>
      <c r="F126" s="721"/>
      <c r="G126" s="721"/>
      <c r="H126" s="721"/>
      <c r="I126" s="721"/>
      <c r="J126" s="721"/>
      <c r="K126" s="721"/>
      <c r="L126" s="721"/>
      <c r="M126" s="721"/>
      <c r="N126" s="721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727" t="s">
        <v>197</v>
      </c>
      <c r="F128" s="728"/>
      <c r="G128" s="737" t="s">
        <v>717</v>
      </c>
      <c r="H128" s="738"/>
      <c r="N128" s="154"/>
    </row>
    <row r="129" spans="2:14" ht="15" customHeight="1" thickBot="1">
      <c r="E129" s="729"/>
      <c r="F129" s="730"/>
      <c r="G129" s="739"/>
      <c r="H129" s="740"/>
      <c r="N129" s="154"/>
    </row>
    <row r="130" spans="2:14" ht="15" customHeight="1">
      <c r="B130" s="59"/>
      <c r="C130" s="59"/>
      <c r="E130" s="735" t="str">
        <f>D92</f>
        <v>CASA 1</v>
      </c>
      <c r="F130" s="736"/>
      <c r="G130" s="764" t="e">
        <f>ROUND(F92/F96*100,2)</f>
        <v>#REF!</v>
      </c>
      <c r="H130" s="765"/>
      <c r="I130" s="59"/>
      <c r="N130" s="154"/>
    </row>
    <row r="131" spans="2:14" ht="15" customHeight="1">
      <c r="B131" s="59"/>
      <c r="C131" s="59"/>
      <c r="E131" s="884" t="s">
        <v>805</v>
      </c>
      <c r="F131" s="885"/>
      <c r="G131" s="764" t="e">
        <f>ROUND(F93/F96*100,2)</f>
        <v>#REF!</v>
      </c>
      <c r="H131" s="765"/>
      <c r="I131" s="59"/>
      <c r="N131" s="154"/>
    </row>
    <row r="132" spans="2:14" ht="15" customHeight="1">
      <c r="E132" s="733" t="str">
        <f>D93</f>
        <v>ESTACIONAMIENTO</v>
      </c>
      <c r="F132" s="734"/>
      <c r="G132" s="764" t="e">
        <f>ROUND(F94/F96*100,2)</f>
        <v>#REF!</v>
      </c>
      <c r="H132" s="765"/>
      <c r="N132" s="154"/>
    </row>
    <row r="133" spans="2:14" ht="15" customHeight="1" thickBot="1">
      <c r="B133" s="59"/>
      <c r="C133" s="59"/>
      <c r="E133" s="924" t="str">
        <f>D95</f>
        <v>CASA 2</v>
      </c>
      <c r="F133" s="925"/>
      <c r="G133" s="764" t="e">
        <f>ROUND(F95/F96*100,2)</f>
        <v>#REF!</v>
      </c>
      <c r="H133" s="765"/>
      <c r="I133" s="59"/>
      <c r="N133" s="154"/>
    </row>
    <row r="134" spans="2:14" ht="15" customHeight="1" thickBot="1">
      <c r="E134" s="731" t="s">
        <v>60</v>
      </c>
      <c r="F134" s="732"/>
      <c r="G134" s="803" t="e">
        <f>SUM(G130:H133)</f>
        <v>#REF!</v>
      </c>
      <c r="H134" s="804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725" t="s">
        <v>216</v>
      </c>
      <c r="C136" s="725"/>
      <c r="D136" s="725"/>
      <c r="E136" s="725"/>
      <c r="F136" s="725"/>
      <c r="G136" s="725"/>
      <c r="H136" s="725"/>
      <c r="I136" s="725"/>
      <c r="J136" s="725"/>
      <c r="K136" s="725"/>
      <c r="L136" s="725"/>
      <c r="M136" s="725"/>
      <c r="N136" s="725"/>
    </row>
    <row r="137" spans="2:14" s="60" customFormat="1" ht="15" customHeight="1">
      <c r="B137" s="722" t="s">
        <v>192</v>
      </c>
      <c r="C137" s="722"/>
      <c r="D137" s="722"/>
      <c r="E137" s="722"/>
      <c r="F137" s="722"/>
      <c r="G137" s="722"/>
      <c r="H137" s="722"/>
      <c r="I137" s="722"/>
      <c r="J137" s="722"/>
      <c r="K137" s="722"/>
      <c r="L137" s="722"/>
      <c r="M137" s="722"/>
      <c r="N137" s="722"/>
    </row>
    <row r="138" spans="2:14" s="60" customFormat="1" ht="15" customHeight="1">
      <c r="B138" s="722" t="s">
        <v>217</v>
      </c>
      <c r="C138" s="722"/>
      <c r="D138" s="722"/>
      <c r="E138" s="722"/>
      <c r="F138" s="722"/>
      <c r="G138" s="722"/>
      <c r="H138" s="722"/>
      <c r="I138" s="722"/>
      <c r="J138" s="722"/>
      <c r="K138" s="722"/>
      <c r="L138" s="722"/>
      <c r="M138" s="722"/>
      <c r="N138" s="722"/>
    </row>
    <row r="139" spans="2:14" s="60" customFormat="1" ht="15" customHeight="1">
      <c r="B139" s="722" t="s">
        <v>218</v>
      </c>
      <c r="C139" s="722"/>
      <c r="D139" s="722"/>
      <c r="E139" s="722"/>
      <c r="F139" s="722"/>
      <c r="G139" s="722"/>
      <c r="H139" s="722"/>
      <c r="I139" s="722"/>
      <c r="J139" s="722"/>
      <c r="K139" s="722"/>
      <c r="L139" s="722"/>
      <c r="M139" s="722"/>
      <c r="N139" s="722"/>
    </row>
    <row r="140" spans="2:14" s="60" customFormat="1" ht="15" customHeight="1">
      <c r="B140" s="755" t="s">
        <v>219</v>
      </c>
      <c r="C140" s="755"/>
      <c r="D140" s="755"/>
      <c r="E140" s="755"/>
      <c r="F140" s="755"/>
      <c r="G140" s="755"/>
      <c r="H140" s="755"/>
      <c r="I140" s="755"/>
      <c r="J140" s="755"/>
      <c r="K140" s="755"/>
      <c r="L140" s="755"/>
      <c r="M140" s="755"/>
      <c r="N140" s="755"/>
    </row>
    <row r="141" spans="2:14" s="60" customFormat="1" ht="15" customHeight="1">
      <c r="B141" s="722" t="s">
        <v>442</v>
      </c>
      <c r="C141" s="722"/>
      <c r="D141" s="722"/>
      <c r="E141" s="722"/>
      <c r="F141" s="722"/>
      <c r="G141" s="722"/>
      <c r="H141" s="722"/>
      <c r="I141" s="722"/>
      <c r="J141" s="722"/>
      <c r="K141" s="722"/>
      <c r="L141" s="722"/>
      <c r="M141" s="722"/>
      <c r="N141" s="722"/>
    </row>
    <row r="142" spans="2:14" s="60" customFormat="1" ht="15" customHeight="1">
      <c r="B142" s="722" t="s">
        <v>443</v>
      </c>
      <c r="C142" s="722"/>
      <c r="D142" s="722"/>
      <c r="E142" s="722"/>
      <c r="F142" s="722"/>
      <c r="G142" s="722"/>
      <c r="H142" s="722"/>
      <c r="I142" s="722"/>
      <c r="J142" s="722"/>
      <c r="K142" s="722"/>
      <c r="L142" s="722"/>
      <c r="M142" s="722"/>
      <c r="N142" s="722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727" t="s">
        <v>197</v>
      </c>
      <c r="F144" s="728"/>
      <c r="G144" s="737" t="s">
        <v>717</v>
      </c>
      <c r="H144" s="738"/>
      <c r="I144" s="104"/>
      <c r="J144" s="154"/>
      <c r="K144" s="154"/>
      <c r="L144" s="154"/>
      <c r="M144" s="154"/>
      <c r="N144" s="154"/>
    </row>
    <row r="145" spans="1:14" ht="15" customHeight="1" thickBot="1">
      <c r="E145" s="729"/>
      <c r="F145" s="730"/>
      <c r="G145" s="739"/>
      <c r="H145" s="740"/>
      <c r="N145" s="154"/>
    </row>
    <row r="146" spans="1:14" ht="15" customHeight="1">
      <c r="E146" s="773" t="str">
        <f>E130</f>
        <v>CASA 1</v>
      </c>
      <c r="F146" s="774"/>
      <c r="G146" s="764" t="e">
        <f>G130</f>
        <v>#REF!</v>
      </c>
      <c r="H146" s="765"/>
      <c r="N146" s="154"/>
    </row>
    <row r="147" spans="1:14" ht="15" customHeight="1">
      <c r="E147" s="922" t="s">
        <v>805</v>
      </c>
      <c r="F147" s="923"/>
      <c r="G147" s="920" t="e">
        <f>G131</f>
        <v>#REF!</v>
      </c>
      <c r="H147" s="921"/>
      <c r="N147" s="154"/>
    </row>
    <row r="148" spans="1:14" ht="15" customHeight="1">
      <c r="B148" s="59"/>
      <c r="C148" s="59"/>
      <c r="E148" s="768" t="str">
        <f>E132</f>
        <v>ESTACIONAMIENTO</v>
      </c>
      <c r="F148" s="769"/>
      <c r="G148" s="762" t="e">
        <f>G132</f>
        <v>#REF!</v>
      </c>
      <c r="H148" s="763"/>
      <c r="I148" s="59"/>
      <c r="N148" s="154"/>
    </row>
    <row r="149" spans="1:14" ht="15" customHeight="1" thickBot="1">
      <c r="B149" s="59"/>
      <c r="C149" s="59"/>
      <c r="E149" s="831" t="str">
        <f>E133</f>
        <v>CASA 2</v>
      </c>
      <c r="F149" s="832"/>
      <c r="G149" s="833" t="e">
        <f>G133</f>
        <v>#REF!</v>
      </c>
      <c r="H149" s="834"/>
      <c r="I149" s="59"/>
      <c r="N149" s="154"/>
    </row>
    <row r="150" spans="1:14" ht="15" customHeight="1" thickBot="1">
      <c r="B150" s="59"/>
      <c r="C150" s="59"/>
      <c r="E150" s="835" t="s">
        <v>60</v>
      </c>
      <c r="F150" s="836"/>
      <c r="G150" s="803" t="e">
        <f>G134</f>
        <v>#REF!</v>
      </c>
      <c r="H150" s="804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723" t="s">
        <v>225</v>
      </c>
      <c r="C152" s="723"/>
      <c r="D152" s="723"/>
      <c r="E152" s="723"/>
      <c r="F152" s="723"/>
      <c r="G152" s="723"/>
      <c r="H152" s="723"/>
      <c r="I152" s="723"/>
      <c r="J152" s="723"/>
      <c r="K152" s="723"/>
      <c r="L152" s="723"/>
      <c r="M152" s="723"/>
      <c r="N152" s="723"/>
    </row>
    <row r="153" spans="1:14" s="60" customFormat="1" ht="15" customHeight="1">
      <c r="B153" s="721" t="s">
        <v>226</v>
      </c>
      <c r="C153" s="721"/>
      <c r="D153" s="721"/>
      <c r="E153" s="721"/>
      <c r="F153" s="721"/>
      <c r="G153" s="721"/>
      <c r="H153" s="721"/>
      <c r="I153" s="721"/>
      <c r="J153" s="721"/>
      <c r="K153" s="721"/>
      <c r="L153" s="721"/>
      <c r="M153" s="721"/>
      <c r="N153" s="721"/>
    </row>
    <row r="154" spans="1:14" s="60" customFormat="1" ht="15" customHeight="1">
      <c r="B154" s="721" t="s">
        <v>322</v>
      </c>
      <c r="C154" s="721"/>
      <c r="D154" s="721"/>
      <c r="E154" s="721"/>
      <c r="F154" s="721"/>
      <c r="G154" s="721"/>
      <c r="H154" s="721"/>
      <c r="I154" s="721"/>
      <c r="J154" s="721"/>
      <c r="K154" s="721"/>
      <c r="L154" s="721"/>
      <c r="M154" s="721"/>
      <c r="N154" s="721"/>
    </row>
    <row r="155" spans="1:14" s="60" customFormat="1" ht="15" customHeight="1">
      <c r="B155" s="721" t="s">
        <v>323</v>
      </c>
      <c r="C155" s="721"/>
      <c r="D155" s="721"/>
      <c r="E155" s="721"/>
      <c r="F155" s="721"/>
      <c r="G155" s="721"/>
      <c r="H155" s="721"/>
      <c r="I155" s="721"/>
      <c r="J155" s="721"/>
      <c r="K155" s="721"/>
      <c r="L155" s="721"/>
      <c r="M155" s="721"/>
      <c r="N155" s="721"/>
    </row>
    <row r="156" spans="1:14" s="60" customFormat="1" ht="15" customHeight="1">
      <c r="B156" s="721" t="s">
        <v>227</v>
      </c>
      <c r="C156" s="721"/>
      <c r="D156" s="721"/>
      <c r="E156" s="721"/>
      <c r="F156" s="721"/>
      <c r="G156" s="721"/>
      <c r="H156" s="721"/>
      <c r="I156" s="721"/>
      <c r="J156" s="721"/>
      <c r="K156" s="721"/>
      <c r="L156" s="721"/>
      <c r="M156" s="721"/>
      <c r="N156" s="721"/>
    </row>
    <row r="157" spans="1:14" s="60" customFormat="1" ht="15" customHeight="1">
      <c r="B157" s="721" t="s">
        <v>324</v>
      </c>
      <c r="C157" s="721"/>
      <c r="D157" s="721"/>
      <c r="E157" s="721"/>
      <c r="F157" s="721"/>
      <c r="G157" s="721"/>
      <c r="H157" s="721"/>
      <c r="I157" s="721"/>
      <c r="J157" s="721"/>
      <c r="K157" s="721"/>
      <c r="L157" s="721"/>
      <c r="M157" s="721"/>
      <c r="N157" s="721"/>
    </row>
    <row r="158" spans="1:14" s="317" customFormat="1" ht="15" customHeight="1">
      <c r="A158" s="60"/>
      <c r="B158" s="721" t="s">
        <v>325</v>
      </c>
      <c r="C158" s="721"/>
      <c r="D158" s="721"/>
      <c r="E158" s="721"/>
      <c r="F158" s="721"/>
      <c r="G158" s="721"/>
      <c r="H158" s="721"/>
      <c r="I158" s="721"/>
      <c r="J158" s="721"/>
      <c r="K158" s="721"/>
      <c r="L158" s="721"/>
      <c r="M158" s="721"/>
      <c r="N158" s="721"/>
    </row>
    <row r="159" spans="1:14" s="60" customFormat="1" ht="15" customHeight="1">
      <c r="B159" s="721" t="s">
        <v>228</v>
      </c>
      <c r="C159" s="721"/>
      <c r="D159" s="721"/>
      <c r="E159" s="721"/>
      <c r="F159" s="721"/>
      <c r="G159" s="721"/>
      <c r="H159" s="721"/>
      <c r="I159" s="721"/>
      <c r="J159" s="721"/>
      <c r="K159" s="721"/>
      <c r="L159" s="721"/>
      <c r="M159" s="721"/>
      <c r="N159" s="721"/>
    </row>
    <row r="160" spans="1:14" s="60" customFormat="1" ht="15" customHeight="1">
      <c r="B160" s="721" t="s">
        <v>327</v>
      </c>
      <c r="C160" s="721"/>
      <c r="D160" s="721"/>
      <c r="E160" s="721"/>
      <c r="F160" s="721"/>
      <c r="G160" s="721"/>
      <c r="H160" s="721"/>
      <c r="I160" s="721"/>
      <c r="J160" s="721"/>
      <c r="K160" s="721"/>
      <c r="L160" s="721"/>
      <c r="M160" s="721"/>
      <c r="N160" s="721"/>
    </row>
    <row r="161" spans="2:14" s="60" customFormat="1" ht="15" customHeight="1">
      <c r="B161" s="721" t="s">
        <v>326</v>
      </c>
      <c r="C161" s="721"/>
      <c r="D161" s="721"/>
      <c r="E161" s="721"/>
      <c r="F161" s="721"/>
      <c r="G161" s="721"/>
      <c r="H161" s="721"/>
      <c r="I161" s="721"/>
      <c r="J161" s="721"/>
      <c r="K161" s="721"/>
      <c r="L161" s="721"/>
      <c r="M161" s="721"/>
      <c r="N161" s="721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772" t="s">
        <v>229</v>
      </c>
      <c r="C163" s="772"/>
      <c r="D163" s="772"/>
      <c r="E163" s="772"/>
      <c r="F163" s="772"/>
      <c r="G163" s="772"/>
      <c r="H163" s="772"/>
      <c r="I163" s="772"/>
      <c r="J163" s="772"/>
      <c r="K163" s="772"/>
      <c r="L163" s="772"/>
      <c r="M163" s="772"/>
      <c r="N163" s="772"/>
    </row>
    <row r="164" spans="2:14" ht="15" customHeight="1">
      <c r="B164" s="724" t="s">
        <v>230</v>
      </c>
      <c r="C164" s="724"/>
      <c r="D164" s="724"/>
      <c r="E164" s="724"/>
      <c r="F164" s="724"/>
      <c r="G164" s="724"/>
      <c r="H164" s="724"/>
      <c r="I164" s="724"/>
      <c r="J164" s="724"/>
      <c r="K164" s="724"/>
      <c r="L164" s="724"/>
      <c r="M164" s="724"/>
      <c r="N164" s="724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231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232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233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328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329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330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798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332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333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334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335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336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337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338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234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235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339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340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341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342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343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344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345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346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799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348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236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237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238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349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350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775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352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353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239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354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355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356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240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241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357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358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242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359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360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361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362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800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243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244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245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246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247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248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249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250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364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365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251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366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837" t="s">
        <v>252</v>
      </c>
      <c r="C228" s="837"/>
      <c r="D228" s="837"/>
      <c r="E228" s="837"/>
      <c r="F228" s="837"/>
      <c r="G228" s="837"/>
      <c r="H228" s="837"/>
      <c r="I228" s="837"/>
      <c r="J228" s="837"/>
      <c r="K228" s="837"/>
      <c r="L228" s="837"/>
      <c r="M228" s="837"/>
      <c r="N228" s="837"/>
    </row>
    <row r="229" spans="2:14" ht="15" customHeight="1">
      <c r="B229" s="744" t="s">
        <v>253</v>
      </c>
      <c r="C229" s="744"/>
      <c r="D229" s="744"/>
      <c r="E229" s="744"/>
      <c r="F229" s="744"/>
      <c r="G229" s="744"/>
      <c r="H229" s="744"/>
      <c r="I229" s="744"/>
      <c r="J229" s="744"/>
      <c r="K229" s="744"/>
      <c r="L229" s="744"/>
      <c r="M229" s="744"/>
      <c r="N229" s="744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254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255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367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368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256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257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801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259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260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261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262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369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370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371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372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263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375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376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373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374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264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265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377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378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266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267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268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379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802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776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269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382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383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270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271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803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272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387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388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273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385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386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274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275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276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389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804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277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278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777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392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393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394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279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671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395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280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396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780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398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399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400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401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281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402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403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404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282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283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483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284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591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484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485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285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286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287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288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289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405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406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290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291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292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293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294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295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407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408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409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410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411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412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413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414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296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415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416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417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297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418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419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808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809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298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778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423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424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593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425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426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368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299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300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301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302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743" t="s">
        <v>427</v>
      </c>
      <c r="C353" s="743"/>
      <c r="D353" s="743"/>
      <c r="E353" s="743"/>
      <c r="F353" s="743"/>
      <c r="G353" s="743"/>
      <c r="H353" s="743"/>
      <c r="I353" s="743"/>
      <c r="J353" s="743"/>
      <c r="K353" s="743"/>
      <c r="L353" s="743"/>
      <c r="M353" s="743"/>
      <c r="N353" s="743"/>
    </row>
    <row r="354" spans="2:14" ht="15" customHeight="1">
      <c r="B354" s="744" t="s">
        <v>303</v>
      </c>
      <c r="C354" s="744"/>
      <c r="D354" s="744"/>
      <c r="E354" s="744"/>
      <c r="F354" s="744"/>
      <c r="G354" s="744"/>
      <c r="H354" s="744"/>
      <c r="I354" s="744"/>
      <c r="J354" s="744"/>
      <c r="K354" s="744"/>
      <c r="L354" s="744"/>
      <c r="M354" s="744"/>
      <c r="N354" s="744"/>
    </row>
    <row r="355" spans="2:14" s="60" customFormat="1" ht="15" customHeight="1">
      <c r="B355" s="61" t="s">
        <v>304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305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306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307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308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309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310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311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312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313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594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595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314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596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315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316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317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318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822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320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321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589</v>
      </c>
      <c r="C381" s="50"/>
      <c r="D381" s="50"/>
      <c r="E381" s="50"/>
      <c r="F381" s="821" t="e">
        <f>DATOS!#REF!</f>
        <v>#REF!</v>
      </c>
      <c r="G381" s="821"/>
      <c r="H381" s="821"/>
      <c r="I381" s="821"/>
      <c r="J381" s="822" t="s">
        <v>492</v>
      </c>
      <c r="K381" s="822"/>
      <c r="L381" s="820" t="str">
        <f>DATOS!D7</f>
        <v>-</v>
      </c>
      <c r="M381" s="820"/>
      <c r="N381" s="820"/>
    </row>
    <row r="382" spans="2:14" s="60" customFormat="1" ht="15" customHeight="1">
      <c r="B382" s="211" t="s">
        <v>590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830" t="s">
        <v>811</v>
      </c>
      <c r="C384" s="830"/>
      <c r="D384" s="830"/>
      <c r="E384" s="830"/>
      <c r="F384" s="830"/>
      <c r="G384" s="830"/>
      <c r="H384" s="830"/>
      <c r="I384" s="830"/>
      <c r="J384" s="830"/>
      <c r="K384" s="830"/>
      <c r="L384" s="830"/>
      <c r="M384" s="830"/>
      <c r="N384" s="830"/>
    </row>
    <row r="385" spans="1:14" ht="15" customHeight="1">
      <c r="B385" s="817" t="s">
        <v>810</v>
      </c>
      <c r="C385" s="817"/>
      <c r="D385" s="817"/>
      <c r="E385" s="817"/>
      <c r="F385" s="817"/>
      <c r="G385" s="817"/>
      <c r="H385" s="817"/>
      <c r="I385" s="817"/>
      <c r="J385" s="817"/>
      <c r="K385" s="817"/>
      <c r="L385" s="817"/>
      <c r="M385" s="817"/>
      <c r="N385" s="817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805" t="s">
        <v>814</v>
      </c>
      <c r="C387" s="805"/>
      <c r="D387" s="805"/>
      <c r="E387" s="805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807" t="s">
        <v>759</v>
      </c>
      <c r="C388" s="807"/>
      <c r="D388" s="807"/>
      <c r="E388" s="806" t="s">
        <v>666</v>
      </c>
      <c r="F388" s="806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808" t="s">
        <v>773</v>
      </c>
      <c r="C389" s="808"/>
      <c r="D389" s="808"/>
      <c r="E389" s="880">
        <v>247.095</v>
      </c>
      <c r="F389" s="880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808" t="s">
        <v>761</v>
      </c>
      <c r="C390" s="808"/>
      <c r="D390" s="808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810" t="s">
        <v>762</v>
      </c>
      <c r="D391" s="810"/>
      <c r="E391" s="216" t="s">
        <v>763</v>
      </c>
      <c r="F391" s="748" t="s">
        <v>654</v>
      </c>
      <c r="G391" s="748"/>
      <c r="H391" s="748"/>
      <c r="I391" s="748"/>
      <c r="M391" s="71"/>
      <c r="N391" s="71"/>
    </row>
    <row r="392" spans="1:14" s="59" customFormat="1" ht="16.5" customHeight="1">
      <c r="C392" s="811" t="s">
        <v>764</v>
      </c>
      <c r="D392" s="811"/>
      <c r="E392" s="217">
        <v>1</v>
      </c>
      <c r="F392" s="59" t="s">
        <v>765</v>
      </c>
      <c r="G392" s="59" t="s">
        <v>766</v>
      </c>
      <c r="H392" s="222">
        <v>8.4</v>
      </c>
      <c r="I392" s="218" t="s">
        <v>760</v>
      </c>
      <c r="J392" s="218"/>
      <c r="K392" s="218"/>
      <c r="L392" s="218"/>
      <c r="M392" s="71"/>
      <c r="N392" s="71"/>
    </row>
    <row r="393" spans="1:14" s="59" customFormat="1" ht="16.5" customHeight="1">
      <c r="C393" s="810" t="s">
        <v>92</v>
      </c>
      <c r="D393" s="810"/>
      <c r="E393" s="216" t="s">
        <v>763</v>
      </c>
      <c r="F393" s="748" t="s">
        <v>718</v>
      </c>
      <c r="G393" s="748"/>
      <c r="H393" s="748"/>
      <c r="I393" s="748"/>
      <c r="M393" s="71"/>
      <c r="N393" s="71"/>
    </row>
    <row r="394" spans="1:14" s="59" customFormat="1" ht="16.5" customHeight="1">
      <c r="C394" s="811" t="s">
        <v>764</v>
      </c>
      <c r="D394" s="811"/>
      <c r="E394" s="219">
        <v>5</v>
      </c>
      <c r="F394" s="59" t="s">
        <v>765</v>
      </c>
      <c r="G394" s="59" t="s">
        <v>766</v>
      </c>
      <c r="H394" s="224" t="s">
        <v>770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810" t="s">
        <v>767</v>
      </c>
      <c r="D395" s="810"/>
      <c r="E395" s="216" t="s">
        <v>763</v>
      </c>
      <c r="F395" s="748" t="s">
        <v>719</v>
      </c>
      <c r="G395" s="748"/>
      <c r="H395" s="748"/>
      <c r="I395" s="748"/>
      <c r="M395" s="71"/>
      <c r="N395" s="71"/>
    </row>
    <row r="396" spans="1:14" s="59" customFormat="1" ht="16.5" customHeight="1">
      <c r="C396" s="811" t="s">
        <v>764</v>
      </c>
      <c r="D396" s="811"/>
      <c r="E396" s="219">
        <v>1</v>
      </c>
      <c r="F396" s="59" t="s">
        <v>765</v>
      </c>
      <c r="G396" s="216" t="s">
        <v>766</v>
      </c>
      <c r="H396" s="222">
        <v>24.84</v>
      </c>
      <c r="I396" s="220" t="s">
        <v>760</v>
      </c>
      <c r="J396" s="218"/>
      <c r="K396" s="221"/>
      <c r="L396" s="218"/>
      <c r="M396" s="71"/>
      <c r="N396" s="71"/>
    </row>
    <row r="397" spans="1:14" s="59" customFormat="1" ht="16.5" customHeight="1">
      <c r="C397" s="810" t="s">
        <v>31</v>
      </c>
      <c r="D397" s="810"/>
      <c r="E397" s="216" t="s">
        <v>763</v>
      </c>
      <c r="F397" s="748" t="s">
        <v>720</v>
      </c>
      <c r="G397" s="748"/>
      <c r="H397" s="748"/>
      <c r="I397" s="748"/>
      <c r="M397" s="71"/>
      <c r="N397" s="71"/>
    </row>
    <row r="398" spans="1:14" s="59" customFormat="1" ht="16.5" customHeight="1">
      <c r="C398" s="811" t="s">
        <v>764</v>
      </c>
      <c r="D398" s="811"/>
      <c r="E398" s="219">
        <v>1</v>
      </c>
      <c r="F398" s="59" t="s">
        <v>765</v>
      </c>
      <c r="G398" s="216" t="s">
        <v>766</v>
      </c>
      <c r="H398" s="222">
        <v>12.16</v>
      </c>
      <c r="I398" s="218" t="s">
        <v>760</v>
      </c>
      <c r="J398" s="218"/>
      <c r="K398" s="218"/>
      <c r="L398" s="218"/>
      <c r="M398" s="71"/>
      <c r="N398" s="71"/>
    </row>
    <row r="399" spans="1:14" s="59" customFormat="1" ht="15" customHeight="1">
      <c r="E399" s="812" t="s">
        <v>768</v>
      </c>
      <c r="F399" s="812"/>
      <c r="G399" s="816" t="s">
        <v>646</v>
      </c>
      <c r="H399" s="816"/>
      <c r="K399" s="71"/>
      <c r="L399" s="71"/>
      <c r="M399" s="71"/>
      <c r="N399" s="71"/>
    </row>
    <row r="400" spans="1:14" s="59" customFormat="1" ht="15" customHeight="1">
      <c r="B400" s="805" t="s">
        <v>806</v>
      </c>
      <c r="C400" s="805"/>
      <c r="D400" s="805"/>
      <c r="E400" s="805"/>
      <c r="F400" s="805"/>
      <c r="G400" s="805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807" t="s">
        <v>759</v>
      </c>
      <c r="C401" s="807"/>
      <c r="D401" s="807"/>
      <c r="E401" s="806" t="s">
        <v>805</v>
      </c>
      <c r="F401" s="806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808" t="s">
        <v>773</v>
      </c>
      <c r="C402" s="808"/>
      <c r="D402" s="808"/>
      <c r="E402" s="809">
        <v>12.96</v>
      </c>
      <c r="F402" s="809"/>
      <c r="G402" s="236"/>
      <c r="H402" s="51"/>
      <c r="I402" s="51"/>
      <c r="J402" s="51"/>
      <c r="K402" s="51"/>
      <c r="L402" s="51"/>
    </row>
    <row r="403" spans="1:14" s="59" customFormat="1" ht="15" customHeight="1">
      <c r="B403" s="808" t="s">
        <v>761</v>
      </c>
      <c r="C403" s="808"/>
      <c r="D403" s="808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810" t="s">
        <v>762</v>
      </c>
      <c r="D404" s="810"/>
      <c r="E404" s="216" t="s">
        <v>763</v>
      </c>
      <c r="F404" s="748" t="s">
        <v>466</v>
      </c>
      <c r="G404" s="748"/>
      <c r="H404" s="748"/>
      <c r="I404" s="748"/>
      <c r="M404" s="71"/>
      <c r="N404" s="71"/>
    </row>
    <row r="405" spans="1:14" s="59" customFormat="1" ht="15" customHeight="1">
      <c r="C405" s="811" t="s">
        <v>764</v>
      </c>
      <c r="D405" s="811"/>
      <c r="E405" s="217">
        <v>1</v>
      </c>
      <c r="F405" s="59" t="s">
        <v>765</v>
      </c>
      <c r="G405" s="59" t="s">
        <v>766</v>
      </c>
      <c r="H405" s="222">
        <v>2.85</v>
      </c>
      <c r="I405" s="218" t="s">
        <v>760</v>
      </c>
      <c r="J405" s="218"/>
      <c r="K405" s="218"/>
      <c r="L405" s="218"/>
      <c r="M405" s="71"/>
      <c r="N405" s="71"/>
    </row>
    <row r="406" spans="1:14" s="59" customFormat="1" ht="15" customHeight="1">
      <c r="C406" s="810" t="s">
        <v>92</v>
      </c>
      <c r="D406" s="810"/>
      <c r="E406" s="216" t="s">
        <v>763</v>
      </c>
      <c r="F406" s="748" t="s">
        <v>721</v>
      </c>
      <c r="G406" s="748"/>
      <c r="H406" s="748"/>
      <c r="I406" s="748"/>
      <c r="M406" s="71"/>
      <c r="N406" s="71"/>
    </row>
    <row r="407" spans="1:14" s="59" customFormat="1" ht="15" customHeight="1">
      <c r="C407" s="811" t="s">
        <v>764</v>
      </c>
      <c r="D407" s="811"/>
      <c r="E407" s="219">
        <v>1</v>
      </c>
      <c r="F407" s="59" t="s">
        <v>765</v>
      </c>
      <c r="G407" s="59" t="s">
        <v>766</v>
      </c>
      <c r="H407" s="222">
        <v>4.2</v>
      </c>
      <c r="I407" s="223" t="s">
        <v>760</v>
      </c>
      <c r="J407" s="223"/>
      <c r="K407" s="220"/>
      <c r="L407" s="220"/>
      <c r="M407" s="71"/>
      <c r="N407" s="71"/>
    </row>
    <row r="408" spans="1:14" s="59" customFormat="1" ht="15" customHeight="1">
      <c r="C408" s="810" t="s">
        <v>767</v>
      </c>
      <c r="D408" s="810"/>
      <c r="E408" s="216" t="s">
        <v>763</v>
      </c>
      <c r="F408" s="748" t="s">
        <v>655</v>
      </c>
      <c r="G408" s="748"/>
      <c r="H408" s="748"/>
      <c r="I408" s="748"/>
      <c r="M408" s="71"/>
      <c r="N408" s="71"/>
    </row>
    <row r="409" spans="1:14" s="59" customFormat="1" ht="15" customHeight="1">
      <c r="C409" s="811" t="s">
        <v>764</v>
      </c>
      <c r="D409" s="811"/>
      <c r="E409" s="219">
        <v>1</v>
      </c>
      <c r="F409" s="59" t="s">
        <v>765</v>
      </c>
      <c r="G409" s="216" t="s">
        <v>766</v>
      </c>
      <c r="H409" s="222">
        <v>4.7</v>
      </c>
      <c r="I409" s="220" t="s">
        <v>760</v>
      </c>
      <c r="J409" s="218"/>
      <c r="K409" s="221"/>
      <c r="L409" s="218"/>
      <c r="M409" s="71"/>
      <c r="N409" s="71"/>
    </row>
    <row r="410" spans="1:14" s="59" customFormat="1" ht="15" customHeight="1">
      <c r="C410" s="810" t="s">
        <v>31</v>
      </c>
      <c r="D410" s="810"/>
      <c r="E410" s="216" t="s">
        <v>763</v>
      </c>
      <c r="F410" s="748" t="s">
        <v>655</v>
      </c>
      <c r="G410" s="748"/>
      <c r="H410" s="748"/>
      <c r="I410" s="748"/>
      <c r="M410" s="71"/>
      <c r="N410" s="71"/>
    </row>
    <row r="411" spans="1:14" s="59" customFormat="1" ht="15" customHeight="1">
      <c r="C411" s="811" t="s">
        <v>764</v>
      </c>
      <c r="D411" s="811"/>
      <c r="E411" s="219">
        <v>3</v>
      </c>
      <c r="F411" s="59" t="s">
        <v>765</v>
      </c>
      <c r="G411" s="216" t="s">
        <v>766</v>
      </c>
      <c r="H411" s="224" t="s">
        <v>769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812" t="s">
        <v>768</v>
      </c>
      <c r="F412" s="812"/>
      <c r="G412" s="816" t="s">
        <v>805</v>
      </c>
      <c r="H412" s="816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805" t="s">
        <v>807</v>
      </c>
      <c r="C414" s="805"/>
      <c r="D414" s="805"/>
      <c r="E414" s="805"/>
      <c r="F414" s="805"/>
      <c r="G414" s="805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807" t="s">
        <v>759</v>
      </c>
      <c r="C415" s="807"/>
      <c r="D415" s="807"/>
      <c r="E415" s="806" t="s">
        <v>466</v>
      </c>
      <c r="F415" s="806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808" t="s">
        <v>773</v>
      </c>
      <c r="C416" s="808"/>
      <c r="D416" s="808"/>
      <c r="E416" s="809">
        <v>17.239999999999998</v>
      </c>
      <c r="F416" s="809"/>
      <c r="G416" s="236"/>
      <c r="H416" s="51"/>
      <c r="I416" s="51"/>
      <c r="J416" s="51"/>
      <c r="K416" s="51"/>
      <c r="L416" s="51"/>
    </row>
    <row r="417" spans="2:14" s="59" customFormat="1" ht="15" customHeight="1">
      <c r="B417" s="808" t="s">
        <v>761</v>
      </c>
      <c r="C417" s="808"/>
      <c r="D417" s="808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810" t="s">
        <v>762</v>
      </c>
      <c r="D418" s="810"/>
      <c r="E418" s="216" t="s">
        <v>763</v>
      </c>
      <c r="F418" s="748" t="s">
        <v>654</v>
      </c>
      <c r="G418" s="748"/>
      <c r="H418" s="748"/>
      <c r="I418" s="748"/>
      <c r="M418" s="71"/>
      <c r="N418" s="71"/>
    </row>
    <row r="419" spans="2:14" s="59" customFormat="1" ht="15" customHeight="1">
      <c r="C419" s="811" t="s">
        <v>764</v>
      </c>
      <c r="D419" s="811"/>
      <c r="E419" s="217">
        <v>1</v>
      </c>
      <c r="F419" s="59" t="s">
        <v>765</v>
      </c>
      <c r="G419" s="59" t="s">
        <v>766</v>
      </c>
      <c r="H419" s="222">
        <v>2.85</v>
      </c>
      <c r="I419" s="223" t="s">
        <v>760</v>
      </c>
      <c r="J419" s="223"/>
      <c r="K419" s="223"/>
      <c r="L419" s="223"/>
      <c r="M419" s="71"/>
      <c r="N419" s="71"/>
    </row>
    <row r="420" spans="2:14" s="59" customFormat="1" ht="15" customHeight="1">
      <c r="C420" s="810" t="s">
        <v>92</v>
      </c>
      <c r="D420" s="810"/>
      <c r="E420" s="216" t="s">
        <v>763</v>
      </c>
      <c r="F420" s="748" t="s">
        <v>721</v>
      </c>
      <c r="G420" s="748"/>
      <c r="H420" s="748"/>
      <c r="I420" s="748"/>
      <c r="M420" s="71"/>
      <c r="N420" s="71"/>
    </row>
    <row r="421" spans="2:14" s="59" customFormat="1" ht="15" customHeight="1">
      <c r="C421" s="811" t="s">
        <v>764</v>
      </c>
      <c r="D421" s="811"/>
      <c r="E421" s="219">
        <v>1</v>
      </c>
      <c r="F421" s="59" t="s">
        <v>765</v>
      </c>
      <c r="G421" s="59" t="s">
        <v>766</v>
      </c>
      <c r="H421" s="222">
        <v>6.05</v>
      </c>
      <c r="I421" s="223" t="s">
        <v>760</v>
      </c>
      <c r="J421" s="223"/>
      <c r="K421" s="220"/>
      <c r="L421" s="220"/>
      <c r="M421" s="71"/>
      <c r="N421" s="71"/>
    </row>
    <row r="422" spans="2:14" s="59" customFormat="1" ht="15" customHeight="1">
      <c r="C422" s="810" t="s">
        <v>767</v>
      </c>
      <c r="D422" s="810"/>
      <c r="E422" s="216" t="s">
        <v>763</v>
      </c>
      <c r="F422" s="748" t="s">
        <v>655</v>
      </c>
      <c r="G422" s="748"/>
      <c r="H422" s="748"/>
      <c r="I422" s="748"/>
      <c r="M422" s="71"/>
      <c r="N422" s="71"/>
    </row>
    <row r="423" spans="2:14" s="59" customFormat="1" ht="15" customHeight="1">
      <c r="C423" s="811" t="s">
        <v>764</v>
      </c>
      <c r="D423" s="811"/>
      <c r="E423" s="219">
        <v>1</v>
      </c>
      <c r="F423" s="59" t="s">
        <v>765</v>
      </c>
      <c r="G423" s="216" t="s">
        <v>766</v>
      </c>
      <c r="H423" s="222">
        <v>6.05</v>
      </c>
      <c r="I423" s="223" t="s">
        <v>760</v>
      </c>
      <c r="J423" s="223"/>
      <c r="K423" s="223"/>
      <c r="L423" s="223"/>
      <c r="M423" s="71"/>
      <c r="N423" s="71"/>
    </row>
    <row r="424" spans="2:14" s="59" customFormat="1" ht="15" customHeight="1">
      <c r="C424" s="810" t="s">
        <v>31</v>
      </c>
      <c r="D424" s="810"/>
      <c r="E424" s="216" t="s">
        <v>763</v>
      </c>
      <c r="F424" s="748" t="s">
        <v>805</v>
      </c>
      <c r="G424" s="748"/>
      <c r="H424" s="748"/>
      <c r="I424" s="748"/>
      <c r="M424" s="71"/>
      <c r="N424" s="71"/>
    </row>
    <row r="425" spans="2:14" s="59" customFormat="1" ht="15" customHeight="1">
      <c r="C425" s="811" t="s">
        <v>764</v>
      </c>
      <c r="D425" s="811"/>
      <c r="E425" s="219">
        <v>1</v>
      </c>
      <c r="F425" s="59" t="s">
        <v>765</v>
      </c>
      <c r="G425" s="216" t="s">
        <v>766</v>
      </c>
      <c r="H425" s="222">
        <v>2.85</v>
      </c>
      <c r="I425" s="223" t="s">
        <v>760</v>
      </c>
      <c r="J425" s="223"/>
      <c r="K425" s="223"/>
      <c r="L425" s="218"/>
      <c r="M425" s="71"/>
      <c r="N425" s="71"/>
    </row>
    <row r="426" spans="2:14" s="59" customFormat="1" ht="15" customHeight="1">
      <c r="E426" s="812" t="s">
        <v>768</v>
      </c>
      <c r="F426" s="812"/>
      <c r="G426" s="816" t="s">
        <v>466</v>
      </c>
      <c r="H426" s="816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815" t="s">
        <v>751</v>
      </c>
      <c r="C428" s="815"/>
      <c r="D428" s="815"/>
      <c r="E428" s="815"/>
      <c r="F428" s="815"/>
      <c r="G428" s="815"/>
      <c r="H428" s="815"/>
      <c r="I428" s="815"/>
      <c r="J428" s="815"/>
      <c r="K428" s="815"/>
      <c r="L428" s="815"/>
      <c r="M428" s="815"/>
      <c r="N428" s="815"/>
    </row>
    <row r="429" spans="2:14" ht="14.25" customHeight="1">
      <c r="B429" s="813" t="s">
        <v>750</v>
      </c>
      <c r="C429" s="813"/>
      <c r="D429" s="813"/>
      <c r="E429" s="813"/>
      <c r="F429" s="813"/>
      <c r="G429" s="813"/>
      <c r="H429" s="813"/>
      <c r="I429" s="813"/>
      <c r="J429" s="813"/>
      <c r="K429" s="813"/>
      <c r="L429" s="813"/>
      <c r="M429" s="813"/>
      <c r="N429" s="207"/>
    </row>
    <row r="430" spans="2:14" ht="14.25" customHeight="1">
      <c r="B430" s="817" t="s">
        <v>756</v>
      </c>
      <c r="C430" s="817"/>
      <c r="D430" s="817"/>
      <c r="E430" s="817"/>
      <c r="F430" s="817"/>
      <c r="G430" s="817"/>
      <c r="H430" s="817"/>
      <c r="I430" s="817"/>
      <c r="J430" s="817"/>
      <c r="K430" s="817"/>
      <c r="L430" s="817"/>
      <c r="M430" s="817"/>
      <c r="N430" s="174"/>
    </row>
    <row r="431" spans="2:14" ht="14.25" customHeight="1">
      <c r="B431" s="817" t="s">
        <v>757</v>
      </c>
      <c r="C431" s="817"/>
      <c r="D431" s="817"/>
      <c r="E431" s="817"/>
      <c r="F431" s="817"/>
      <c r="G431" s="817"/>
      <c r="H431" s="817"/>
      <c r="I431" s="817"/>
      <c r="J431" s="817"/>
      <c r="K431" s="817"/>
      <c r="L431" s="817"/>
      <c r="M431" s="817"/>
      <c r="N431" s="817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815" t="s">
        <v>744</v>
      </c>
      <c r="C433" s="815"/>
      <c r="D433" s="815"/>
      <c r="E433" s="815"/>
      <c r="F433" s="815"/>
      <c r="G433" s="815"/>
      <c r="H433" s="815"/>
      <c r="I433" s="815"/>
      <c r="J433" s="815"/>
      <c r="K433" s="815"/>
      <c r="L433" s="815"/>
      <c r="M433" s="815"/>
      <c r="N433" s="815"/>
    </row>
    <row r="434" spans="1:14" ht="14.25" customHeight="1">
      <c r="B434" s="813" t="s">
        <v>752</v>
      </c>
      <c r="C434" s="813"/>
      <c r="D434" s="813"/>
      <c r="E434" s="813"/>
      <c r="F434" s="813"/>
      <c r="G434" s="813"/>
      <c r="H434" s="813"/>
      <c r="I434" s="813"/>
      <c r="J434" s="813"/>
      <c r="K434" s="813"/>
      <c r="L434" s="813"/>
      <c r="M434" s="207"/>
      <c r="N434" s="207"/>
    </row>
    <row r="435" spans="1:14" ht="14.25" customHeight="1">
      <c r="B435" s="813" t="s">
        <v>745</v>
      </c>
      <c r="C435" s="813"/>
      <c r="D435" s="813"/>
      <c r="E435" s="813"/>
      <c r="F435" s="813"/>
      <c r="G435" s="813"/>
      <c r="H435" s="813"/>
      <c r="I435" s="813"/>
      <c r="J435" s="813"/>
      <c r="K435" s="813"/>
      <c r="L435" s="813"/>
      <c r="M435" s="813"/>
      <c r="N435" s="207"/>
    </row>
    <row r="436" spans="1:14" ht="14.25" customHeight="1">
      <c r="B436" s="813" t="s">
        <v>746</v>
      </c>
      <c r="C436" s="813"/>
      <c r="D436" s="813"/>
      <c r="E436" s="813"/>
      <c r="F436" s="813"/>
      <c r="G436" s="813"/>
      <c r="H436" s="813"/>
      <c r="I436" s="813"/>
      <c r="J436" s="813"/>
      <c r="K436" s="813"/>
      <c r="L436" s="813"/>
      <c r="M436" s="813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815" t="s">
        <v>747</v>
      </c>
      <c r="C438" s="815"/>
      <c r="D438" s="815"/>
      <c r="E438" s="815"/>
      <c r="F438" s="815"/>
      <c r="G438" s="815"/>
      <c r="H438" s="815"/>
      <c r="I438" s="815"/>
      <c r="J438" s="815"/>
      <c r="K438" s="815"/>
      <c r="L438" s="815"/>
      <c r="M438" s="815"/>
      <c r="N438" s="815"/>
    </row>
    <row r="439" spans="1:14" ht="14.25" customHeight="1">
      <c r="B439" s="813" t="s">
        <v>753</v>
      </c>
      <c r="C439" s="813"/>
      <c r="D439" s="813"/>
      <c r="E439" s="813"/>
      <c r="F439" s="813"/>
      <c r="G439" s="813"/>
      <c r="H439" s="813"/>
      <c r="I439" s="813"/>
      <c r="J439" s="813"/>
      <c r="K439" s="813"/>
      <c r="L439" s="813"/>
      <c r="M439" s="813"/>
      <c r="N439" s="813"/>
    </row>
    <row r="440" spans="1:14" ht="14.25" customHeight="1">
      <c r="B440" s="813" t="s">
        <v>754</v>
      </c>
      <c r="C440" s="813"/>
      <c r="D440" s="813"/>
      <c r="E440" s="813"/>
      <c r="F440" s="813"/>
      <c r="G440" s="813"/>
      <c r="H440" s="813"/>
      <c r="I440" s="813"/>
      <c r="J440" s="813"/>
      <c r="K440" s="813"/>
      <c r="L440" s="813"/>
      <c r="M440" s="813"/>
      <c r="N440" s="813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814" t="s">
        <v>815</v>
      </c>
      <c r="C442" s="814"/>
      <c r="D442" s="814"/>
      <c r="E442" s="814"/>
      <c r="F442" s="814"/>
      <c r="G442" s="814"/>
      <c r="H442" s="814"/>
      <c r="I442" s="814"/>
      <c r="J442" s="814"/>
      <c r="K442" s="814"/>
      <c r="L442" s="814"/>
      <c r="M442" s="814"/>
      <c r="N442" s="814"/>
    </row>
    <row r="443" spans="1:14" ht="14.25" customHeight="1">
      <c r="B443" s="748" t="s">
        <v>821</v>
      </c>
      <c r="C443" s="748"/>
      <c r="D443" s="748"/>
      <c r="E443" s="748"/>
      <c r="F443" s="748"/>
      <c r="G443" s="748"/>
      <c r="H443" s="748"/>
      <c r="I443" s="748"/>
      <c r="J443" s="748"/>
      <c r="K443" s="748"/>
      <c r="L443" s="748"/>
      <c r="M443" s="748"/>
      <c r="N443" s="748"/>
    </row>
    <row r="444" spans="1:14" ht="14.25" customHeight="1">
      <c r="B444" s="748" t="s">
        <v>816</v>
      </c>
      <c r="C444" s="748"/>
      <c r="D444" s="748"/>
      <c r="E444" s="748"/>
      <c r="F444" s="748"/>
      <c r="G444" s="748"/>
      <c r="H444" s="748"/>
      <c r="I444" s="748"/>
      <c r="J444" s="748"/>
      <c r="K444" s="748"/>
      <c r="L444" s="748"/>
      <c r="M444" s="748"/>
      <c r="N444" s="748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805" t="s">
        <v>774</v>
      </c>
      <c r="C446" s="805"/>
      <c r="D446" s="805"/>
      <c r="E446" s="805"/>
      <c r="F446" s="805"/>
      <c r="G446" s="805"/>
      <c r="H446" s="805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807" t="s">
        <v>759</v>
      </c>
      <c r="C447" s="807"/>
      <c r="D447" s="807"/>
      <c r="E447" s="806" t="s">
        <v>723</v>
      </c>
      <c r="F447" s="806"/>
      <c r="G447" s="806"/>
      <c r="H447" s="51"/>
      <c r="I447" s="51"/>
      <c r="J447" s="51"/>
      <c r="K447" s="51"/>
      <c r="L447" s="51"/>
      <c r="N447" s="71"/>
    </row>
    <row r="448" spans="1:14" s="59" customFormat="1" ht="15" customHeight="1">
      <c r="B448" s="808" t="s">
        <v>773</v>
      </c>
      <c r="C448" s="808"/>
      <c r="D448" s="808"/>
      <c r="E448" s="809">
        <v>11.85</v>
      </c>
      <c r="F448" s="809"/>
      <c r="G448" s="809"/>
      <c r="H448" s="51"/>
      <c r="I448" s="51"/>
      <c r="J448" s="51"/>
      <c r="K448" s="51"/>
      <c r="L448" s="51"/>
    </row>
    <row r="449" spans="1:14" s="59" customFormat="1" ht="15" customHeight="1">
      <c r="B449" s="808" t="s">
        <v>761</v>
      </c>
      <c r="C449" s="808"/>
      <c r="D449" s="808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810" t="s">
        <v>762</v>
      </c>
      <c r="D450" s="810"/>
      <c r="E450" s="216" t="s">
        <v>763</v>
      </c>
      <c r="F450" s="748" t="s">
        <v>726</v>
      </c>
      <c r="G450" s="748"/>
      <c r="H450" s="748"/>
      <c r="I450" s="748"/>
      <c r="J450" s="748"/>
      <c r="K450" s="748"/>
      <c r="L450" s="748"/>
      <c r="M450" s="71"/>
      <c r="N450" s="71"/>
    </row>
    <row r="451" spans="1:14" s="59" customFormat="1" ht="15" customHeight="1">
      <c r="C451" s="811" t="s">
        <v>764</v>
      </c>
      <c r="D451" s="811"/>
      <c r="E451" s="217">
        <v>3</v>
      </c>
      <c r="F451" s="59" t="s">
        <v>765</v>
      </c>
      <c r="G451" s="59" t="s">
        <v>766</v>
      </c>
      <c r="H451" s="224" t="s">
        <v>771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810" t="s">
        <v>92</v>
      </c>
      <c r="D452" s="810"/>
      <c r="E452" s="216" t="s">
        <v>763</v>
      </c>
      <c r="F452" s="748" t="s">
        <v>722</v>
      </c>
      <c r="G452" s="748"/>
      <c r="H452" s="748"/>
      <c r="I452" s="748"/>
      <c r="M452" s="71"/>
      <c r="N452" s="71"/>
    </row>
    <row r="453" spans="1:14" s="59" customFormat="1" ht="15" customHeight="1">
      <c r="C453" s="811" t="s">
        <v>764</v>
      </c>
      <c r="D453" s="811"/>
      <c r="E453" s="219">
        <v>1</v>
      </c>
      <c r="F453" s="59" t="s">
        <v>765</v>
      </c>
      <c r="G453" s="59" t="s">
        <v>766</v>
      </c>
      <c r="H453" s="222">
        <v>2.12</v>
      </c>
      <c r="I453" s="223" t="s">
        <v>760</v>
      </c>
      <c r="J453" s="223"/>
      <c r="K453" s="220"/>
      <c r="L453" s="220"/>
      <c r="M453" s="71"/>
      <c r="N453" s="71"/>
    </row>
    <row r="454" spans="1:14" s="59" customFormat="1" ht="15" customHeight="1">
      <c r="C454" s="810" t="s">
        <v>767</v>
      </c>
      <c r="D454" s="810"/>
      <c r="E454" s="216" t="s">
        <v>763</v>
      </c>
      <c r="F454" s="748" t="s">
        <v>656</v>
      </c>
      <c r="G454" s="748"/>
      <c r="H454" s="748"/>
      <c r="I454" s="748"/>
      <c r="M454" s="71"/>
      <c r="N454" s="71"/>
    </row>
    <row r="455" spans="1:14" s="59" customFormat="1" ht="15" customHeight="1">
      <c r="C455" s="811" t="s">
        <v>764</v>
      </c>
      <c r="D455" s="811"/>
      <c r="E455" s="219">
        <v>3</v>
      </c>
      <c r="F455" s="59" t="s">
        <v>765</v>
      </c>
      <c r="G455" s="216" t="s">
        <v>766</v>
      </c>
      <c r="H455" s="224" t="s">
        <v>772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810" t="s">
        <v>31</v>
      </c>
      <c r="D456" s="810"/>
      <c r="E456" s="216" t="s">
        <v>763</v>
      </c>
      <c r="F456" s="748" t="s">
        <v>725</v>
      </c>
      <c r="G456" s="748"/>
      <c r="H456" s="748"/>
      <c r="I456" s="748"/>
      <c r="M456" s="71"/>
      <c r="N456" s="71"/>
    </row>
    <row r="457" spans="1:14" s="59" customFormat="1" ht="15" customHeight="1">
      <c r="C457" s="811" t="s">
        <v>764</v>
      </c>
      <c r="D457" s="811"/>
      <c r="E457" s="219">
        <v>1</v>
      </c>
      <c r="F457" s="59" t="s">
        <v>765</v>
      </c>
      <c r="G457" s="216" t="s">
        <v>766</v>
      </c>
      <c r="H457" s="222">
        <v>4.8499999999999996</v>
      </c>
      <c r="I457" s="223" t="s">
        <v>760</v>
      </c>
      <c r="J457" s="223"/>
      <c r="K457" s="218"/>
      <c r="L457" s="218"/>
      <c r="M457" s="71"/>
      <c r="N457" s="71"/>
    </row>
    <row r="458" spans="1:14" s="59" customFormat="1" ht="15" customHeight="1">
      <c r="E458" s="812" t="s">
        <v>768</v>
      </c>
      <c r="F458" s="812"/>
      <c r="G458" s="816" t="s">
        <v>724</v>
      </c>
      <c r="H458" s="816"/>
      <c r="I458" s="218"/>
      <c r="K458" s="71"/>
      <c r="L458" s="71"/>
      <c r="M458" s="71"/>
      <c r="N458" s="71"/>
    </row>
    <row r="459" spans="1:14" ht="14.25" customHeight="1">
      <c r="B459" s="814" t="s">
        <v>817</v>
      </c>
      <c r="C459" s="814"/>
      <c r="D459" s="814"/>
      <c r="E459" s="814"/>
      <c r="F459" s="814"/>
      <c r="G459" s="814"/>
      <c r="H459" s="814"/>
      <c r="I459" s="814"/>
      <c r="J459" s="814"/>
      <c r="K459" s="814"/>
      <c r="L459" s="814"/>
      <c r="M459" s="814"/>
      <c r="N459" s="814"/>
    </row>
    <row r="460" spans="1:14" ht="14.25" customHeight="1">
      <c r="B460" s="748" t="s">
        <v>820</v>
      </c>
      <c r="C460" s="748"/>
      <c r="D460" s="748"/>
      <c r="E460" s="748"/>
      <c r="F460" s="748"/>
      <c r="G460" s="748"/>
      <c r="H460" s="748"/>
      <c r="I460" s="748"/>
      <c r="J460" s="748"/>
      <c r="K460" s="748"/>
      <c r="L460" s="748"/>
      <c r="M460" s="748"/>
      <c r="N460" s="748"/>
    </row>
    <row r="461" spans="1:14" ht="14.25" customHeight="1">
      <c r="B461" s="748" t="s">
        <v>818</v>
      </c>
      <c r="C461" s="748"/>
      <c r="D461" s="748"/>
      <c r="E461" s="748"/>
      <c r="F461" s="748"/>
      <c r="G461" s="748"/>
      <c r="H461" s="748"/>
      <c r="I461" s="748"/>
      <c r="J461" s="748"/>
      <c r="K461" s="748"/>
      <c r="L461" s="748"/>
      <c r="M461" s="748"/>
      <c r="N461" s="748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805" t="s">
        <v>819</v>
      </c>
      <c r="C463" s="805"/>
      <c r="D463" s="805"/>
      <c r="E463" s="805"/>
      <c r="F463" s="805"/>
      <c r="G463" s="805"/>
      <c r="H463" s="805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807" t="s">
        <v>759</v>
      </c>
      <c r="C464" s="807"/>
      <c r="D464" s="807"/>
      <c r="E464" s="806" t="s">
        <v>723</v>
      </c>
      <c r="F464" s="806"/>
      <c r="G464" s="806"/>
      <c r="H464" s="51"/>
      <c r="I464" s="51"/>
      <c r="J464" s="51"/>
      <c r="K464" s="51"/>
      <c r="L464" s="51"/>
      <c r="N464" s="71"/>
    </row>
    <row r="465" spans="2:14" s="59" customFormat="1" ht="15" customHeight="1">
      <c r="B465" s="808" t="s">
        <v>773</v>
      </c>
      <c r="C465" s="808"/>
      <c r="D465" s="808"/>
      <c r="E465" s="809">
        <v>11.85</v>
      </c>
      <c r="F465" s="809"/>
      <c r="G465" s="809"/>
      <c r="H465" s="51"/>
      <c r="I465" s="51"/>
      <c r="J465" s="51"/>
      <c r="K465" s="51"/>
      <c r="L465" s="51"/>
    </row>
    <row r="466" spans="2:14" s="59" customFormat="1" ht="15" customHeight="1">
      <c r="B466" s="808" t="s">
        <v>761</v>
      </c>
      <c r="C466" s="808"/>
      <c r="D466" s="808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810" t="s">
        <v>762</v>
      </c>
      <c r="D467" s="810"/>
      <c r="E467" s="216" t="s">
        <v>763</v>
      </c>
      <c r="F467" s="748" t="s">
        <v>658</v>
      </c>
      <c r="G467" s="748"/>
      <c r="H467" s="748"/>
      <c r="I467" s="748"/>
      <c r="J467" s="748"/>
      <c r="K467" s="748"/>
      <c r="L467" s="748"/>
      <c r="M467" s="71"/>
      <c r="N467" s="71"/>
    </row>
    <row r="468" spans="2:14" s="59" customFormat="1" ht="15" customHeight="1">
      <c r="C468" s="811" t="s">
        <v>764</v>
      </c>
      <c r="D468" s="811"/>
      <c r="E468" s="217">
        <v>3</v>
      </c>
      <c r="F468" s="59" t="s">
        <v>765</v>
      </c>
      <c r="G468" s="59" t="s">
        <v>766</v>
      </c>
      <c r="H468" s="224" t="s">
        <v>771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810" t="s">
        <v>92</v>
      </c>
      <c r="D469" s="810"/>
      <c r="E469" s="216" t="s">
        <v>763</v>
      </c>
      <c r="F469" s="748" t="s">
        <v>722</v>
      </c>
      <c r="G469" s="748"/>
      <c r="H469" s="748"/>
      <c r="I469" s="748"/>
      <c r="M469" s="71"/>
      <c r="N469" s="71"/>
    </row>
    <row r="470" spans="2:14" s="59" customFormat="1" ht="15" customHeight="1">
      <c r="C470" s="811" t="s">
        <v>764</v>
      </c>
      <c r="D470" s="811"/>
      <c r="E470" s="219">
        <v>1</v>
      </c>
      <c r="F470" s="59" t="s">
        <v>765</v>
      </c>
      <c r="G470" s="59" t="s">
        <v>766</v>
      </c>
      <c r="H470" s="222">
        <v>2.12</v>
      </c>
      <c r="I470" s="223" t="s">
        <v>760</v>
      </c>
      <c r="J470" s="223"/>
      <c r="K470" s="220"/>
      <c r="L470" s="220"/>
      <c r="M470" s="71"/>
      <c r="N470" s="71"/>
    </row>
    <row r="471" spans="2:14" s="59" customFormat="1" ht="15" customHeight="1">
      <c r="C471" s="810" t="s">
        <v>767</v>
      </c>
      <c r="D471" s="810"/>
      <c r="E471" s="216" t="s">
        <v>763</v>
      </c>
      <c r="F471" s="59" t="s">
        <v>658</v>
      </c>
      <c r="M471" s="71"/>
      <c r="N471" s="71"/>
    </row>
    <row r="472" spans="2:14" s="59" customFormat="1" ht="15" customHeight="1">
      <c r="C472" s="811" t="s">
        <v>764</v>
      </c>
      <c r="D472" s="811"/>
      <c r="E472" s="219">
        <v>3</v>
      </c>
      <c r="F472" s="59" t="s">
        <v>765</v>
      </c>
      <c r="G472" s="216" t="s">
        <v>766</v>
      </c>
      <c r="H472" s="224" t="s">
        <v>772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810" t="s">
        <v>31</v>
      </c>
      <c r="D473" s="810"/>
      <c r="E473" s="216" t="s">
        <v>763</v>
      </c>
      <c r="F473" s="748" t="s">
        <v>725</v>
      </c>
      <c r="G473" s="748"/>
      <c r="H473" s="748"/>
      <c r="I473" s="748"/>
      <c r="M473" s="71"/>
      <c r="N473" s="71"/>
    </row>
    <row r="474" spans="2:14" s="59" customFormat="1" ht="15" customHeight="1">
      <c r="C474" s="811" t="s">
        <v>764</v>
      </c>
      <c r="D474" s="811"/>
      <c r="E474" s="219">
        <v>1</v>
      </c>
      <c r="F474" s="59" t="s">
        <v>765</v>
      </c>
      <c r="G474" s="216" t="s">
        <v>766</v>
      </c>
      <c r="H474" s="222">
        <v>4.8499999999999996</v>
      </c>
      <c r="I474" s="223" t="s">
        <v>760</v>
      </c>
      <c r="J474" s="223"/>
      <c r="K474" s="218"/>
      <c r="L474" s="218"/>
      <c r="M474" s="71"/>
      <c r="N474" s="71"/>
    </row>
    <row r="475" spans="2:14" s="59" customFormat="1" ht="15" customHeight="1">
      <c r="E475" s="812" t="s">
        <v>768</v>
      </c>
      <c r="F475" s="812"/>
      <c r="G475" s="816" t="s">
        <v>724</v>
      </c>
      <c r="H475" s="816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812" t="s">
        <v>677</v>
      </c>
      <c r="C477" s="812"/>
      <c r="D477" s="812"/>
      <c r="E477" s="812"/>
      <c r="F477" s="812"/>
      <c r="G477" s="812"/>
      <c r="H477" s="812"/>
      <c r="I477" s="812"/>
      <c r="J477" s="812"/>
      <c r="K477" s="812"/>
      <c r="L477" s="812"/>
      <c r="M477" s="812"/>
      <c r="N477" s="812"/>
    </row>
    <row r="478" spans="2:14" s="59" customFormat="1" ht="15.75" customHeight="1">
      <c r="B478" s="812" t="s">
        <v>368</v>
      </c>
      <c r="C478" s="812"/>
      <c r="D478" s="812"/>
      <c r="E478" s="812"/>
      <c r="F478" s="812"/>
      <c r="G478" s="812"/>
      <c r="H478" s="812"/>
      <c r="I478" s="812"/>
      <c r="J478" s="812"/>
      <c r="K478" s="812"/>
      <c r="L478" s="812"/>
      <c r="M478" s="812"/>
      <c r="N478" s="812"/>
    </row>
    <row r="479" spans="2:14" ht="15" customHeight="1">
      <c r="B479" s="806" t="s">
        <v>640</v>
      </c>
      <c r="C479" s="806"/>
      <c r="D479" s="806"/>
      <c r="E479" s="806"/>
      <c r="F479" s="806"/>
      <c r="G479" s="806"/>
      <c r="H479" s="806"/>
      <c r="I479" s="806"/>
      <c r="J479" s="806"/>
      <c r="K479" s="806"/>
      <c r="L479" s="806"/>
      <c r="M479" s="806"/>
      <c r="N479" s="806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703"/>
      <c r="C481" s="703"/>
      <c r="D481" s="703"/>
      <c r="E481" s="703"/>
      <c r="F481" s="99" t="s">
        <v>639</v>
      </c>
      <c r="G481" s="135"/>
      <c r="H481" s="878"/>
      <c r="I481" s="878"/>
      <c r="J481" s="878"/>
      <c r="K481" s="878"/>
      <c r="L481" s="878"/>
      <c r="M481" s="878"/>
    </row>
    <row r="482" spans="2:14" ht="15" customHeight="1">
      <c r="B482" s="879" t="s">
        <v>638</v>
      </c>
      <c r="C482" s="879"/>
      <c r="D482" s="879"/>
      <c r="E482" s="879"/>
      <c r="F482" s="879"/>
      <c r="G482" s="879"/>
      <c r="H482" s="98"/>
      <c r="I482" s="98"/>
    </row>
    <row r="483" spans="2:14" ht="10.5" customHeight="1">
      <c r="H483" s="98"/>
      <c r="I483" s="98"/>
    </row>
    <row r="484" spans="2:14" ht="15" customHeight="1">
      <c r="B484" s="703"/>
      <c r="C484" s="703"/>
      <c r="D484" s="703"/>
      <c r="E484" s="703"/>
      <c r="F484" s="703" t="s">
        <v>639</v>
      </c>
      <c r="G484" s="875"/>
      <c r="H484" s="876"/>
      <c r="I484" s="876"/>
      <c r="J484" s="876"/>
      <c r="K484" s="876"/>
      <c r="L484" s="876"/>
      <c r="M484" s="876"/>
      <c r="N484" s="100"/>
    </row>
    <row r="485" spans="2:14" ht="15" customHeight="1">
      <c r="B485" s="703"/>
      <c r="C485" s="703"/>
      <c r="D485" s="703"/>
      <c r="E485" s="703"/>
      <c r="F485" s="703"/>
      <c r="G485" s="875"/>
      <c r="H485" s="876"/>
      <c r="I485" s="876"/>
      <c r="J485" s="876"/>
      <c r="K485" s="876"/>
      <c r="L485" s="876"/>
      <c r="M485" s="876"/>
    </row>
    <row r="486" spans="2:14" ht="15" customHeight="1">
      <c r="B486" s="703"/>
      <c r="C486" s="703"/>
      <c r="D486" s="703"/>
      <c r="E486" s="703"/>
      <c r="F486" s="703"/>
      <c r="G486" s="875"/>
      <c r="H486" s="876"/>
      <c r="I486" s="876"/>
      <c r="J486" s="876"/>
      <c r="K486" s="876"/>
      <c r="L486" s="876"/>
      <c r="M486" s="876"/>
      <c r="N486" s="100"/>
    </row>
    <row r="487" spans="2:14" ht="15" customHeight="1">
      <c r="B487" s="703"/>
      <c r="C487" s="703"/>
      <c r="D487" s="703"/>
      <c r="E487" s="703"/>
      <c r="F487" s="703"/>
      <c r="G487" s="875"/>
      <c r="H487" s="876"/>
      <c r="I487" s="876"/>
      <c r="J487" s="876"/>
      <c r="K487" s="876"/>
      <c r="L487" s="876"/>
      <c r="M487" s="876"/>
      <c r="N487" s="100"/>
    </row>
    <row r="488" spans="2:14" ht="15" customHeight="1">
      <c r="B488" s="703"/>
      <c r="C488" s="703"/>
      <c r="D488" s="703"/>
      <c r="E488" s="703"/>
      <c r="F488" s="703"/>
      <c r="G488" s="875"/>
      <c r="H488" s="876"/>
      <c r="I488" s="876"/>
      <c r="J488" s="876"/>
      <c r="K488" s="876"/>
      <c r="L488" s="876"/>
      <c r="M488" s="876"/>
      <c r="N488" s="100"/>
    </row>
    <row r="489" spans="2:14" ht="15" customHeight="1" thickBot="1">
      <c r="B489" s="703"/>
      <c r="C489" s="703"/>
      <c r="D489" s="703"/>
      <c r="E489" s="703"/>
      <c r="F489" s="703"/>
      <c r="G489" s="875"/>
      <c r="H489" s="877"/>
      <c r="I489" s="877"/>
      <c r="J489" s="877"/>
      <c r="K489" s="877"/>
      <c r="L489" s="877"/>
      <c r="M489" s="877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D10" sqref="D10"/>
    </sheetView>
  </sheetViews>
  <sheetFormatPr baseColWidth="10"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 t="s">
        <v>698</v>
      </c>
    </row>
    <row r="2" spans="1:12" ht="18">
      <c r="A2" s="70"/>
      <c r="C2" s="952" t="s">
        <v>637</v>
      </c>
      <c r="D2" s="952"/>
      <c r="E2" s="952"/>
      <c r="F2" s="952"/>
      <c r="G2" s="952"/>
      <c r="H2" s="952"/>
      <c r="I2" s="952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636</v>
      </c>
      <c r="C4" s="953" t="s">
        <v>673</v>
      </c>
      <c r="D4" s="953"/>
      <c r="E4" s="953"/>
      <c r="F4" s="100" t="s">
        <v>492</v>
      </c>
      <c r="G4" s="102" t="s">
        <v>672</v>
      </c>
      <c r="H4" s="98" t="s">
        <v>675</v>
      </c>
      <c r="J4" s="70"/>
      <c r="K4" s="70"/>
    </row>
    <row r="5" spans="1:12" ht="15" customHeight="1">
      <c r="A5" s="70"/>
      <c r="B5" s="806" t="s">
        <v>674</v>
      </c>
      <c r="C5" s="806"/>
      <c r="D5" s="100">
        <v>41952954</v>
      </c>
      <c r="E5" s="902" t="s">
        <v>676</v>
      </c>
      <c r="F5" s="902"/>
      <c r="G5" s="902"/>
      <c r="H5" s="902"/>
      <c r="I5" s="902"/>
      <c r="J5" s="902"/>
      <c r="K5" s="70"/>
    </row>
    <row r="6" spans="1:12" ht="15" customHeight="1">
      <c r="A6" s="70"/>
      <c r="B6" s="902" t="s">
        <v>635</v>
      </c>
      <c r="C6" s="902"/>
      <c r="D6" s="902"/>
      <c r="E6" s="902"/>
      <c r="F6" s="902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954" t="str">
        <f>DATOS!D20</f>
        <v>-</v>
      </c>
      <c r="C8" s="954"/>
      <c r="D8" s="117" t="str">
        <f>DATOS!D21</f>
        <v>-</v>
      </c>
      <c r="E8" s="117" t="str">
        <f>DATOS!D22</f>
        <v>-</v>
      </c>
      <c r="F8" s="899" t="str">
        <f>DATOS!D23</f>
        <v>-</v>
      </c>
      <c r="G8" s="899"/>
      <c r="H8" s="127" t="s">
        <v>49</v>
      </c>
      <c r="I8" s="950" t="s">
        <v>49</v>
      </c>
      <c r="J8" s="950"/>
      <c r="K8" s="126"/>
      <c r="L8" s="132"/>
    </row>
    <row r="9" spans="1:12" ht="13.5" customHeight="1">
      <c r="B9" s="891" t="s">
        <v>213</v>
      </c>
      <c r="C9" s="891"/>
      <c r="D9" s="112" t="s">
        <v>27</v>
      </c>
      <c r="E9" s="131" t="s">
        <v>147</v>
      </c>
      <c r="F9" s="891" t="s">
        <v>214</v>
      </c>
      <c r="G9" s="891"/>
      <c r="H9" s="130" t="s">
        <v>207</v>
      </c>
      <c r="I9" s="951" t="s">
        <v>862</v>
      </c>
      <c r="J9" s="951"/>
      <c r="K9" s="109"/>
      <c r="L9" s="111"/>
    </row>
    <row r="10" spans="1:12" ht="15" customHeight="1">
      <c r="B10" s="935" t="s">
        <v>201</v>
      </c>
      <c r="C10" s="935"/>
      <c r="D10" s="117" t="s">
        <v>201</v>
      </c>
      <c r="E10" s="935" t="s">
        <v>663</v>
      </c>
      <c r="F10" s="935"/>
      <c r="G10" s="935"/>
      <c r="J10" s="70"/>
      <c r="K10" s="70"/>
      <c r="L10" s="51"/>
    </row>
    <row r="11" spans="1:12" ht="13.5" customHeight="1">
      <c r="B11" s="891" t="s">
        <v>87</v>
      </c>
      <c r="C11" s="891"/>
      <c r="D11" s="130" t="s">
        <v>146</v>
      </c>
      <c r="E11" s="891" t="s">
        <v>26</v>
      </c>
      <c r="F11" s="891"/>
      <c r="G11" s="891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902" t="s">
        <v>634</v>
      </c>
      <c r="C13" s="902"/>
      <c r="D13" s="902"/>
      <c r="E13" s="902"/>
      <c r="F13" s="902"/>
      <c r="G13" s="902"/>
      <c r="H13" s="902"/>
      <c r="I13" s="902"/>
      <c r="J13" s="902"/>
      <c r="K13" s="51"/>
    </row>
    <row r="14" spans="1:12" ht="15" customHeight="1">
      <c r="A14" s="70"/>
      <c r="B14" s="902" t="s">
        <v>733</v>
      </c>
      <c r="C14" s="902"/>
      <c r="D14" s="902"/>
      <c r="E14" s="902"/>
      <c r="F14" s="902"/>
      <c r="G14" s="902"/>
      <c r="H14" s="902"/>
      <c r="I14" s="902"/>
      <c r="J14" s="902"/>
      <c r="K14" s="51"/>
    </row>
    <row r="15" spans="1:12" ht="15" customHeight="1">
      <c r="A15" s="70"/>
      <c r="B15" s="902" t="s">
        <v>633</v>
      </c>
      <c r="C15" s="902"/>
      <c r="D15" s="902"/>
      <c r="E15" s="902"/>
      <c r="F15" s="902"/>
      <c r="G15" s="902"/>
      <c r="H15" s="902"/>
      <c r="I15" s="902"/>
      <c r="J15" s="902"/>
      <c r="K15" s="51"/>
    </row>
    <row r="16" spans="1:12" ht="15" customHeight="1">
      <c r="A16" s="70"/>
      <c r="B16" s="902" t="s">
        <v>632</v>
      </c>
      <c r="C16" s="902"/>
      <c r="D16" s="902"/>
      <c r="E16" s="902"/>
      <c r="F16" s="902"/>
      <c r="G16" s="902"/>
      <c r="H16" s="902"/>
      <c r="I16" s="902"/>
      <c r="J16" s="902"/>
      <c r="K16" s="51"/>
    </row>
    <row r="17" spans="1:12" ht="15" customHeight="1">
      <c r="A17" s="70"/>
      <c r="B17" s="949" t="s">
        <v>631</v>
      </c>
      <c r="C17" s="949"/>
      <c r="D17" s="949"/>
      <c r="E17" s="949"/>
      <c r="F17" s="949"/>
      <c r="G17" s="949"/>
      <c r="H17" s="949"/>
      <c r="I17" s="949"/>
      <c r="J17" s="949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947" t="s">
        <v>630</v>
      </c>
      <c r="F19" s="947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948">
        <v>45401</v>
      </c>
      <c r="I20" s="948"/>
      <c r="J20" s="948"/>
      <c r="K20" s="70"/>
      <c r="L20" s="128"/>
    </row>
    <row r="21" spans="1:12" ht="15" customHeight="1">
      <c r="A21" s="70"/>
      <c r="B21" s="902" t="s">
        <v>629</v>
      </c>
      <c r="C21" s="902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902" t="s">
        <v>628</v>
      </c>
      <c r="C22" s="902"/>
      <c r="D22" s="902"/>
      <c r="E22" s="902"/>
      <c r="F22" s="902"/>
      <c r="G22" s="902"/>
      <c r="H22" s="902"/>
      <c r="I22" s="902"/>
      <c r="J22" s="902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899" t="str">
        <f>B8</f>
        <v>-</v>
      </c>
      <c r="C24" s="899"/>
      <c r="D24" s="899"/>
      <c r="E24" s="117" t="str">
        <f>DATOS!D21</f>
        <v>-</v>
      </c>
      <c r="F24" s="118" t="str">
        <f>E8</f>
        <v>-</v>
      </c>
      <c r="G24" s="899" t="str">
        <f>F8</f>
        <v>-</v>
      </c>
      <c r="H24" s="899"/>
      <c r="I24" s="117" t="s">
        <v>49</v>
      </c>
      <c r="J24" s="126"/>
      <c r="L24" s="116"/>
    </row>
    <row r="25" spans="1:12" ht="13.5" customHeight="1">
      <c r="B25" s="934" t="s">
        <v>213</v>
      </c>
      <c r="C25" s="934"/>
      <c r="D25" s="934"/>
      <c r="E25" s="115" t="s">
        <v>27</v>
      </c>
      <c r="F25" s="114" t="s">
        <v>147</v>
      </c>
      <c r="G25" s="934" t="s">
        <v>214</v>
      </c>
      <c r="H25" s="934"/>
      <c r="I25" s="115" t="s">
        <v>207</v>
      </c>
      <c r="J25" s="112"/>
      <c r="L25" s="111"/>
    </row>
    <row r="26" spans="1:12" ht="15" customHeight="1">
      <c r="B26" s="935" t="s">
        <v>201</v>
      </c>
      <c r="C26" s="935"/>
      <c r="D26" s="935"/>
      <c r="E26" s="935" t="str">
        <f>D10</f>
        <v>LIMA</v>
      </c>
      <c r="F26" s="935"/>
      <c r="G26" s="935" t="str">
        <f>E10</f>
        <v>SAN BORJA</v>
      </c>
      <c r="H26" s="935"/>
      <c r="I26" s="935"/>
      <c r="J26" s="70"/>
      <c r="K26" s="70"/>
      <c r="L26" s="51"/>
    </row>
    <row r="27" spans="1:12" ht="13.5" customHeight="1">
      <c r="B27" s="934" t="s">
        <v>87</v>
      </c>
      <c r="C27" s="934"/>
      <c r="D27" s="934"/>
      <c r="E27" s="934" t="s">
        <v>146</v>
      </c>
      <c r="F27" s="934"/>
      <c r="G27" s="934" t="s">
        <v>26</v>
      </c>
      <c r="H27" s="934"/>
      <c r="I27" s="934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902" t="s">
        <v>627</v>
      </c>
      <c r="C29" s="902"/>
      <c r="D29" s="902"/>
      <c r="E29" s="902"/>
      <c r="F29" s="902"/>
      <c r="G29" s="902"/>
      <c r="H29" s="902"/>
      <c r="I29" s="902"/>
      <c r="J29" s="902"/>
      <c r="K29" s="70"/>
      <c r="L29" s="60"/>
    </row>
    <row r="30" spans="1:12" ht="15" customHeight="1">
      <c r="A30" s="70"/>
      <c r="B30" s="902" t="s">
        <v>626</v>
      </c>
      <c r="C30" s="902"/>
      <c r="D30" s="902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938" t="s">
        <v>625</v>
      </c>
      <c r="C32" s="939"/>
      <c r="D32" s="939"/>
      <c r="E32" s="939"/>
      <c r="F32" s="938" t="s">
        <v>624</v>
      </c>
      <c r="G32" s="939"/>
      <c r="H32" s="939"/>
      <c r="I32" s="940"/>
      <c r="J32" s="70"/>
      <c r="K32" s="70"/>
      <c r="L32" s="60"/>
    </row>
    <row r="33" spans="1:12" ht="18" customHeight="1">
      <c r="A33" s="70"/>
      <c r="B33" s="125"/>
      <c r="C33" s="100" t="s">
        <v>623</v>
      </c>
      <c r="D33" s="941">
        <v>45409</v>
      </c>
      <c r="E33" s="942"/>
      <c r="F33" s="124" t="s">
        <v>623</v>
      </c>
      <c r="G33" s="941">
        <f>D33</f>
        <v>45409</v>
      </c>
      <c r="H33" s="941"/>
      <c r="I33" s="942"/>
      <c r="J33" s="70"/>
      <c r="K33" s="70"/>
      <c r="L33" s="60"/>
    </row>
    <row r="34" spans="1:12" ht="18" customHeight="1" thickBot="1">
      <c r="A34" s="70"/>
      <c r="B34" s="123"/>
      <c r="C34" s="122" t="s">
        <v>622</v>
      </c>
      <c r="D34" s="943">
        <v>0.45833333333333331</v>
      </c>
      <c r="E34" s="944"/>
      <c r="F34" s="121" t="s">
        <v>622</v>
      </c>
      <c r="G34" s="945">
        <v>0.58333333333333337</v>
      </c>
      <c r="H34" s="945"/>
      <c r="I34" s="946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902" t="s">
        <v>681</v>
      </c>
      <c r="C36" s="902"/>
      <c r="D36" s="902"/>
      <c r="E36" s="902"/>
      <c r="F36" s="902"/>
      <c r="G36" s="902"/>
      <c r="H36" s="902"/>
      <c r="I36" s="902"/>
      <c r="J36" s="902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899" t="str">
        <f>B24</f>
        <v>-</v>
      </c>
      <c r="C38" s="899"/>
      <c r="D38" s="899"/>
      <c r="E38" s="117" t="str">
        <f>DATOS!D21</f>
        <v>-</v>
      </c>
      <c r="F38" s="118" t="str">
        <f>DATOS!D22</f>
        <v>-</v>
      </c>
      <c r="G38" s="899" t="str">
        <f>G24</f>
        <v>-</v>
      </c>
      <c r="H38" s="899"/>
      <c r="I38" s="117" t="s">
        <v>49</v>
      </c>
      <c r="J38" s="183" t="s">
        <v>678</v>
      </c>
      <c r="L38" s="116"/>
    </row>
    <row r="39" spans="1:12" ht="15" customHeight="1">
      <c r="B39" s="934" t="s">
        <v>213</v>
      </c>
      <c r="C39" s="934"/>
      <c r="D39" s="934"/>
      <c r="E39" s="115" t="s">
        <v>27</v>
      </c>
      <c r="F39" s="114" t="s">
        <v>147</v>
      </c>
      <c r="G39" s="934" t="s">
        <v>214</v>
      </c>
      <c r="H39" s="934"/>
      <c r="I39" s="113" t="s">
        <v>207</v>
      </c>
      <c r="J39" s="112" t="s">
        <v>215</v>
      </c>
      <c r="L39" s="111"/>
    </row>
    <row r="40" spans="1:12" ht="18" customHeight="1">
      <c r="B40" s="935" t="s">
        <v>201</v>
      </c>
      <c r="C40" s="935"/>
      <c r="D40" s="935"/>
      <c r="E40" s="899" t="s">
        <v>201</v>
      </c>
      <c r="F40" s="899"/>
      <c r="G40" s="935" t="str">
        <f>G26</f>
        <v>SAN BORJA</v>
      </c>
      <c r="H40" s="935"/>
      <c r="I40" s="935"/>
      <c r="J40" s="70"/>
      <c r="K40" s="70"/>
      <c r="L40" s="51"/>
    </row>
    <row r="41" spans="1:12" ht="18" customHeight="1">
      <c r="B41" s="934" t="s">
        <v>87</v>
      </c>
      <c r="C41" s="934"/>
      <c r="D41" s="934"/>
      <c r="E41" s="934" t="s">
        <v>146</v>
      </c>
      <c r="F41" s="934"/>
      <c r="G41" s="934" t="s">
        <v>26</v>
      </c>
      <c r="H41" s="934"/>
      <c r="I41" s="934"/>
      <c r="J41" s="110"/>
      <c r="K41" s="70"/>
      <c r="L41" s="15"/>
    </row>
    <row r="42" spans="1:12" ht="15" customHeight="1">
      <c r="A42" s="109"/>
      <c r="B42" s="911" t="s">
        <v>621</v>
      </c>
      <c r="C42" s="911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814" t="s">
        <v>738</v>
      </c>
      <c r="C43" s="814"/>
      <c r="D43" s="814"/>
      <c r="E43" s="814"/>
      <c r="F43" s="814"/>
      <c r="G43" s="814"/>
      <c r="H43" s="814"/>
      <c r="I43" s="814"/>
      <c r="J43" s="814"/>
      <c r="K43" s="59"/>
      <c r="L43" s="105"/>
    </row>
    <row r="44" spans="1:12" s="71" customFormat="1" ht="15" customHeight="1">
      <c r="A44" s="94"/>
      <c r="B44" s="936" t="s">
        <v>737</v>
      </c>
      <c r="C44" s="936"/>
      <c r="D44" s="936"/>
      <c r="E44" s="936"/>
      <c r="F44" s="936"/>
      <c r="G44" s="936"/>
      <c r="H44" s="936"/>
      <c r="I44" s="936"/>
      <c r="J44" s="936"/>
      <c r="K44" s="94"/>
      <c r="L44" s="105"/>
    </row>
    <row r="45" spans="1:12" s="71" customFormat="1" ht="15" customHeight="1">
      <c r="A45" s="94"/>
      <c r="B45" s="937" t="s">
        <v>739</v>
      </c>
      <c r="C45" s="937"/>
      <c r="D45" s="937"/>
      <c r="E45" s="937"/>
      <c r="F45" s="937"/>
      <c r="G45" s="937"/>
      <c r="H45" s="937"/>
      <c r="I45" s="937"/>
      <c r="J45" s="937"/>
      <c r="K45" s="94"/>
      <c r="L45" s="105"/>
    </row>
    <row r="46" spans="1:12" s="71" customFormat="1" ht="15" customHeight="1">
      <c r="A46" s="94"/>
      <c r="B46" s="814" t="s">
        <v>743</v>
      </c>
      <c r="C46" s="814"/>
      <c r="D46" s="814"/>
      <c r="E46" s="814"/>
      <c r="F46" s="814"/>
      <c r="G46" s="814"/>
      <c r="H46" s="814"/>
      <c r="I46" s="814"/>
      <c r="J46" s="814"/>
      <c r="K46" s="94"/>
      <c r="L46" s="105"/>
    </row>
    <row r="47" spans="1:12" s="153" customFormat="1" ht="15" customHeight="1">
      <c r="A47" s="151"/>
      <c r="B47" s="929" t="s">
        <v>749</v>
      </c>
      <c r="C47" s="929"/>
      <c r="D47" s="929"/>
      <c r="E47" s="929"/>
      <c r="F47" s="929"/>
      <c r="G47" s="929"/>
      <c r="H47" s="929"/>
      <c r="I47" s="929"/>
      <c r="J47" s="929"/>
      <c r="K47" s="151"/>
      <c r="L47" s="152"/>
    </row>
    <row r="48" spans="1:12" s="153" customFormat="1" ht="15" customHeight="1">
      <c r="A48" s="151"/>
      <c r="B48" s="933" t="s">
        <v>748</v>
      </c>
      <c r="C48" s="933"/>
      <c r="D48" s="933"/>
      <c r="E48" s="933"/>
      <c r="F48" s="933"/>
      <c r="G48" s="933"/>
      <c r="H48" s="933"/>
      <c r="I48" s="933"/>
      <c r="J48" s="206"/>
      <c r="K48" s="151"/>
      <c r="L48" s="152"/>
    </row>
    <row r="49" spans="1:11" s="71" customFormat="1" ht="15" customHeight="1">
      <c r="A49" s="94"/>
      <c r="B49" s="814" t="s">
        <v>812</v>
      </c>
      <c r="C49" s="814"/>
      <c r="D49" s="814"/>
      <c r="E49" s="814"/>
      <c r="F49" s="814"/>
      <c r="G49" s="814"/>
      <c r="H49" s="814"/>
      <c r="I49" s="814"/>
      <c r="J49" s="814"/>
      <c r="K49" s="94"/>
    </row>
    <row r="50" spans="1:11" s="71" customFormat="1" ht="15" customHeight="1">
      <c r="A50" s="94"/>
      <c r="B50" s="814" t="s">
        <v>740</v>
      </c>
      <c r="C50" s="814"/>
      <c r="D50" s="814"/>
      <c r="E50" s="814"/>
      <c r="F50" s="814"/>
      <c r="G50" s="814"/>
      <c r="H50" s="814"/>
      <c r="I50" s="814"/>
      <c r="J50" s="814"/>
      <c r="K50" s="94"/>
    </row>
    <row r="51" spans="1:11" s="71" customFormat="1" ht="15" customHeight="1">
      <c r="A51" s="94"/>
      <c r="B51" s="814" t="s">
        <v>741</v>
      </c>
      <c r="C51" s="814"/>
      <c r="D51" s="814"/>
      <c r="E51" s="814"/>
      <c r="F51" s="814"/>
      <c r="G51" s="814"/>
      <c r="H51" s="814"/>
      <c r="I51" s="814"/>
      <c r="J51" s="814"/>
      <c r="K51" s="94"/>
    </row>
    <row r="52" spans="1:11" s="71" customFormat="1" ht="15" customHeight="1">
      <c r="A52" s="94"/>
      <c r="B52" s="748" t="s">
        <v>736</v>
      </c>
      <c r="C52" s="814"/>
      <c r="D52" s="814"/>
      <c r="E52" s="814"/>
      <c r="F52" s="814"/>
      <c r="G52" s="814"/>
      <c r="H52" s="814"/>
      <c r="I52" s="814"/>
      <c r="J52" s="814"/>
      <c r="K52" s="94"/>
    </row>
    <row r="53" spans="1:11" s="71" customFormat="1" ht="15" customHeight="1">
      <c r="A53" s="94"/>
      <c r="B53" s="814" t="s">
        <v>742</v>
      </c>
      <c r="C53" s="814"/>
      <c r="D53" s="814"/>
      <c r="E53" s="814"/>
      <c r="F53" s="814"/>
      <c r="G53" s="814"/>
      <c r="H53" s="814"/>
      <c r="I53" s="814"/>
      <c r="J53" s="814"/>
      <c r="K53" s="94"/>
    </row>
    <row r="54" spans="1:11" s="71" customFormat="1" ht="15" customHeight="1">
      <c r="A54" s="94"/>
      <c r="B54" s="748" t="s">
        <v>735</v>
      </c>
      <c r="C54" s="814"/>
      <c r="D54" s="814"/>
      <c r="E54" s="814"/>
      <c r="F54" s="814"/>
      <c r="G54" s="814"/>
      <c r="H54" s="814"/>
      <c r="I54" s="814"/>
      <c r="J54" s="814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806" t="s">
        <v>823</v>
      </c>
      <c r="C56" s="806"/>
      <c r="D56" s="806"/>
      <c r="E56" s="806"/>
      <c r="F56" s="806"/>
      <c r="G56" s="806"/>
      <c r="H56" s="806"/>
      <c r="I56" s="806"/>
      <c r="J56" s="806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926"/>
      <c r="C58" s="926"/>
      <c r="D58" s="926"/>
      <c r="F58" s="930"/>
      <c r="G58" s="930"/>
      <c r="H58" s="930"/>
      <c r="I58" s="930"/>
      <c r="J58" s="70"/>
      <c r="K58" s="70"/>
    </row>
    <row r="59" spans="1:11" ht="13.5" customHeight="1">
      <c r="A59" s="70"/>
      <c r="B59" s="926"/>
      <c r="C59" s="926"/>
      <c r="D59" s="926"/>
      <c r="F59" s="930"/>
      <c r="G59" s="930"/>
      <c r="H59" s="930"/>
      <c r="I59" s="930"/>
      <c r="J59" s="70"/>
      <c r="K59" s="70"/>
    </row>
    <row r="60" spans="1:11" ht="13.5" customHeight="1">
      <c r="A60" s="70"/>
      <c r="B60" s="926"/>
      <c r="C60" s="926"/>
      <c r="D60" s="926"/>
      <c r="F60" s="930"/>
      <c r="G60" s="930"/>
      <c r="H60" s="930"/>
      <c r="I60" s="930"/>
      <c r="J60" s="70"/>
      <c r="K60" s="70"/>
    </row>
    <row r="61" spans="1:11" ht="13.5" customHeight="1">
      <c r="A61" s="70"/>
      <c r="B61" s="926"/>
      <c r="C61" s="926"/>
      <c r="D61" s="926"/>
      <c r="F61" s="930"/>
      <c r="G61" s="930"/>
      <c r="H61" s="930"/>
      <c r="I61" s="930"/>
      <c r="K61" s="70"/>
    </row>
    <row r="62" spans="1:11" ht="13.5" customHeight="1">
      <c r="B62" s="926"/>
      <c r="C62" s="926"/>
      <c r="D62" s="926"/>
      <c r="F62" s="930"/>
      <c r="G62" s="930"/>
      <c r="H62" s="930"/>
      <c r="I62" s="930"/>
    </row>
    <row r="63" spans="1:11" ht="13.5" customHeight="1" thickBot="1">
      <c r="B63" s="878"/>
      <c r="C63" s="878"/>
      <c r="D63" s="878"/>
      <c r="F63" s="931"/>
      <c r="G63" s="931"/>
      <c r="H63" s="931"/>
      <c r="I63" s="931"/>
    </row>
    <row r="64" spans="1:11">
      <c r="B64" s="927" t="str">
        <f>C4</f>
        <v>TORRES SALHUANA CLAUDIA CONSUELO</v>
      </c>
      <c r="C64" s="927"/>
      <c r="D64" s="927"/>
      <c r="F64" s="932" t="s">
        <v>686</v>
      </c>
      <c r="G64" s="932"/>
      <c r="H64" s="932"/>
      <c r="I64" s="932"/>
    </row>
    <row r="65" spans="2:10">
      <c r="B65" s="812" t="s">
        <v>699</v>
      </c>
      <c r="C65" s="812"/>
      <c r="D65" s="812"/>
      <c r="F65" s="540" t="s">
        <v>700</v>
      </c>
      <c r="G65" s="540"/>
      <c r="H65" s="540"/>
      <c r="I65" s="540"/>
      <c r="J65" s="70"/>
    </row>
    <row r="66" spans="2:10">
      <c r="B66" s="928" t="s">
        <v>620</v>
      </c>
      <c r="C66" s="928"/>
      <c r="D66" s="928"/>
    </row>
  </sheetData>
  <mergeCells count="74">
    <mergeCell ref="B10:C10"/>
    <mergeCell ref="E10:G10"/>
    <mergeCell ref="B11:C11"/>
    <mergeCell ref="E11:G11"/>
    <mergeCell ref="B8:C8"/>
    <mergeCell ref="F8:G8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3:J13"/>
    <mergeCell ref="B14:J14"/>
    <mergeCell ref="B15:J15"/>
    <mergeCell ref="B16:J16"/>
    <mergeCell ref="B17:J17"/>
    <mergeCell ref="E19:F19"/>
    <mergeCell ref="H20:J20"/>
    <mergeCell ref="B21:C21"/>
    <mergeCell ref="B22:J22"/>
    <mergeCell ref="B24:D24"/>
    <mergeCell ref="G24:H24"/>
    <mergeCell ref="B25:D25"/>
    <mergeCell ref="G25:H25"/>
    <mergeCell ref="B26:D26"/>
    <mergeCell ref="E26:F26"/>
    <mergeCell ref="G26:I26"/>
    <mergeCell ref="B27:D27"/>
    <mergeCell ref="E27:F27"/>
    <mergeCell ref="G27:I27"/>
    <mergeCell ref="B29:J29"/>
    <mergeCell ref="B30:D30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44:J44"/>
    <mergeCell ref="B45:J45"/>
    <mergeCell ref="B46:J46"/>
    <mergeCell ref="B41:D41"/>
    <mergeCell ref="E41:F41"/>
    <mergeCell ref="G41:I41"/>
    <mergeCell ref="B42:C42"/>
    <mergeCell ref="B43:J43"/>
    <mergeCell ref="B39:D39"/>
    <mergeCell ref="G39:H39"/>
    <mergeCell ref="B40:D40"/>
    <mergeCell ref="E40:F40"/>
    <mergeCell ref="G40:I40"/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</mergeCells>
  <pageMargins left="0.8" right="0" top="0.17" bottom="0.11" header="0" footer="0"/>
  <pageSetup paperSize="9" scale="73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baseColWidth="10"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1" t="s">
        <v>856</v>
      </c>
      <c r="C4" s="967"/>
      <c r="D4" s="967"/>
      <c r="E4" s="967"/>
      <c r="F4" s="967"/>
      <c r="G4" s="968"/>
      <c r="H4" s="272" t="s">
        <v>474</v>
      </c>
      <c r="I4" s="88" t="str">
        <f>DATOS!D27</f>
        <v>REGULARIZACION E INDEPENDIZACION</v>
      </c>
      <c r="J4" s="961" t="s">
        <v>445</v>
      </c>
      <c r="K4" s="962"/>
    </row>
    <row r="5" spans="2:11" ht="15" customHeight="1">
      <c r="B5" s="972" t="s">
        <v>841</v>
      </c>
      <c r="C5" s="973"/>
      <c r="D5" s="973"/>
      <c r="E5" s="973"/>
      <c r="F5" s="973"/>
      <c r="G5" s="974"/>
      <c r="H5" s="272" t="s">
        <v>475</v>
      </c>
      <c r="I5" s="101" t="s">
        <v>619</v>
      </c>
      <c r="J5" s="963" t="s">
        <v>855</v>
      </c>
      <c r="K5" s="964"/>
    </row>
    <row r="6" spans="2:11" ht="15" customHeight="1">
      <c r="B6" s="958" t="s">
        <v>843</v>
      </c>
      <c r="C6" s="975"/>
      <c r="D6" s="975"/>
      <c r="E6" s="975"/>
      <c r="F6" s="975"/>
      <c r="G6" s="976"/>
      <c r="H6" s="272" t="s">
        <v>476</v>
      </c>
      <c r="I6" s="101" t="s">
        <v>854</v>
      </c>
      <c r="J6" s="965"/>
      <c r="K6" s="966"/>
    </row>
    <row r="7" spans="2:11" ht="15" customHeight="1">
      <c r="B7" s="958" t="s">
        <v>842</v>
      </c>
      <c r="C7" s="959"/>
      <c r="D7" s="959"/>
      <c r="E7" s="959"/>
      <c r="F7" s="959"/>
      <c r="G7" s="960"/>
      <c r="H7" s="272" t="s">
        <v>477</v>
      </c>
      <c r="I7" s="90">
        <f ca="1">TODAY()</f>
        <v>45791</v>
      </c>
      <c r="J7" s="91" t="s">
        <v>472</v>
      </c>
      <c r="K7" s="91">
        <f>DATOS!D1</f>
        <v>0</v>
      </c>
    </row>
    <row r="8" spans="2:11">
      <c r="B8" s="2"/>
    </row>
    <row r="10" spans="2:11" ht="15" customHeight="1">
      <c r="B10" s="86" t="s">
        <v>473</v>
      </c>
      <c r="C10" s="967"/>
      <c r="D10" s="967"/>
      <c r="E10" s="967"/>
      <c r="F10" s="967"/>
      <c r="G10" s="968"/>
      <c r="H10" s="87" t="s">
        <v>474</v>
      </c>
      <c r="I10" s="88" t="str">
        <f>I4</f>
        <v>REGULARIZACION E INDEPENDIZACION</v>
      </c>
      <c r="J10" s="961" t="s">
        <v>445</v>
      </c>
      <c r="K10" s="962"/>
    </row>
    <row r="11" spans="2:11" ht="15" customHeight="1">
      <c r="B11" s="969" t="str">
        <f>B5</f>
        <v>CORNEJO HERRERA UBALDI</v>
      </c>
      <c r="C11" s="970"/>
      <c r="D11" s="970"/>
      <c r="E11" s="970"/>
      <c r="F11" s="970"/>
      <c r="G11" s="971"/>
      <c r="H11" s="87" t="s">
        <v>475</v>
      </c>
      <c r="I11" s="89" t="s">
        <v>450</v>
      </c>
      <c r="J11" s="963" t="s">
        <v>449</v>
      </c>
      <c r="K11" s="964"/>
    </row>
    <row r="12" spans="2:11" ht="15" customHeight="1">
      <c r="B12" s="969"/>
      <c r="C12" s="970"/>
      <c r="D12" s="970"/>
      <c r="E12" s="970"/>
      <c r="F12" s="970"/>
      <c r="G12" s="971"/>
      <c r="H12" s="87" t="s">
        <v>476</v>
      </c>
      <c r="I12" s="89" t="str">
        <f>I6</f>
        <v>1/150</v>
      </c>
      <c r="J12" s="965"/>
      <c r="K12" s="966"/>
    </row>
    <row r="13" spans="2:11" ht="15" customHeight="1">
      <c r="B13" s="955"/>
      <c r="C13" s="956"/>
      <c r="D13" s="956"/>
      <c r="E13" s="956"/>
      <c r="F13" s="956"/>
      <c r="G13" s="957"/>
      <c r="H13" s="87" t="s">
        <v>477</v>
      </c>
      <c r="I13" s="90">
        <f ca="1">I7</f>
        <v>45791</v>
      </c>
      <c r="J13" s="91" t="s">
        <v>472</v>
      </c>
      <c r="K13" s="91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baseColWidth="10"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998" t="s">
        <v>451</v>
      </c>
      <c r="C4" s="996"/>
      <c r="D4" s="996" t="s">
        <v>617</v>
      </c>
      <c r="E4" s="996"/>
      <c r="F4" s="997"/>
    </row>
    <row r="5" spans="2:6" ht="15.75" customHeight="1">
      <c r="B5" s="999" t="s">
        <v>689</v>
      </c>
      <c r="C5" s="984"/>
      <c r="D5" s="984" t="s">
        <v>618</v>
      </c>
      <c r="E5" s="984"/>
      <c r="F5" s="1000"/>
    </row>
    <row r="6" spans="2:6" ht="15.75" customHeight="1">
      <c r="B6" s="999" t="s">
        <v>727</v>
      </c>
      <c r="C6" s="984"/>
      <c r="D6" s="76" t="s">
        <v>201</v>
      </c>
      <c r="E6" s="76"/>
      <c r="F6" s="77"/>
    </row>
    <row r="7" spans="2:6" ht="15.75" customHeight="1">
      <c r="B7" s="999" t="s">
        <v>728</v>
      </c>
      <c r="C7" s="984"/>
      <c r="D7" s="76" t="s">
        <v>201</v>
      </c>
      <c r="E7" s="76"/>
      <c r="F7" s="77"/>
    </row>
    <row r="8" spans="2:6" ht="15.75" customHeight="1">
      <c r="B8" s="999" t="s">
        <v>729</v>
      </c>
      <c r="C8" s="984"/>
      <c r="D8" s="984" t="str">
        <f>DATOS!D19</f>
        <v>-</v>
      </c>
      <c r="E8" s="984"/>
      <c r="F8" s="77"/>
    </row>
    <row r="9" spans="2:6" ht="37.5" customHeight="1">
      <c r="B9" s="985" t="s">
        <v>730</v>
      </c>
      <c r="C9" s="986"/>
      <c r="D9" s="987" t="str">
        <f>DATOS!D20</f>
        <v>-</v>
      </c>
      <c r="E9" s="987"/>
      <c r="F9" s="988"/>
    </row>
    <row r="10" spans="2:6" ht="15.75" customHeight="1">
      <c r="B10" s="266" t="s">
        <v>848</v>
      </c>
      <c r="C10" s="78"/>
      <c r="D10" s="78"/>
      <c r="E10" s="76"/>
      <c r="F10" s="77"/>
    </row>
    <row r="11" spans="2:6" ht="15.75" customHeight="1">
      <c r="B11" s="999" t="s">
        <v>731</v>
      </c>
      <c r="C11" s="984"/>
      <c r="D11" s="78" t="str">
        <f>DATOS!D21</f>
        <v>-</v>
      </c>
      <c r="E11" s="76"/>
      <c r="F11" s="77"/>
    </row>
    <row r="12" spans="2:6" ht="15.75" customHeight="1">
      <c r="B12" s="999" t="s">
        <v>732</v>
      </c>
      <c r="C12" s="984"/>
      <c r="D12" s="78" t="str">
        <f>DATOS!D22</f>
        <v>-</v>
      </c>
      <c r="E12" s="76"/>
      <c r="F12" s="77"/>
    </row>
    <row r="13" spans="2:6" ht="15" customHeight="1">
      <c r="B13" s="72" t="s">
        <v>453</v>
      </c>
      <c r="C13" s="73"/>
      <c r="D13" s="79"/>
      <c r="E13" s="73"/>
      <c r="F13" s="74"/>
    </row>
    <row r="21" spans="2:6">
      <c r="B21" s="72" t="s">
        <v>452</v>
      </c>
      <c r="C21" s="73"/>
      <c r="D21" s="73"/>
      <c r="E21" s="989"/>
      <c r="F21" s="990"/>
    </row>
    <row r="22" spans="2:6" ht="15" customHeight="1">
      <c r="B22" s="993" t="str">
        <f>_xlfn.CONCAT(DATOS!D5," ",DATOS!D6)</f>
        <v>- -</v>
      </c>
      <c r="C22" s="994"/>
      <c r="D22" s="994"/>
      <c r="E22" s="994"/>
      <c r="F22" s="995"/>
    </row>
    <row r="23" spans="2:6" ht="15" customHeight="1">
      <c r="B23" s="993"/>
      <c r="C23" s="994"/>
      <c r="D23" s="994"/>
      <c r="E23" s="994"/>
      <c r="F23" s="995"/>
    </row>
    <row r="24" spans="2:6" ht="15" customHeight="1">
      <c r="B24" s="993"/>
      <c r="C24" s="994"/>
      <c r="D24" s="994"/>
      <c r="E24" s="994"/>
      <c r="F24" s="995"/>
    </row>
    <row r="25" spans="2:6" ht="15" customHeight="1">
      <c r="B25" s="80"/>
      <c r="C25" s="991"/>
      <c r="D25" s="991"/>
      <c r="E25" s="991"/>
      <c r="F25" s="992"/>
    </row>
    <row r="26" spans="2:6">
      <c r="B26" s="72" t="s">
        <v>444</v>
      </c>
      <c r="C26" s="980" t="str">
        <f>DATOS!D27</f>
        <v>REGULARIZACION E INDEPENDIZACION</v>
      </c>
      <c r="D26" s="980"/>
      <c r="E26" s="981"/>
      <c r="F26" s="81" t="s">
        <v>445</v>
      </c>
    </row>
    <row r="27" spans="2:6" ht="15" customHeight="1">
      <c r="B27" s="82"/>
      <c r="C27" s="982"/>
      <c r="D27" s="982"/>
      <c r="E27" s="983"/>
      <c r="F27" s="977" t="s">
        <v>454</v>
      </c>
    </row>
    <row r="28" spans="2:6" ht="15.75" customHeight="1">
      <c r="B28" s="75" t="s">
        <v>446</v>
      </c>
      <c r="C28" s="979" t="s">
        <v>455</v>
      </c>
      <c r="D28" s="979"/>
      <c r="E28" s="979"/>
      <c r="F28" s="978"/>
    </row>
    <row r="29" spans="2:6" ht="15" customHeight="1">
      <c r="B29" s="83" t="s">
        <v>480</v>
      </c>
      <c r="C29" s="83" t="s">
        <v>447</v>
      </c>
      <c r="D29" s="83" t="s">
        <v>448</v>
      </c>
      <c r="E29" s="84" t="s">
        <v>472</v>
      </c>
      <c r="F29" s="978"/>
    </row>
    <row r="30" spans="2:6" ht="15" customHeight="1">
      <c r="B30" s="83" t="s">
        <v>456</v>
      </c>
      <c r="C30" s="85">
        <f ca="1">TODAY()</f>
        <v>45791</v>
      </c>
      <c r="D30" s="83" t="str">
        <f>DATOS!D2</f>
        <v>KTN</v>
      </c>
      <c r="E30" s="84">
        <f>DATOS!D1</f>
        <v>0</v>
      </c>
      <c r="F30" s="978"/>
    </row>
  </sheetData>
  <mergeCells count="21">
    <mergeCell ref="D4:F4"/>
    <mergeCell ref="B4:C4"/>
    <mergeCell ref="B5:C5"/>
    <mergeCell ref="D5:F5"/>
    <mergeCell ref="B12:C12"/>
    <mergeCell ref="B11:C11"/>
    <mergeCell ref="B8:C8"/>
    <mergeCell ref="B7:C7"/>
    <mergeCell ref="B6:C6"/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baseColWidth="10"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009" t="s">
        <v>457</v>
      </c>
      <c r="D4" s="1010"/>
      <c r="E4" s="1013" t="s">
        <v>458</v>
      </c>
      <c r="F4" s="1017" t="s">
        <v>444</v>
      </c>
      <c r="G4" s="1018"/>
      <c r="H4" s="1001" t="s">
        <v>490</v>
      </c>
      <c r="I4" s="1002"/>
      <c r="J4" s="1003"/>
    </row>
    <row r="5" spans="3:10">
      <c r="C5" s="1011"/>
      <c r="D5" s="1012"/>
      <c r="E5" s="1014"/>
      <c r="F5" s="1019"/>
      <c r="G5" s="1020"/>
      <c r="H5" s="1015" t="s">
        <v>459</v>
      </c>
      <c r="I5" s="1021" t="s">
        <v>479</v>
      </c>
      <c r="J5" s="1015" t="s">
        <v>159</v>
      </c>
    </row>
    <row r="6" spans="3:10" ht="17.100000000000001" customHeight="1">
      <c r="C6" s="1004" t="s">
        <v>460</v>
      </c>
      <c r="D6" s="1005"/>
      <c r="E6" s="259" t="s">
        <v>838</v>
      </c>
      <c r="F6" s="1029" t="s">
        <v>488</v>
      </c>
      <c r="G6" s="1030"/>
      <c r="H6" s="1016"/>
      <c r="I6" s="1022"/>
      <c r="J6" s="1016"/>
    </row>
    <row r="7" spans="3:10" ht="17.100000000000001" customHeight="1">
      <c r="C7" s="1006" t="s">
        <v>461</v>
      </c>
      <c r="D7" s="1007"/>
      <c r="E7" s="260" t="s">
        <v>469</v>
      </c>
      <c r="F7" s="1023" t="s">
        <v>469</v>
      </c>
      <c r="G7" s="1024"/>
      <c r="H7" s="64" t="s">
        <v>835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008" t="s">
        <v>462</v>
      </c>
      <c r="D8" s="1008"/>
      <c r="E8" s="261" t="s">
        <v>839</v>
      </c>
      <c r="F8" s="1036" t="e">
        <f>J14/J13</f>
        <v>#VALUE!</v>
      </c>
      <c r="G8" s="1037"/>
      <c r="H8" s="64" t="s">
        <v>836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008" t="s">
        <v>463</v>
      </c>
      <c r="D9" s="1008"/>
      <c r="E9" s="261" t="s">
        <v>849</v>
      </c>
      <c r="F9" s="1031" t="s">
        <v>853</v>
      </c>
      <c r="G9" s="1032"/>
      <c r="H9" s="64" t="s">
        <v>837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008" t="s">
        <v>464</v>
      </c>
      <c r="D10" s="1008"/>
      <c r="E10" s="262" t="s">
        <v>839</v>
      </c>
      <c r="F10" s="1034">
        <v>0</v>
      </c>
      <c r="G10" s="1035"/>
      <c r="H10" s="64" t="s">
        <v>850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1025" t="s">
        <v>465</v>
      </c>
      <c r="D11" s="1026"/>
      <c r="E11" s="263" t="s">
        <v>469</v>
      </c>
      <c r="F11" s="1027" t="s">
        <v>469</v>
      </c>
      <c r="G11" s="1028"/>
      <c r="H11" s="257"/>
      <c r="I11" s="258"/>
      <c r="J11" s="63"/>
    </row>
    <row r="12" spans="3:10" ht="17.100000000000001" customHeight="1">
      <c r="C12" s="1008" t="s">
        <v>466</v>
      </c>
      <c r="D12" s="1008"/>
      <c r="E12" s="264" t="s">
        <v>839</v>
      </c>
      <c r="F12" s="1033" t="s">
        <v>469</v>
      </c>
      <c r="G12" s="1032"/>
      <c r="H12" s="64" t="s">
        <v>58</v>
      </c>
      <c r="I12" s="62"/>
      <c r="J12" s="63" t="e">
        <f>SUM(J7:J11)</f>
        <v>#REF!</v>
      </c>
    </row>
    <row r="13" spans="3:10" ht="17.100000000000001" customHeight="1">
      <c r="C13" s="1008" t="s">
        <v>468</v>
      </c>
      <c r="D13" s="1008"/>
      <c r="E13" s="260" t="s">
        <v>469</v>
      </c>
      <c r="F13" s="1023" t="s">
        <v>469</v>
      </c>
      <c r="G13" s="1024"/>
      <c r="H13" s="64" t="s">
        <v>467</v>
      </c>
      <c r="I13" s="62"/>
      <c r="J13" s="63" t="str">
        <f>DATOS!D11</f>
        <v>-</v>
      </c>
    </row>
    <row r="14" spans="3:10" ht="17.100000000000001" customHeight="1">
      <c r="C14" s="1008" t="s">
        <v>470</v>
      </c>
      <c r="D14" s="1008"/>
      <c r="E14" s="264" t="s">
        <v>839</v>
      </c>
      <c r="F14" s="97" t="str">
        <f>DATOS!D11</f>
        <v>-</v>
      </c>
      <c r="G14" s="65" t="s">
        <v>198</v>
      </c>
      <c r="H14" s="64" t="s">
        <v>59</v>
      </c>
      <c r="I14" s="64"/>
      <c r="J14" s="63" t="e">
        <f>J13-J7</f>
        <v>#VALUE!</v>
      </c>
    </row>
    <row r="15" spans="3:10" ht="17.100000000000001" customHeight="1">
      <c r="C15" s="1008" t="s">
        <v>471</v>
      </c>
      <c r="D15" s="1008"/>
      <c r="E15" s="265"/>
      <c r="F15" s="1031"/>
      <c r="G15" s="1032"/>
      <c r="H15" s="64" t="s">
        <v>478</v>
      </c>
      <c r="I15" s="62"/>
      <c r="J15" s="63" t="e">
        <f>#REF!</f>
        <v>#REF!</v>
      </c>
    </row>
  </sheetData>
  <mergeCells count="26"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DATOS</vt:lpstr>
      <vt:lpstr>FORMULARIO</vt:lpstr>
      <vt:lpstr>INFORME</vt:lpstr>
      <vt:lpstr>Anexo 1</vt:lpstr>
      <vt:lpstr>ANEXO 4</vt:lpstr>
      <vt:lpstr>REGLA-INTERNO</vt:lpstr>
      <vt:lpstr>Acta</vt:lpstr>
      <vt:lpstr>CONSTANCIA</vt:lpstr>
      <vt:lpstr>MEMB-P01-A01</vt:lpstr>
      <vt:lpstr>MEMB-U01</vt:lpstr>
      <vt:lpstr>MEMB-AREAS</vt:lpstr>
      <vt:lpstr>Acta!Área_de_impresión</vt:lpstr>
      <vt:lpstr>'Anexo 1'!Área_de_impresión</vt:lpstr>
      <vt:lpstr>'ANEXO 4'!Área_de_impresión</vt:lpstr>
      <vt:lpstr>CONSTANCIA!Área_de_impresión</vt:lpstr>
      <vt:lpstr>INFORME!Área_de_impresión</vt:lpstr>
      <vt:lpstr>'REGLA-INTERNO'!Área_de_impresión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Lenovo Yoga 13</cp:lastModifiedBy>
  <cp:lastPrinted>2025-05-07T21:03:35Z</cp:lastPrinted>
  <dcterms:created xsi:type="dcterms:W3CDTF">2019-05-11T14:53:02Z</dcterms:created>
  <dcterms:modified xsi:type="dcterms:W3CDTF">2025-05-14T19:40:04Z</dcterms:modified>
</cp:coreProperties>
</file>
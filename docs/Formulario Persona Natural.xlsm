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cuments\planosperu-app\docs\"/>
    </mc:Choice>
  </mc:AlternateContent>
  <xr:revisionPtr revIDLastSave="0" documentId="13_ncr:1_{3AFB1E42-FB53-4733-A965-13A7E4ABAD86}" xr6:coauthVersionLast="47" xr6:coauthVersionMax="47" xr10:uidLastSave="{00000000-0000-0000-0000-000000000000}"/>
  <bookViews>
    <workbookView xWindow="-120" yWindow="-120" windowWidth="20730" windowHeight="11040" tabRatio="791" activeTab="1" xr2:uid="{0EBEE2B5-56D3-4167-AC36-921CA7432C30}"/>
  </bookViews>
  <sheets>
    <sheet name="DATOS" sheetId="26" r:id="rId1"/>
    <sheet name="Formulario 1" sheetId="30" r:id="rId2"/>
    <sheet name="FORMULARIO" sheetId="28" r:id="rId3"/>
    <sheet name="INFORME" sheetId="4" r:id="rId4"/>
    <sheet name="Anexo 1" sheetId="29" r:id="rId5"/>
    <sheet name="Anexo 4" sheetId="34" r:id="rId6"/>
    <sheet name="Anexo 4 (2)" sheetId="12" r:id="rId7"/>
    <sheet name="Anexo 15" sheetId="31" r:id="rId8"/>
    <sheet name="REGLA-INTERNO" sheetId="6" r:id="rId9"/>
    <sheet name="Acta" sheetId="23" r:id="rId10"/>
    <sheet name="CONSTANCIA" sheetId="22" r:id="rId11"/>
    <sheet name="MEMB-P01-A01" sheetId="15" r:id="rId12"/>
    <sheet name="MEMB-U01" sheetId="16" r:id="rId13"/>
    <sheet name="MEMB-AREAS" sheetId="13" r:id="rId14"/>
  </sheets>
  <externalReferences>
    <externalReference r:id="rId15"/>
    <externalReference r:id="rId16"/>
  </externalReferences>
  <definedNames>
    <definedName name="_C7" localSheetId="9">Acta!#REF!</definedName>
    <definedName name="_C7" localSheetId="10">[1]SOLICITUD!#REF!</definedName>
    <definedName name="_C7">[1]SOLICITUD!#REF!</definedName>
    <definedName name="_xlnm.Print_Area" localSheetId="9">Acta!$A$1:$N$490</definedName>
    <definedName name="_xlnm.Print_Area" localSheetId="4">'Anexo 1'!$A$1:$L$112</definedName>
    <definedName name="_xlnm.Print_Area" localSheetId="7">'Anexo 15'!$A$1:$J$48</definedName>
    <definedName name="_xlnm.Print_Area" localSheetId="5">'Anexo 4'!$A$1:$L$716</definedName>
    <definedName name="_xlnm.Print_Area" localSheetId="6">'Anexo 4 (2)'!$A$1:$I$34</definedName>
    <definedName name="_xlnm.Print_Area" localSheetId="10">CONSTANCIA!$A$1:$L$66</definedName>
    <definedName name="_xlnm.Print_Area" localSheetId="1">'Formulario 1'!$A$1:$L$552</definedName>
    <definedName name="_xlnm.Print_Area" localSheetId="3">INFORME!$A$1:$L$205</definedName>
    <definedName name="_xlnm.Print_Area" localSheetId="8">'REGLA-INTERNO'!$A$1:$J$315</definedName>
    <definedName name="UNIDADINMOBILIARIA" localSheetId="9">Acta!$B$34:$N$41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53" i="34" l="1"/>
  <c r="E53" i="34"/>
  <c r="H52" i="34"/>
  <c r="C52" i="34"/>
  <c r="F268" i="30"/>
  <c r="F270" i="30" s="1"/>
  <c r="D257" i="30" s="1"/>
  <c r="I261" i="30"/>
  <c r="J1" i="30"/>
  <c r="I1" i="30"/>
  <c r="A660" i="28"/>
  <c r="A659" i="28"/>
  <c r="A658" i="28"/>
  <c r="A657" i="28"/>
  <c r="A656" i="28"/>
  <c r="B623" i="28"/>
  <c r="J1" i="29"/>
  <c r="B14" i="29"/>
  <c r="B36" i="29" s="1"/>
  <c r="B57" i="29" s="1"/>
  <c r="B78" i="29" s="1"/>
  <c r="B99" i="29" s="1"/>
  <c r="B120" i="29" s="1"/>
  <c r="B141" i="29" s="1"/>
  <c r="B162" i="29" s="1"/>
  <c r="H12" i="29"/>
  <c r="H9" i="29"/>
  <c r="B9" i="29"/>
  <c r="J1" i="28"/>
  <c r="H634" i="28"/>
  <c r="G626" i="28"/>
  <c r="D626" i="28"/>
  <c r="H623" i="28"/>
  <c r="E623" i="28"/>
  <c r="E320" i="28"/>
  <c r="G227" i="28"/>
  <c r="J111" i="28"/>
  <c r="B23" i="28"/>
  <c r="B18" i="28"/>
  <c r="H16" i="28"/>
  <c r="H13" i="28"/>
  <c r="B13" i="28"/>
  <c r="B22" i="16"/>
  <c r="D30" i="16"/>
  <c r="E30" i="16"/>
  <c r="D12" i="16"/>
  <c r="K7" i="15"/>
  <c r="K39" i="4"/>
  <c r="J39" i="4"/>
  <c r="I1" i="6"/>
  <c r="K1" i="4"/>
  <c r="F34" i="12"/>
  <c r="A34" i="12"/>
  <c r="G223" i="28" l="1"/>
  <c r="G226" i="28" s="1"/>
  <c r="D211" i="28" s="1"/>
  <c r="D37" i="4"/>
  <c r="A37" i="4"/>
  <c r="G37" i="4"/>
  <c r="J15" i="13" l="1"/>
  <c r="F32" i="6"/>
  <c r="E32" i="6"/>
  <c r="E46" i="6"/>
  <c r="E45" i="6"/>
  <c r="E44" i="6"/>
  <c r="E43" i="6"/>
  <c r="F33" i="6"/>
  <c r="E33" i="6"/>
  <c r="E34" i="6" l="1"/>
  <c r="F47" i="6"/>
  <c r="F46" i="6"/>
  <c r="F45" i="6"/>
  <c r="F44" i="6"/>
  <c r="F43" i="6"/>
  <c r="E47" i="6"/>
  <c r="I10" i="13"/>
  <c r="J10" i="13" s="1"/>
  <c r="I8" i="13"/>
  <c r="J8" i="13" s="1"/>
  <c r="I9" i="13"/>
  <c r="J9" i="13" s="1"/>
  <c r="I7" i="13"/>
  <c r="C30" i="16"/>
  <c r="I7" i="15"/>
  <c r="I13" i="15" s="1"/>
  <c r="H95" i="23"/>
  <c r="F95" i="23"/>
  <c r="H94" i="23"/>
  <c r="H93" i="23"/>
  <c r="H92" i="23"/>
  <c r="F92" i="23"/>
  <c r="F94" i="23"/>
  <c r="B23" i="23"/>
  <c r="L381" i="23"/>
  <c r="F381" i="23"/>
  <c r="H111" i="23"/>
  <c r="H110" i="23"/>
  <c r="H109" i="23"/>
  <c r="H108" i="23"/>
  <c r="H107" i="23"/>
  <c r="H106" i="23"/>
  <c r="H105" i="23"/>
  <c r="E111" i="23"/>
  <c r="E110" i="23"/>
  <c r="E109" i="23"/>
  <c r="E108" i="23"/>
  <c r="E107" i="23"/>
  <c r="E106" i="23"/>
  <c r="E105" i="23"/>
  <c r="F93" i="23"/>
  <c r="G78" i="23"/>
  <c r="G77" i="23"/>
  <c r="F19" i="6"/>
  <c r="B49" i="23"/>
  <c r="E133" i="23"/>
  <c r="E149" i="23" s="1"/>
  <c r="E132" i="23"/>
  <c r="E148" i="23" s="1"/>
  <c r="E130" i="23"/>
  <c r="E146" i="23" s="1"/>
  <c r="B51" i="23"/>
  <c r="B48" i="23"/>
  <c r="F14" i="13"/>
  <c r="J13" i="13"/>
  <c r="C26" i="16"/>
  <c r="D11" i="16"/>
  <c r="D9" i="16"/>
  <c r="D8" i="16"/>
  <c r="B11" i="15"/>
  <c r="I4" i="15"/>
  <c r="I10" i="15" s="1"/>
  <c r="G39" i="4"/>
  <c r="F39" i="4"/>
  <c r="E39" i="4"/>
  <c r="A39" i="4"/>
  <c r="B21" i="4"/>
  <c r="F18" i="6"/>
  <c r="D8" i="22"/>
  <c r="E24" i="22"/>
  <c r="E38" i="22"/>
  <c r="F38" i="22"/>
  <c r="F8" i="22"/>
  <c r="B8" i="22"/>
  <c r="F9" i="23"/>
  <c r="E9" i="23"/>
  <c r="B9" i="23"/>
  <c r="B18" i="23" s="1"/>
  <c r="E26" i="22"/>
  <c r="E8" i="22"/>
  <c r="F24" i="22" s="1"/>
  <c r="H19" i="4"/>
  <c r="B19" i="4"/>
  <c r="B312" i="6"/>
  <c r="F312" i="6"/>
  <c r="F23" i="6"/>
  <c r="F20" i="6"/>
  <c r="J7" i="13" l="1"/>
  <c r="J12" i="13" s="1"/>
  <c r="F34" i="6"/>
  <c r="F96" i="23"/>
  <c r="G131" i="23" s="1"/>
  <c r="B47" i="23"/>
  <c r="G27" i="23"/>
  <c r="F69" i="6" l="1"/>
  <c r="F68" i="6"/>
  <c r="G133" i="23"/>
  <c r="G132" i="23"/>
  <c r="G147" i="23"/>
  <c r="H96" i="23"/>
  <c r="G130" i="23"/>
  <c r="B46" i="23"/>
  <c r="K9" i="23"/>
  <c r="G33" i="22"/>
  <c r="G148" i="23" l="1"/>
  <c r="G149" i="23"/>
  <c r="G134" i="23"/>
  <c r="G150" i="23" s="1"/>
  <c r="G146" i="23"/>
  <c r="F70" i="6" l="1"/>
  <c r="K13" i="15" l="1"/>
  <c r="I12" i="15"/>
  <c r="B45" i="23"/>
  <c r="B44" i="23"/>
  <c r="B43" i="23"/>
  <c r="B42" i="23"/>
  <c r="J28" i="23"/>
  <c r="I28" i="23"/>
  <c r="B64" i="22"/>
  <c r="G26" i="22"/>
  <c r="G40" i="22" s="1"/>
  <c r="I49" i="4"/>
  <c r="G49" i="4"/>
  <c r="E49" i="4"/>
  <c r="I48" i="4"/>
  <c r="G48" i="4"/>
  <c r="E48" i="4"/>
  <c r="C48" i="4"/>
  <c r="B28" i="4"/>
  <c r="H26" i="4"/>
  <c r="E26" i="4"/>
  <c r="B26" i="4"/>
  <c r="D69" i="6"/>
  <c r="D68" i="6"/>
  <c r="B24" i="22" l="1"/>
  <c r="B38" i="22" s="1"/>
  <c r="G20" i="23"/>
  <c r="D20" i="23"/>
  <c r="D82" i="6"/>
  <c r="D83" i="6"/>
  <c r="A48" i="4"/>
  <c r="J14" i="13"/>
  <c r="F8" i="13" s="1"/>
  <c r="G9" i="23" l="1"/>
  <c r="G24" i="22"/>
  <c r="G38" i="22" s="1"/>
  <c r="B27" i="23"/>
  <c r="G29" i="23"/>
  <c r="D29" i="23"/>
  <c r="F84" i="6"/>
  <c r="F82" i="6"/>
  <c r="F83" i="6" l="1"/>
</calcChain>
</file>

<file path=xl/sharedStrings.xml><?xml version="1.0" encoding="utf-8"?>
<sst xmlns="http://schemas.openxmlformats.org/spreadsheetml/2006/main" count="2079" uniqueCount="1028">
  <si>
    <t>1.- DATOS DEL SOLICITANTE</t>
  </si>
  <si>
    <t>Persona Natural</t>
  </si>
  <si>
    <t>Apellidos</t>
  </si>
  <si>
    <t>Nombres</t>
  </si>
  <si>
    <t>D.N.I</t>
  </si>
  <si>
    <t>CI.</t>
  </si>
  <si>
    <t>C.E</t>
  </si>
  <si>
    <t>No</t>
  </si>
  <si>
    <t>L.E.</t>
  </si>
  <si>
    <t>Domicilio</t>
  </si>
  <si>
    <t>Estado Civil</t>
  </si>
  <si>
    <t>Soltero</t>
  </si>
  <si>
    <t>Casado</t>
  </si>
  <si>
    <t>Viudo</t>
  </si>
  <si>
    <t>Divorciado</t>
  </si>
  <si>
    <t xml:space="preserve">       Separada Juridicamente</t>
  </si>
  <si>
    <t>Apellidos y nombres de (la) conyuge</t>
  </si>
  <si>
    <t>Representante o apoderado de la persona natural</t>
  </si>
  <si>
    <t>Inscrita en Tomo y Folio</t>
  </si>
  <si>
    <t>Ficha o Partida Electr. No.</t>
  </si>
  <si>
    <t>FORMULARIO REGISTRAL N° 2</t>
  </si>
  <si>
    <t>LEY ° 27157</t>
  </si>
  <si>
    <t>INSCRIPCION DE PROPIEDAD Y/O REGULARIZACION DE LAS</t>
  </si>
  <si>
    <t>EDIFICACIONES DE DEPARTAMENTOS DE EDIFICIO</t>
  </si>
  <si>
    <t>Datos del terreno</t>
  </si>
  <si>
    <t>Departamento Provincia</t>
  </si>
  <si>
    <t>Distrito</t>
  </si>
  <si>
    <t>Mz.</t>
  </si>
  <si>
    <t>Por el  Frente</t>
  </si>
  <si>
    <t>Por la Derecha</t>
  </si>
  <si>
    <t>Por la Izquierda</t>
  </si>
  <si>
    <t>Por el Fondo</t>
  </si>
  <si>
    <t>Datos Adicionales</t>
  </si>
  <si>
    <t>CERTIFICIACION NOTARIAL (3)</t>
  </si>
  <si>
    <t>Quien suscribe, Notario de</t>
  </si>
  <si>
    <t>Certifico que el (los) solicitante(s) ha(n)</t>
  </si>
  <si>
    <t>de tercero y se termino de tramitar ante el fuero judicial o arbitral.</t>
  </si>
  <si>
    <t>Nombres ,Apellidos , Firma y sello de Notario:</t>
  </si>
  <si>
    <t>3.-PARA LA INSCRIPCION DE LA PROPIEDAD CUANDO EL TERRENO ESTA REGISTRADO</t>
  </si>
  <si>
    <t>Registro de la Propiedad Inmueble</t>
  </si>
  <si>
    <t>Expediente N°</t>
  </si>
  <si>
    <t>Rubro:</t>
  </si>
  <si>
    <t>Asiento:</t>
  </si>
  <si>
    <t>Compraventa</t>
  </si>
  <si>
    <t>Permuta</t>
  </si>
  <si>
    <t>Otro (especificar)</t>
  </si>
  <si>
    <t>Fecha del documento</t>
  </si>
  <si>
    <t>CERTIFICACION NOTARIAL:</t>
  </si>
  <si>
    <t>, certifico que el (los) solicitante(s) ha(n):</t>
  </si>
  <si>
    <t>-</t>
  </si>
  <si>
    <t>Asimismo, doy fe de validez legal de dicho(s) documento(s)</t>
  </si>
  <si>
    <t>Nombres, apellidos, firma y sello del notario</t>
  </si>
  <si>
    <t>CERTIFICACION NOTARIAL (5)</t>
  </si>
  <si>
    <t>Certifico que el(los) solicitante(s) ha(n):</t>
  </si>
  <si>
    <t>propietarios de los predios colindantes.</t>
  </si>
  <si>
    <t>CONSTATACION DE FABRICA</t>
  </si>
  <si>
    <t>PISO  Y/O  NIVEL</t>
  </si>
  <si>
    <t>AREA OCUPADA</t>
  </si>
  <si>
    <t>AREA TECHADA</t>
  </si>
  <si>
    <t>AREA LIBRE</t>
  </si>
  <si>
    <t>Total</t>
  </si>
  <si>
    <t>Parcial</t>
  </si>
  <si>
    <t>1C</t>
  </si>
  <si>
    <t>2C</t>
  </si>
  <si>
    <t>3H</t>
  </si>
  <si>
    <t>4F</t>
  </si>
  <si>
    <t>5F</t>
  </si>
  <si>
    <t>6C</t>
  </si>
  <si>
    <t>7F</t>
  </si>
  <si>
    <t>ESPECIFICACIONES TECNICAS</t>
  </si>
  <si>
    <t>MUROS DE LADRILLO CON COLUMNAS Y VIGAS DE AMARRE</t>
  </si>
  <si>
    <t>TECHO DE CONCRETO ARMADO HORIZONTALES</t>
  </si>
  <si>
    <t>PISOS DE CEMENTO FROTACHADO Y PULIDO</t>
  </si>
  <si>
    <t>PUERTAS Y VENTANAS DE MADERA Y CONTRAPLCADA Y FIERRO, VIDRIO TRANSPARENTE</t>
  </si>
  <si>
    <t>MURO CON TARRAJEO FROTACHADO</t>
  </si>
  <si>
    <t>BAÑOS DE COLOR DE TINA</t>
  </si>
  <si>
    <t>INSTALACIONES DE AGUA FRIA, CORRIENTE MONOFASICA EMPOTRADA</t>
  </si>
  <si>
    <t>6.- OBSERVACIONES CONTENIDAS EN EL INFORME TECNICO DE VERIFICACION</t>
  </si>
  <si>
    <t>7.- ENTIDADES A LAS QUE SE REQUIRIO INFORME TECNICO DE VERIFICACION AD HOC</t>
  </si>
  <si>
    <t>Instituto nacional de Cultura (INC)</t>
  </si>
  <si>
    <t>Instituto Nacional Defensa Civil (INDECI)</t>
  </si>
  <si>
    <t>Instituto Nacional de Recursos Naturales (INRENA)</t>
  </si>
  <si>
    <t>(CGBVP)</t>
  </si>
  <si>
    <t>Otro:</t>
  </si>
  <si>
    <t>8.- DE LOS PROPIETARIOS Y SUS DEPARTAMENTOS</t>
  </si>
  <si>
    <t>ITEM</t>
  </si>
  <si>
    <t>Piso y/o Nivel</t>
  </si>
  <si>
    <t>Departamento</t>
  </si>
  <si>
    <t>Uso Asignado</t>
  </si>
  <si>
    <t>INDEPENDIZACION DE                                                                                   LOS DEPARTAMENTOS</t>
  </si>
  <si>
    <t>9. DE LOS DEPARTAMENTOS : (10)</t>
  </si>
  <si>
    <t>Por el frente</t>
  </si>
  <si>
    <t>Por la derecha</t>
  </si>
  <si>
    <t>Departamentos</t>
  </si>
  <si>
    <t>10. DE LAS AREAS COMUNES DEL EDIFICIO (12)</t>
  </si>
  <si>
    <t>REGLAMENTO INTERNO                                                                                Y JUNTA DE PROPIETARIOS</t>
  </si>
  <si>
    <t>11. REGIMEN DE BIENES COMUNES : Marca con X los bienes consideraciones Comunes</t>
  </si>
  <si>
    <t>12. REGIMEN DE SERVICIOS COMUNES: Marca con X los bienes considerados comunes</t>
  </si>
  <si>
    <t>4. Los ascensores y montacargas</t>
  </si>
  <si>
    <t>9. Las Azoteas</t>
  </si>
  <si>
    <t>11. Otros bienes destinados al uso y disfrute de todos los propietarios (especificar)</t>
  </si>
  <si>
    <t>en su conjunto</t>
  </si>
  <si>
    <t>6. Otros (especificar)</t>
  </si>
  <si>
    <t>13. APROBACION DE REGLAMENTO INTERNO</t>
  </si>
  <si>
    <t>Nos adherimos al reglamento Interno Modelo aprobado por le Ministerio de transportes, Comunicaciones</t>
  </si>
  <si>
    <t>Adjuntamos el Reglamento Interno propio aprobado por</t>
  </si>
  <si>
    <t>El promotor o Constructor</t>
  </si>
  <si>
    <t>Los propietarios</t>
  </si>
  <si>
    <t>Firma</t>
  </si>
  <si>
    <t>14. DE LA JUNTA DE PROPIETARIOS</t>
  </si>
  <si>
    <t>DENOMINACION:</t>
  </si>
  <si>
    <t>Cargo</t>
  </si>
  <si>
    <t>Nombres y Apellidos</t>
  </si>
  <si>
    <t>15. DATOS Y CERTIFICACION DEL VERIFICADOR RESPONSABLE</t>
  </si>
  <si>
    <t>Apellidos y Nombres</t>
  </si>
  <si>
    <t>Verificador</t>
  </si>
  <si>
    <t>Publico</t>
  </si>
  <si>
    <t>Privado</t>
  </si>
  <si>
    <t>Entidad</t>
  </si>
  <si>
    <t>Arquitecto</t>
  </si>
  <si>
    <t>Ingeniero Civil</t>
  </si>
  <si>
    <t>las sanciones contempladas en el articulo 15° del Reglamento de la Ley 27157, y conjuntamente con el solicitante de las acciones</t>
  </si>
  <si>
    <t>Firma y sello del Verificador</t>
  </si>
  <si>
    <t>16. FIRMA(S) DEL (LOS) SOLICITANTE(S)</t>
  </si>
  <si>
    <t>APELLIDOS Y NOMBRES</t>
  </si>
  <si>
    <t>FIRMA</t>
  </si>
  <si>
    <t>17. PARA LA INSCRIPCION DE LA PROPIEDAD CUANDO EL TERRENO NO ESTA REGISTRADO</t>
  </si>
  <si>
    <t>18. CERTIFICIACION NOTARIAL (3)</t>
  </si>
  <si>
    <t>LLENAR A MAQUINA O CON LETRA DE IMPRENTA Y MARCAR CON X LO QUE CORRESPONDA</t>
  </si>
  <si>
    <t>1. PROPIETARIO</t>
  </si>
  <si>
    <t>PERSONA NATURAL</t>
  </si>
  <si>
    <t>PERSONA JURIDICA</t>
  </si>
  <si>
    <t>LE/DNI/CI/CE/RUC</t>
  </si>
  <si>
    <t>2. DATOS DEL VERIFICADOR RESPONSABLE</t>
  </si>
  <si>
    <t>Apellido Paterno</t>
  </si>
  <si>
    <t>Apellido Materno</t>
  </si>
  <si>
    <t>N° de Registro de SUNARP</t>
  </si>
  <si>
    <t>N° de Registro CAP/CIP</t>
  </si>
  <si>
    <t>CALIDAD DEL VERIFICADOR</t>
  </si>
  <si>
    <t>PUBLICO</t>
  </si>
  <si>
    <t>PRIVADO</t>
  </si>
  <si>
    <t>3. INFORME TECNICO</t>
  </si>
  <si>
    <t>MARCAR CON X, SI EXISTE OBSERVACION Y DESCRIBIRLA EN EL RECUADRO CORRESPONDIENTE. DE REQUERIR MAS ESPACIO CONTINUAR EN EL REUBRO DE OBSERVACIONES</t>
  </si>
  <si>
    <t>3.1 CONSTATACION DE LA UBICACIÓN DEL TERRENO</t>
  </si>
  <si>
    <t>CON OBSERVACIONES</t>
  </si>
  <si>
    <t>SIN OBSERVACIONES</t>
  </si>
  <si>
    <t>Provincia</t>
  </si>
  <si>
    <t>Lote Sub_Lote</t>
  </si>
  <si>
    <t>3.2 CONSTATACION DE AREAS Y MEDIDAS PERIMETRICAS</t>
  </si>
  <si>
    <t>Según Titulo Registrado</t>
  </si>
  <si>
    <t>Por el Frente (ml)</t>
  </si>
  <si>
    <t>Por la Izquierda (ml)</t>
  </si>
  <si>
    <t>Por el Fondo (ml)</t>
  </si>
  <si>
    <r>
      <rPr>
        <b/>
        <sz val="18"/>
        <color theme="1"/>
        <rFont val="Arial Black"/>
        <family val="2"/>
      </rPr>
      <t xml:space="preserve">INFORME TECNICO DE     VERIFICACION   </t>
    </r>
    <r>
      <rPr>
        <b/>
        <sz val="16"/>
        <color theme="1"/>
        <rFont val="Arial Black"/>
        <family val="2"/>
      </rPr>
      <t xml:space="preserve">                </t>
    </r>
    <r>
      <rPr>
        <b/>
        <sz val="11"/>
        <color theme="1"/>
        <rFont val="Arial Black"/>
        <family val="2"/>
      </rPr>
      <t>PROCEDIMIENTO DE REGULARIZACION                                    LEY N° 27157</t>
    </r>
  </si>
  <si>
    <t>3.3 CONSTATACION DEL CUMPLIMIENTO DE PARAMETROS</t>
  </si>
  <si>
    <t>URBANISTICOS Y EDIFICATORIOS</t>
  </si>
  <si>
    <t>3.4 CONSTATACION DEL CUMPLIMIENTO DE LAS NORMAS</t>
  </si>
  <si>
    <t>DE EDIFICACION</t>
  </si>
  <si>
    <t>4. CONSTATACION DE DEMOLICION</t>
  </si>
  <si>
    <t>TOTAL</t>
  </si>
  <si>
    <t>PARCIAL</t>
  </si>
  <si>
    <t>5. OBSERVACIONES</t>
  </si>
  <si>
    <t>6. FIRMA Y SELLO</t>
  </si>
  <si>
    <t>efectos previstos por la ley para los casos de fraude o falsedad</t>
  </si>
  <si>
    <t>Verificador Responsable</t>
  </si>
  <si>
    <t>Firma y Sello</t>
  </si>
  <si>
    <t>7. CONSTANCIA DE COMUNICACIÓN Y PAGO PARA INTERVENCION DE VERIFICACION AD-HOC</t>
  </si>
  <si>
    <t>ENTIDAD</t>
  </si>
  <si>
    <t>CONSTATACION DE PAGO</t>
  </si>
  <si>
    <t>DIA</t>
  </si>
  <si>
    <t>MES</t>
  </si>
  <si>
    <t>AÑO</t>
  </si>
  <si>
    <t>N° DE RECIBO</t>
  </si>
  <si>
    <t>MONTO (S/)</t>
  </si>
  <si>
    <t>NOMBRE DE LA OFICINA QUE RECIBE LA COMUNICACIÓN</t>
  </si>
  <si>
    <t>CARGO DE RECEPCION</t>
  </si>
  <si>
    <t>Las características de la UNIDAD INMOBILIARIA son las siguientes:</t>
  </si>
  <si>
    <t>a) Ubicación:</t>
  </si>
  <si>
    <t xml:space="preserve">LA UNIDAD INMOBILIARIA es de uso residencial. </t>
  </si>
  <si>
    <t xml:space="preserve">Artículo 3.- Secciones de propiedad exclusiva </t>
  </si>
  <si>
    <t xml:space="preserve">Las secciones de propiedad exclusiva que forman parte de la unidad inmobiliaria son: </t>
  </si>
  <si>
    <t>Uso</t>
  </si>
  <si>
    <t>Artículo 4.- Bienes y áreas de propiedad común</t>
  </si>
  <si>
    <t>Las áreas de propiedad común que forman parte de la UNIDAD INMOBILIARIA son los siguientes:</t>
  </si>
  <si>
    <t>Áreas comunes</t>
  </si>
  <si>
    <t xml:space="preserve">Destino y Condición </t>
  </si>
  <si>
    <t>Área ocupada m2</t>
  </si>
  <si>
    <t>Artículo 5.- Servicios comunes</t>
  </si>
  <si>
    <t>Los servicios comunes con los que contará la UNIDAD INMOBILIARIA son los siguientes:</t>
  </si>
  <si>
    <t>Artículo 6.- Participación en las áreas y bienes comunes</t>
  </si>
  <si>
    <t>Bienes comunes (intransferibles); El terreno, los cimientos, sobre cimientos, muros portantes, columnas,</t>
  </si>
  <si>
    <t xml:space="preserve">instalaciones de agua, desagüe y electricidad, pasadizos escaleras y tragaluces. </t>
  </si>
  <si>
    <t xml:space="preserve">El porcentaje de participación que corresponde a cada uno de los propietarios de las secciones de propiedad </t>
  </si>
  <si>
    <t xml:space="preserve">exclusiva, respecto  de las áreas y los bienes comunes será en base al área ocupada cada sección de </t>
  </si>
  <si>
    <t xml:space="preserve">propiedad exclusiva. </t>
  </si>
  <si>
    <t xml:space="preserve">Según el criterio antes señalado, los porcentajes de  participación de los propietarios en bienes y áreas </t>
  </si>
  <si>
    <t>comunes son los siguientes:</t>
  </si>
  <si>
    <t>Sección</t>
  </si>
  <si>
    <t>m2</t>
  </si>
  <si>
    <t xml:space="preserve">UNIDADES INMOBILIARIAS, </t>
  </si>
  <si>
    <t>Numero</t>
  </si>
  <si>
    <t>LIMA</t>
  </si>
  <si>
    <t>Piso</t>
  </si>
  <si>
    <t>1°</t>
  </si>
  <si>
    <t>2°</t>
  </si>
  <si>
    <t>UNIDAD</t>
  </si>
  <si>
    <t xml:space="preserve"> DNI N°:</t>
  </si>
  <si>
    <t>N° Int</t>
  </si>
  <si>
    <t>N°</t>
  </si>
  <si>
    <t>ANEXO N°1</t>
  </si>
  <si>
    <t>PERSONAS NATURALES</t>
  </si>
  <si>
    <t>SUBSANACION DE OBSERVACIONES</t>
  </si>
  <si>
    <t>ANEXO N°4</t>
  </si>
  <si>
    <t>Urbanización / AA:HH./Otro</t>
  </si>
  <si>
    <t>Av. / Jr./ Calle / Pasaje</t>
  </si>
  <si>
    <t>Dpto.</t>
  </si>
  <si>
    <t>Artículo 7.- Participación en los gastos comunes</t>
  </si>
  <si>
    <t xml:space="preserve">exclusiva, respecto de los gastos que demande la atención de los servicios comunes, la conservación y el </t>
  </si>
  <si>
    <t xml:space="preserve">mantenimiento de las áreas y/o los bienes comunes y la administración de la UNIDAD INMOBILIARIA, es </t>
  </si>
  <si>
    <t>determinado con base en base al mismo criterio del Art. Precedente.</t>
  </si>
  <si>
    <t>REGLAMENTO INTERNO</t>
  </si>
  <si>
    <t>REGIMEN DE UNIDADES INMOBILIARIAS CON SECCIONES DE PROPIEDAD EXCLUSIVA Y AREAS DE PROPIEDAD COMUN</t>
  </si>
  <si>
    <t>CAPITULO I</t>
  </si>
  <si>
    <t>Artículo 1.- Obligatoriedad y designación abreviada</t>
  </si>
  <si>
    <t>Dicha persona queda obligada a respetar sus disposiciones y las decisiones de la Junta de Propietarios.</t>
  </si>
  <si>
    <t>Artículo 8.- Variación y reajuste de los porcentajes de participación</t>
  </si>
  <si>
    <t xml:space="preserve">Los porcentajes de participación en los bienes comunes y/o en los gastos comunes, fijados en los Artículos </t>
  </si>
  <si>
    <t xml:space="preserve">De efectuarse alguna acumulación, división o independización, la recomposición de los porcentajes de </t>
  </si>
  <si>
    <t>Los gastos de modificación de este reglamento corresponden al propietario de la sección afectada.</t>
  </si>
  <si>
    <t>CAPITULO III</t>
  </si>
  <si>
    <t>DERECHOS Y OBLIGACIONES DE LOS PROPIETARIOS</t>
  </si>
  <si>
    <t>Artículo 9.- Derechos de los propietarios</t>
  </si>
  <si>
    <t>Son derechos de los propietarios, los siguientes:</t>
  </si>
  <si>
    <t xml:space="preserve">a)Ejercer dominio sobre su sección de propiedad exclusiva. </t>
  </si>
  <si>
    <t xml:space="preserve">e)Recurrir ante la Junta de Propietarios para que actúe en relación con las acciones de otros propietarios o </t>
  </si>
  <si>
    <t xml:space="preserve">poseedores, cuando éstas resulten perjudiciales a sus intereses o a los de la UNIDAD INMOBILIARIA en </t>
  </si>
  <si>
    <t>Artículo 10.- Obligaciones de los propietarios</t>
  </si>
  <si>
    <t>Son obligaciones de los propietarios, las siguientes:</t>
  </si>
  <si>
    <t xml:space="preserve">a) Destinar su sección de propiedad exclusiva al uso indicado en el presente reglamento. </t>
  </si>
  <si>
    <t xml:space="preserve">c)Acatar las disposiciones y resoluciones que adopten la Junta de Propietarios. </t>
  </si>
  <si>
    <t xml:space="preserve">e)No afectar la seguridad o salubridad de la UNIDAD INMOBILIARIA; no perturbar la tranquilidad y normal </t>
  </si>
  <si>
    <t xml:space="preserve">convivencia de los demás propietarios y vecinos, ni atentar contra la moral y las buenas costumbres. </t>
  </si>
  <si>
    <t xml:space="preserve">acción, omisión o negligencia. </t>
  </si>
  <si>
    <t xml:space="preserve">h)Cumplir con todas y cada una de sus obligaciones aun cuando su sección se encuentre o permanezca </t>
  </si>
  <si>
    <t xml:space="preserve">desocupada, cualquiera que sea el tiempo de desocupación. </t>
  </si>
  <si>
    <t xml:space="preserve">(En este Artículo podrán incluirse, previo acuerdo, otras limitaciones especiales en aspectos que, por su </t>
  </si>
  <si>
    <t xml:space="preserve">naturaleza, puedan afectar la seguridad, tranquilidad o el uso de la edificación en su conjunto, tales como </t>
  </si>
  <si>
    <t xml:space="preserve">prohibir la crianza de animales domésticos; condiciones especiales para conservar sustancias explosivas o </t>
  </si>
  <si>
    <t>inflamables si éstas fueran autorizadas; tener maquinarias o artefactos que generen ruidos; etc.).</t>
  </si>
  <si>
    <t>Artículo 11.- Propietarios inhábiles</t>
  </si>
  <si>
    <t xml:space="preserve">Un propietario se considera inhábil cuando, al momento de la convocatoria se encuentre en mora por tres (3) </t>
  </si>
  <si>
    <t xml:space="preserve">El propietario inhábil no podrá ser propuesto ni elegido para cargo alguno. Sin embargo, mantiene su derecho de </t>
  </si>
  <si>
    <t>CAPITULO IV</t>
  </si>
  <si>
    <t>JUNTA DE PROPIETARIOS</t>
  </si>
  <si>
    <t>Artículo 12.- Constitución de la junta.</t>
  </si>
  <si>
    <t>La Junta de Propietarios se constituye por el solo otorgamiento del presente Reglamento.</t>
  </si>
  <si>
    <t>Artículo 13.- Atribuciones de la junta.</t>
  </si>
  <si>
    <t> Corresponde a la Junta de Propietarios:</t>
  </si>
  <si>
    <t xml:space="preserve"> a)Decidir sobre la conservación y mantenimiento de las áreas y bienes de dominio común, los servicios de uso </t>
  </si>
  <si>
    <t xml:space="preserve">común, y disponer la administración de la UNIDAD INMOBILIARIA. Ninguna acción que afecte a éstos o al </t>
  </si>
  <si>
    <t xml:space="preserve">aspecto exterior de las secciones de propiedad exclusiva será efectuada sin su previa aprobación. </t>
  </si>
  <si>
    <t xml:space="preserve">b)Elegir cada dos años al presidente de la Junta de Propietarios, entre sus integrantes. </t>
  </si>
  <si>
    <t xml:space="preserve">c)Adoptar medidas de carácter general o extraordinario, de oficio o a petición de parte, para dar cabal </t>
  </si>
  <si>
    <t xml:space="preserve">e)Aprobar la transferencia, gravamen, cesión en uso, o la celebración de cualquier otro acto o contrato que </t>
  </si>
  <si>
    <t xml:space="preserve">f)Aprobar el presupuesto anual de ingresos y gastos, administrar los fondos que recaude y aprobar el informe </t>
  </si>
  <si>
    <t xml:space="preserve">anual de gestión de la Directiva, si la hubiese, así como la cuenta final del ejercicio. </t>
  </si>
  <si>
    <t xml:space="preserve">h)Fijar las cuotas ordinarias y extraordinarias que corresponda sufragar a cada propietario para atender la </t>
  </si>
  <si>
    <t xml:space="preserve">conservación, mantenimiento y administración de la unidad inmobiliaria, y efectuar su cobro. </t>
  </si>
  <si>
    <t xml:space="preserve">i)Seguir el proceso ejecutivo a los propietarios deudores de más de tres cuotas consecutivas; incluyendo en el </t>
  </si>
  <si>
    <t xml:space="preserve">como propietario y/o poseedor. Asimismo, le corresponde revisar las sanciones impuestas por la Directiva. </t>
  </si>
  <si>
    <t xml:space="preserve">l)Las demás atribuciones que se desprenden de su naturaleza. </t>
  </si>
  <si>
    <t>Artículo 14.- Sesiones de la Junta</t>
  </si>
  <si>
    <t>Las sesiones ordinarias se realizarán los meses de enero y Julio de cada año.</t>
  </si>
  <si>
    <t>participaciones en las áreas y los bienes comunes.</t>
  </si>
  <si>
    <t xml:space="preserve">Los arrendatarios u otros poseedores podrán participar en las sesiones, en los asuntos relacionados con los </t>
  </si>
  <si>
    <t>servicios y gastos comunes, con voz y sin voto.</t>
  </si>
  <si>
    <t>Artículo 15.- Convocatoria y quórum</t>
  </si>
  <si>
    <t xml:space="preserve">cualquier medio que permita tener constancia de recepción de dicha citación; sin perjuicio de la obligatoria </t>
  </si>
  <si>
    <t xml:space="preserve">Cada propietario participará en la Junta, en función del porcentaje de participación en las áreas y los bienes </t>
  </si>
  <si>
    <t xml:space="preserve">propietarios de secciones exclusivas que representen más del cincuenta por ciento (50%) del total </t>
  </si>
  <si>
    <t xml:space="preserve">Para el cómputo del quórum para las sesiones de la Junta de Propietarios, sólo es válido el porcentaje de </t>
  </si>
  <si>
    <t>Artículo 16.- Representación ante la Junta</t>
  </si>
  <si>
    <t>Artículo 17.- Mayorías requeridas para la adopción de acuerdos</t>
  </si>
  <si>
    <t xml:space="preserve">Los acuerdos de la Junta de Propietarios se tomarán con el voto conforme de los propietarios hábiles que </t>
  </si>
  <si>
    <t xml:space="preserve">excepciones señaladas en los incisos d), y e) del Artículo 13 de este Reglamento y en los demás casos </t>
  </si>
  <si>
    <t>Artículo 18.- Cumplimiento de los acuerdos</t>
  </si>
  <si>
    <t xml:space="preserve">Todos los propietarios, incluso los no hábiles y aquellos que no conformen la Junta de propietarios, hayan o no </t>
  </si>
  <si>
    <t xml:space="preserve">participado en una sesión, así como los arrendatarios y poseedores no propietarios, en lo que les corresponda, </t>
  </si>
  <si>
    <t>quedan sometidos a los acuerdos adoptados por la Junta de Propietarios.</t>
  </si>
  <si>
    <t>Artículo 19.- Del Presidente de la Junta.</t>
  </si>
  <si>
    <t xml:space="preserve">a)Conservar y mantener las áreas y los bienes de dominio común, los servicios de uso común, y ejercer o </t>
  </si>
  <si>
    <t xml:space="preserve">disponer la administración de la UNIDAD INMOBILIARIA. </t>
  </si>
  <si>
    <t xml:space="preserve">b)Convocar y presidir la Junta de Propietarios, cuando lo estime conveniente o cuando lo exija el Reglamento Interno. </t>
  </si>
  <si>
    <t xml:space="preserve">c)Ejercer las funciones y responsabilidades que fija este Reglamento, respecto de la conservación, mantenimiento </t>
  </si>
  <si>
    <t xml:space="preserve">y administración de las áreas y los bienes comunes, así como la supervisión o administración de los servicios </t>
  </si>
  <si>
    <t xml:space="preserve">d) Ejercer, a sola firma, la representación de la Junta ante cualquier autoridad administrativa, política, militar o </t>
  </si>
  <si>
    <t xml:space="preserve"> como representante de la Junta de Propietarios.</t>
  </si>
  <si>
    <t xml:space="preserve">h)Ejecutar y hacer cumplir los acuerdos de la Junta. </t>
  </si>
  <si>
    <t xml:space="preserve">Requiere de autorización expresa de la Junta de Propietarios, para: solicitar créditos, avances en cuenta o </t>
  </si>
  <si>
    <t xml:space="preserve">k)Representar a la Junta de Propietarios, en cualquier proceso de conciliación extrajudicial o arbitraje, cuando </t>
  </si>
  <si>
    <t xml:space="preserve">sea necesario. </t>
  </si>
  <si>
    <t xml:space="preserve">l)Ejercer todas las demás funciones y responsabilidades que se le otorguen por acuerdo de la Junta de </t>
  </si>
  <si>
    <t xml:space="preserve">Propietarios. </t>
  </si>
  <si>
    <t>RÉGIMEN DE SANCIONES</t>
  </si>
  <si>
    <t> Artículo 20.- Principios rectores</t>
  </si>
  <si>
    <t xml:space="preserve">El régimen de sanciones debe estar sustentado en el principio de legalidad, gradualidad y fomento del </t>
  </si>
  <si>
    <t>cumplimiento de las obligaciones.</t>
  </si>
  <si>
    <t>Artículo 21.- Aprobación</t>
  </si>
  <si>
    <t xml:space="preserve">El régimen de sanciones y sus modificaciones debe ser aprobado por la Junta de Propietarios por mayoría </t>
  </si>
  <si>
    <t>correspondiente. Pueden ser o no inscritos en el registro correspondiente.</t>
  </si>
  <si>
    <t>Artículo 22.- Solución de controversias</t>
  </si>
  <si>
    <t xml:space="preserve">Para la solución de las controversias derivadas de la interpretación, aplicación, validez y eficacia del presente </t>
  </si>
  <si>
    <t xml:space="preserve">conciliación extrajudicial, y en caso de no resolverse el conflicto por esta vía, se acudirá a la vía arbitral. </t>
  </si>
  <si>
    <t xml:space="preserve">(Indicar si se adoptará una vía arbitral o la judicial, de conformidad a las opciones establecidas por el </t>
  </si>
  <si>
    <t>Artículo 23.- Supletoriedad de las normas</t>
  </si>
  <si>
    <t>normas que la sustituyan, así como sus normas reglamentarias</t>
  </si>
  <si>
    <t>Artículo 24.- Conocimiento del presente Reglamento</t>
  </si>
  <si>
    <t xml:space="preserve">Todos los propietarios declaran conocer el texto del presente Reglamento y se comprometen a guardarlo y </t>
  </si>
  <si>
    <t xml:space="preserve">cumplirlo de forma escrupulosa; y, de ser el caso, hacer conocer el texto del mismo a sus </t>
  </si>
  <si>
    <t xml:space="preserve"> arrendatarios u otros poseedores de su sección, y exigirles su cumplimiento; asumiendo la condición de</t>
  </si>
  <si>
    <t>responsable solidario ante la Junta de Propietarios, por las obligaciones de orden económico.</t>
  </si>
  <si>
    <t>Artículo 25.- Designación del presidente de la Junta de Propietarios.</t>
  </si>
  <si>
    <t xml:space="preserve">precedentes, así como los criterios usados en cada caso, podrán variar o reajustarse, previo acuerdo </t>
  </si>
  <si>
    <t xml:space="preserve">calificado de la Junta de Propietarios; salvo en los siguientes casos en los que no se requiere de acuerdo </t>
  </si>
  <si>
    <t>participación se hará sumado o distribuyendo los porcentajes que correspondían a las unidades originales,</t>
  </si>
  <si>
    <t xml:space="preserve"> en la misma forma y proporción en que estas fueron acumuladas, divididas o independizadas.</t>
  </si>
  <si>
    <t xml:space="preserve"> por el presidente de la Junta.</t>
  </si>
  <si>
    <t xml:space="preserve">La modificación de los porcentajes en este reglamento puede ser solicitada por el interesado o dispuesta </t>
  </si>
  <si>
    <t xml:space="preserve">b)Vender, hipotecar, arrendar, y en general, practicar cualquier acto de disposición o gravamen de su sección </t>
  </si>
  <si>
    <t xml:space="preserve">de propiedad exclusiva. El propietario deberá poner en conocimiento de la Junta de Propietarios la </t>
  </si>
  <si>
    <t xml:space="preserve">realización de cualquiera de estas operaciones dentro de los treinta (30) días siguientes a su realización, </t>
  </si>
  <si>
    <t xml:space="preserve"> siempre y cuando las mismas impliquen ceder el uso de la sección a una persona distinta o determinen </t>
  </si>
  <si>
    <t xml:space="preserve">la extinción del derecho de propiedad por transferencia del dominio. </t>
  </si>
  <si>
    <t xml:space="preserve">c)Usar los bienes y servicios comunes sin más limitaciones que su uso legítimo por los demás propietarios. </t>
  </si>
  <si>
    <t xml:space="preserve">La Junta de Propietarios podrá acordar, respecto de los propietarios que hayan sido declarados inhábiles la </t>
  </si>
  <si>
    <t xml:space="preserve">suspensión en el acceso y goce del derecho de uso de determinados bienes y servicios comunes no </t>
  </si>
  <si>
    <t xml:space="preserve">esenciales. </t>
  </si>
  <si>
    <t xml:space="preserve">d)Formar parte de la Junta de Propietarios, y votar, elegir y ser elegido dentro de ella. El ejercicio del derecho </t>
  </si>
  <si>
    <t xml:space="preserve">El ejercicio del derecho al voto sólo puede ser suspendido en los casos de inhabilitación del propietario. </t>
  </si>
  <si>
    <t>general.</t>
  </si>
  <si>
    <t xml:space="preserve">f)Edificar, modificar, ampliar, remodelar o alterar los elementos arquitectónicos, instalaciones o servicios </t>
  </si>
  <si>
    <t xml:space="preserve">de su sección, siempre y cuando no se contravengan las normas legales vigentes o las normas especiales </t>
  </si>
  <si>
    <t xml:space="preserve">que, sobre el particular, se establezcan en el presente Reglamento, no se perjudique las condiciones de </t>
  </si>
  <si>
    <t xml:space="preserve">seguridad y funcionamiento de la edificación y no se afecten los derechos de los demás propietarios o </t>
  </si>
  <si>
    <t xml:space="preserve">de terceros. En el caso de obras que alteren la volumetría, el estilo arquitectónico o el aspecto exterior </t>
  </si>
  <si>
    <t xml:space="preserve">de la sección donde se ejecuta o de la UNIDAD INMOBILIARIA, será necesario, sin perjuicio de cumplir </t>
  </si>
  <si>
    <t>con las reglas generales previstas en el párrafo precedente, que el propietario obtenga previamente</t>
  </si>
  <si>
    <t xml:space="preserve"> la aprobación de la Junta de Propietarios, a la cual deberá proporcionar toda la información y documentación </t>
  </si>
  <si>
    <t>necesaria para tomar una decisión adecuada.</t>
  </si>
  <si>
    <t xml:space="preserve">b)Contribuir oportunamente, en el porcentaje que corresponda a su sección, según lo indicado en el Artículo 7 </t>
  </si>
  <si>
    <t xml:space="preserve">del presente Reglamento, a cubrir los gastos que demande el pago de los servicios comunes, la conservación </t>
  </si>
  <si>
    <r>
      <t xml:space="preserve">y mantenimiento de las áreas y los bienes de dominio común, y la administración de la </t>
    </r>
    <r>
      <rPr>
        <sz val="11"/>
        <color rgb="FF000000"/>
        <rFont val="Arial"/>
        <family val="2"/>
      </rPr>
      <t>UNIDAD INMOBILIARIA</t>
    </r>
    <r>
      <rPr>
        <sz val="12"/>
        <color rgb="FF000000"/>
        <rFont val="Arial"/>
        <family val="2"/>
      </rPr>
      <t xml:space="preserve">. </t>
    </r>
  </si>
  <si>
    <t xml:space="preserve">Esta obligación se mantendrá vigente aun cuando el propietario decida no formar parte de la Junta de </t>
  </si>
  <si>
    <t xml:space="preserve">Propietarios, no ocupe o no use su sección. </t>
  </si>
  <si>
    <t xml:space="preserve">d)No ejecutar obra o instalación alguna que transgreda alguna de las limitaciones previstas en el inciso f) </t>
  </si>
  <si>
    <t xml:space="preserve">del Art. 9 del presente Reglamento o que no cuente con la aprobación previa de la Junta de Propietarios, </t>
  </si>
  <si>
    <t xml:space="preserve">en los casos en que ella es necesaria según lo previsto por el mismo inciso antes señalado. </t>
  </si>
  <si>
    <t xml:space="preserve">f)Efectuar las reparaciones de su respectiva sección de propiedad exclusiva y asumir la responsabilidad por </t>
  </si>
  <si>
    <t xml:space="preserve">los daños y perjuicios que cause a las demás unidades, o a las áreas o los bienes de dominio común, sea por </t>
  </si>
  <si>
    <t xml:space="preserve">g)Hacer constar en el contrato de arrendamiento u otro por el que otorgue la posesión inmediata a terceros, </t>
  </si>
  <si>
    <t xml:space="preserve">los derechos y obligaciones que corresponden al arrendatario o poseedor inmediato y el sometimiento </t>
  </si>
  <si>
    <t xml:space="preserve">expreso de éste a las normas del presente reglamento. El incumplimiento de esta obligación sólo generará </t>
  </si>
  <si>
    <t>responsabilidad para el propietario mas no afectará en lo absoluto a la obligatoriedad del presente</t>
  </si>
  <si>
    <t xml:space="preserve"> Reglamento respecto de quien asuma la posesión inmediata. </t>
  </si>
  <si>
    <t xml:space="preserve">cuotas ordinarias sucesivas o discontinuas, o por una (1) cuota extraordinaria. Recobra el ejercicio de la </t>
  </si>
  <si>
    <t>totalidad de sus derechos como propietario, cuando cumpla con el pago y desaparezca el impedimento.</t>
  </si>
  <si>
    <t>de asistir a  la Junta de propietarios, sólo con voz y sin voto</t>
  </si>
  <si>
    <t xml:space="preserve">La Junta necesariamente estará presidida por uno de sus integrantes que ejercerá el cargo de presidente </t>
  </si>
  <si>
    <t>de la Junta de Propietarios.</t>
  </si>
  <si>
    <t xml:space="preserve">cumplimiento a las disposiciones legales que rigen el Régimen de Propiedad Exclusiva y Propiedad Común, </t>
  </si>
  <si>
    <t>así como para la mejor conservación, mantenimiento y administración de la UNIDAD INMOBILIARIA</t>
  </si>
  <si>
    <t xml:space="preserve">d)Aprobar y modificar el Reglamento Interno, por mayoría calificada; salvo los casos de excepción previstos </t>
  </si>
  <si>
    <t xml:space="preserve">en el Artículo 8 de este Reglamento. </t>
  </si>
  <si>
    <t xml:space="preserve">partes (2/3) de los propietarios de las secciones de propiedad exclusiva, con las limitaciones establecidas </t>
  </si>
  <si>
    <t xml:space="preserve">por ley. </t>
  </si>
  <si>
    <t xml:space="preserve">importe disposición o limitación de uso de las áreas y los bienes comunes susceptibles de ser transferidos. </t>
  </si>
  <si>
    <t xml:space="preserve">Esta aprobación se efectuará mediante acuerdo adoptado con el voto conforme de, cuando menos, las dos </t>
  </si>
  <si>
    <t xml:space="preserve">g)Delegar funciones y responsabilidades de la Junta a favor del administrador o de los administradores </t>
  </si>
  <si>
    <t xml:space="preserve">si fuera el caso, y/o de la Directiva. </t>
  </si>
  <si>
    <t>materia de la cobranza, los intereses moratorios aplicables a partir de la fecha de vencimiento de la obligación</t>
  </si>
  <si>
    <r>
      <t xml:space="preserve"> y calculados con base en la Tasa de Interés Activa para Moneda Nacional (TAMN), vigente a la</t>
    </r>
    <r>
      <rPr>
        <sz val="11"/>
        <color rgb="FF000000"/>
        <rFont val="Arial"/>
        <family val="2"/>
      </rPr>
      <t xml:space="preserve"> fecha de cobro.</t>
    </r>
    <r>
      <rPr>
        <sz val="12"/>
        <color rgb="FF000000"/>
        <rFont val="Arial"/>
        <family val="2"/>
      </rPr>
      <t xml:space="preserve"> </t>
    </r>
  </si>
  <si>
    <r>
      <t xml:space="preserve">j)Establecer un régimen de sanciones, el que se aplicará sólo ante incumplimiento probado de sus </t>
    </r>
    <r>
      <rPr>
        <sz val="11"/>
        <color rgb="FF000000"/>
        <rFont val="Arial"/>
        <family val="2"/>
      </rPr>
      <t xml:space="preserve">obligaciones </t>
    </r>
  </si>
  <si>
    <t xml:space="preserve">k)Determinar la naturaleza de esenciales o no de los servicios y bienes comunes, así como aprobar la </t>
  </si>
  <si>
    <t xml:space="preserve">inclusión de nuevos servicios. </t>
  </si>
  <si>
    <r>
      <t> </t>
    </r>
    <r>
      <rPr>
        <sz val="12"/>
        <color rgb="FF000000"/>
        <rFont val="Arial"/>
        <family val="2"/>
      </rPr>
      <t>La Junta de Propietarios se reunirá en sesiones ordinarias y extraordinarias.</t>
    </r>
  </si>
  <si>
    <t xml:space="preserve">En ambos casos, el presidente será el responsable de efectuar las citaciones, conforme a lo establecido </t>
  </si>
  <si>
    <t>por el Artículo siguiente.</t>
  </si>
  <si>
    <t xml:space="preserve">Las sesiones extraordinarias se efectuarán cuantas veces sea necesario, a criterio del presidente o a petición </t>
  </si>
  <si>
    <t xml:space="preserve">de un número de propietarios que represente, cuando menos, el veinticinco por ciento (25%) del total de las </t>
  </si>
  <si>
    <t>La convocatoria a Junta se efectuará, mediante comunicaciones escritas, que contendrán, obligatoriamente,</t>
  </si>
  <si>
    <t xml:space="preserve"> la designación del lugar, día y hora para la celebración de la Junta, así como los asuntos a tratar; utilizando </t>
  </si>
  <si>
    <r>
      <t xml:space="preserve">servirán, tanto para establecer el quórum en las sesiones ordinarias y extraordinarias de la </t>
    </r>
    <r>
      <rPr>
        <sz val="11"/>
        <color theme="1"/>
        <rFont val="Arial"/>
        <family val="2"/>
      </rPr>
      <t xml:space="preserve">Junta de Propietarios, </t>
    </r>
  </si>
  <si>
    <t xml:space="preserve">comunes que le corresponda, según lo establecido en el Artículo 6 del presente Reglamento. Dichos </t>
  </si>
  <si>
    <t>porcentajes como para la toma de decisiones.</t>
  </si>
  <si>
    <t xml:space="preserve">El quórum para la instalación válida de la Junta de Propietarios, en primera convocatoria, se establece con la </t>
  </si>
  <si>
    <t>instalará válidamente con los propietarios que asistan.</t>
  </si>
  <si>
    <t>participación de los propietarios hábiles. El quórum se verifica al inicio de la sesión y se hace constar en el</t>
  </si>
  <si>
    <t xml:space="preserve"> acta correspondiente.</t>
  </si>
  <si>
    <t xml:space="preserve">Tratándose de sesiones ordinarias de Junta de Propietarios, entre la primera y segunda convocatorias deben </t>
  </si>
  <si>
    <t xml:space="preserve">mediar tres días. Para el caso de las sesiones extraordinarias, las dos convocatorias podrán ser para el </t>
  </si>
  <si>
    <t xml:space="preserve">mismo día. En ambos casos, podrán efectuarse las dos convocatorias en el mismo aviso, señalando fecha y </t>
  </si>
  <si>
    <t>hora de cada una.</t>
  </si>
  <si>
    <t xml:space="preserve">Los propietarios o poseedores podrán hacerse representar por otra persona ante la Junta de Propietarios. </t>
  </si>
  <si>
    <t xml:space="preserve">La representación deberá conferirse por escrito y con carácter especial para cada sesión, salvo que se trate </t>
  </si>
  <si>
    <t>de poder otorgado por escritura pública o a través del contrato de arrendamiento.</t>
  </si>
  <si>
    <t xml:space="preserve">El presidente de la Junta de Propietarios es elegido entre los propietarios hábiles que la integran y debe </t>
  </si>
  <si>
    <t>ejercer el cargo por un período de dos años, siendo reelegible cuantas veces se desee. Le compete:</t>
  </si>
  <si>
    <t xml:space="preserve">policial, a efecto de gestionar ante ellos peticiones o trámites de cualquier naturaleza que interesen a la Junta </t>
  </si>
  <si>
    <t>de Propietarios</t>
  </si>
  <si>
    <t xml:space="preserve">e)Celebrar cualquier tipo de acto o contrato destinado al mantenimiento, conservación, administración o </t>
  </si>
  <si>
    <t xml:space="preserve">uso de las áreas, los bienes o los servicios comunes, excepto aquellos que importen disposición o gravamen </t>
  </si>
  <si>
    <t xml:space="preserve">de los mismos, para lo cual requiere de expresa autorización de la Junta. </t>
  </si>
  <si>
    <t xml:space="preserve">f)Contratar y despedir personal para atenderlos servicios comunes de la edificación, y ejercer las facultades </t>
  </si>
  <si>
    <t>de representación del empleador ante las autoridades administrativas o judiciales en materia laboral, respecto</t>
  </si>
  <si>
    <t xml:space="preserve"> de cerrar planillas, celebrar convenios o contratos laborales, y realizar cualquier otra gestión administrativa, </t>
  </si>
  <si>
    <t xml:space="preserve">g)Cobrar o disponer la cobranza, de los aportes ordinarios o extraordinarios para cubrir los gastos comunes, </t>
  </si>
  <si>
    <t xml:space="preserve">de acuerdo con los porcentajes de participación fijados por este Reglamento o por acuerdo de la Junta, y </t>
  </si>
  <si>
    <t xml:space="preserve">otorgar los correspondientes comprobantes de pago. </t>
  </si>
  <si>
    <t xml:space="preserve">i)Abrir o cerrar, a nombre de la Junta de Propietarios, a sola firma, cuentas corrientes, de ahorro o de depósito </t>
  </si>
  <si>
    <t xml:space="preserve">a plazo fijo en cualquier entidad bancaria; depositar en ellas los fondos que correspondan a la Junta de </t>
  </si>
  <si>
    <t>Propietarios, girar contra ellas, cheques u órdenes de pago, hacer transferencias o disponer de los fondos</t>
  </si>
  <si>
    <t xml:space="preserve">por año. </t>
  </si>
  <si>
    <r>
      <t xml:space="preserve">sobregiros, aceptar y descontar letras, pagarés o vales a la orden, así como para firmar o autorizar </t>
    </r>
    <r>
      <rPr>
        <sz val="10"/>
        <color rgb="FF000000"/>
        <rFont val="Arial"/>
        <family val="2"/>
      </rPr>
      <t xml:space="preserve">cualquier tipo </t>
    </r>
  </si>
  <si>
    <t xml:space="preserve">j) Representar a la Junta de Propietarios, en juicio o fuera de él, ante cualquier autoridad judicial, tribunal </t>
  </si>
  <si>
    <t xml:space="preserve">o corte, nacional o extranjera, ejerciendo la representación judicial de la Junta con las facultades generales , </t>
  </si>
  <si>
    <t xml:space="preserve">declaración de parte, ofrecer pruebas, diferir en contrario, interponer cualquier recurso impugnatorio, delegar </t>
  </si>
  <si>
    <t xml:space="preserve">Para conciliar, allanarse, transigir o desistirse del juicio o de la pretensión, requiere de autorización expresa </t>
  </si>
  <si>
    <r>
      <t> </t>
    </r>
    <r>
      <rPr>
        <b/>
        <u/>
        <sz val="12"/>
        <color rgb="FF000000"/>
        <rFont val="Arial"/>
        <family val="2"/>
      </rPr>
      <t>CAPITULO V</t>
    </r>
  </si>
  <si>
    <t>Realizo la presente declaración jurada manifestando que la información proporcionada es verdadera en aplicación</t>
  </si>
  <si>
    <t xml:space="preserve">Segunda Regularización Excepcional. </t>
  </si>
  <si>
    <t xml:space="preserve"> nueva Norma del DS 008-2019 Decreto Supremo que modifica el Reglamento de la Ley N° 27157. Décimo Octava. - </t>
  </si>
  <si>
    <t xml:space="preserve"> Realizo la presente declaración jurada manifestando que la información proporcionada es verdadera en </t>
  </si>
  <si>
    <t>aplicación de la nueva Norma del DS 008-2019 Decreto Supremo que modifica el Reglamento de la Ley N° 27157</t>
  </si>
  <si>
    <t xml:space="preserve">Décimo Octava. - Segunda Regularización Excepcional. </t>
  </si>
  <si>
    <t>Área c/ Declaratoria anterior</t>
  </si>
  <si>
    <t>Área a valorizar</t>
  </si>
  <si>
    <t>Valor Unitario</t>
  </si>
  <si>
    <t>soles</t>
  </si>
  <si>
    <t>ÁREA TOTAL:</t>
  </si>
  <si>
    <t>b) Pintado de la fachada y parámetros que delimitan las áreas comunes de circulación.</t>
  </si>
  <si>
    <t>c) Limpieza pública y arbitrios en general</t>
  </si>
  <si>
    <t>d) Alumbrado de las áreas comunes.</t>
  </si>
  <si>
    <t xml:space="preserve">Según el criterio antes señalado, los porcentajes de participación de los propietarios en los gastos comunes </t>
  </si>
  <si>
    <t>son los siguientes:</t>
  </si>
  <si>
    <t>PROYECTO</t>
  </si>
  <si>
    <t>LAMINA</t>
  </si>
  <si>
    <t>PLANO</t>
  </si>
  <si>
    <t>FECHA</t>
  </si>
  <si>
    <t>DIBUJO</t>
  </si>
  <si>
    <t>A-01</t>
  </si>
  <si>
    <t>DISTRIBUCION</t>
  </si>
  <si>
    <t>ZONIFICACION</t>
  </si>
  <si>
    <t>PROPIETARIO(S)</t>
  </si>
  <si>
    <t>PROFESIONAL</t>
  </si>
  <si>
    <t>U-01</t>
  </si>
  <si>
    <t>LOCALIZACION Y UBICACIÓN</t>
  </si>
  <si>
    <t>INDICADA</t>
  </si>
  <si>
    <t>PARAMETROS</t>
  </si>
  <si>
    <t>NORMATIVO</t>
  </si>
  <si>
    <t>PISOS</t>
  </si>
  <si>
    <t>USOS</t>
  </si>
  <si>
    <t>DENSIDAD NETA</t>
  </si>
  <si>
    <t>%AREA LIBRE</t>
  </si>
  <si>
    <t>ALTURA MAXIMA</t>
  </si>
  <si>
    <t>RETIRO MINIMO FRONTAL</t>
  </si>
  <si>
    <t>COEFICIENTE DE EDIFICACION</t>
  </si>
  <si>
    <t>ESTACIONAMIENTO</t>
  </si>
  <si>
    <t>AREA TERRENO</t>
  </si>
  <si>
    <t>ALINEAMIENTO DE FACHADA</t>
  </si>
  <si>
    <t>--------</t>
  </si>
  <si>
    <t>AREA DE LOTE NORMATIVO</t>
  </si>
  <si>
    <t>AREA NETA MINIMA DE VIVIENDA</t>
  </si>
  <si>
    <t>OT</t>
  </si>
  <si>
    <t>PROPIETARIO (s)</t>
  </si>
  <si>
    <t>PROYECTO :</t>
  </si>
  <si>
    <t>PLANO      :</t>
  </si>
  <si>
    <t>ESCALA     :</t>
  </si>
  <si>
    <t>FECHA      :</t>
  </si>
  <si>
    <t>ALERO EXTERNO</t>
  </si>
  <si>
    <t>A Regularizar</t>
  </si>
  <si>
    <t>ESCALAS</t>
  </si>
  <si>
    <t>AZOTEA</t>
  </si>
  <si>
    <t>2.- PARA LA INSCRIPCION DE LA PROPIEDAD CUANDO EL TERRENO NO ESTA REGISTRADO</t>
  </si>
  <si>
    <t xml:space="preserve">representen la mayoría simple de los porcentajes de participación de los propietarios presentes, con las </t>
  </si>
  <si>
    <t xml:space="preserve">los propietarios de secciones de propiedad exclusiva que representen los dos tercios de las participaciones </t>
  </si>
  <si>
    <t>de los bienes comunes incluyendo los porcentajes de quienes renunciaron a la junta.</t>
  </si>
  <si>
    <t xml:space="preserve">La Presente regularización de la fabrica NO se encuentra en las causales de Improcedencia previstas en la Primer </t>
  </si>
  <si>
    <t>Disposición complementaria fina del la Ley N° 30830.</t>
  </si>
  <si>
    <t>Viv. Multifamliar</t>
  </si>
  <si>
    <t xml:space="preserve"> La presente regularización no se encuentra afecta de cargas u Observaciones en marco de del RNE. Y según notifico </t>
  </si>
  <si>
    <t>CUADRO DE AREAS m2</t>
  </si>
  <si>
    <t>Sr. Registrador Publico:</t>
  </si>
  <si>
    <t>con DNI N.º</t>
  </si>
  <si>
    <t>Fecha de Presentación:</t>
  </si>
  <si>
    <t>Denominación</t>
  </si>
  <si>
    <t>Nº</t>
  </si>
  <si>
    <t>Alero externo:</t>
  </si>
  <si>
    <t>DECLARO BAJO JURAMENTO:</t>
  </si>
  <si>
    <t xml:space="preserve">Encontrarme Habilitado(a) para el ejercicio profesional en calidad de proyectista ante el Colegio de Ingenieros  </t>
  </si>
  <si>
    <t>del Perú  para la presente regularización en Curso y por lo tanto afirmo y declaro que:</t>
  </si>
  <si>
    <t>que no estén destinados a una sección en particular</t>
  </si>
  <si>
    <t>8. Los sótanos</t>
  </si>
  <si>
    <t>10. Los patios y demás espacios abiertos</t>
  </si>
  <si>
    <t>1. La guardianía, la portada y la jardinería</t>
  </si>
  <si>
    <t xml:space="preserve">2. La limpieza. Conservación y mantenimiento de las áreas, ambientes, elementos y en general, de los bienes de </t>
  </si>
  <si>
    <t>propiedad y de uso común</t>
  </si>
  <si>
    <t>3. La incineración y/o eliminación de basura</t>
  </si>
  <si>
    <t>4. Los servicios públicos ( alumbrado, baja policía y jardines Públicos) cuyo pago corresponda a los propietarios</t>
  </si>
  <si>
    <t>5. La administración de la edificación</t>
  </si>
  <si>
    <t>Vivienda Comercio y Construcción, el que adjuntamos debidamente llenado</t>
  </si>
  <si>
    <t>Nos adherimos del reglamento Interno Modelo, el que adjuntamos debidamente llenado, mas los artículos</t>
  </si>
  <si>
    <t>complementarios que hemos aprobado y que también acompañamos</t>
  </si>
  <si>
    <t>Fecha de aprobación y/o Adhesión:</t>
  </si>
  <si>
    <t>Promotor o Constructor:</t>
  </si>
  <si>
    <t>Nombres y Apellidos / denominación o Razón Social</t>
  </si>
  <si>
    <t>Propietarios Intervinientes en la Aprobación y/o Adhesión (17)</t>
  </si>
  <si>
    <t>Nombres y Apellidos / Denominación o Razón Social</t>
  </si>
  <si>
    <t>% de Participación</t>
  </si>
  <si>
    <t>Fecha de la elección de a Junta Directiva (14)</t>
  </si>
  <si>
    <t>Porcentaje de votos con el que se eligió la Junta Directiva:</t>
  </si>
  <si>
    <t>Periodo de duración de la Junta Directiva:</t>
  </si>
  <si>
    <t>Documento de Identidad</t>
  </si>
  <si>
    <t>No de Código CIR</t>
  </si>
  <si>
    <t>El profesional que suscribe certifica la concordancia entre la realidad y la información técnica contenida en este formulario</t>
  </si>
  <si>
    <t>en el informe Técnico de Verificación y sus anexos, así como en los planos de ubicación y de distribución que se adjuntan: y se</t>
  </si>
  <si>
    <t>asume con el(los) solicitante(s) la responsabilidad sobre la veracidad y exactitud de dicha información; pudiendo ser pasible de</t>
  </si>
  <si>
    <t>civiles y penales en la ley N° 25035 para los casos de fraude o de falsedad en la prueba documental o en la declaración:</t>
  </si>
  <si>
    <t>Fecha de la Certificación:</t>
  </si>
  <si>
    <t>Urbanización o Asentamiento</t>
  </si>
  <si>
    <t>Nro.</t>
  </si>
  <si>
    <t>Área</t>
  </si>
  <si>
    <t>Linderos y Medida Perimétricas</t>
  </si>
  <si>
    <t>acredita(n) su propiedad por un periodo ininterrumpido de 5 años</t>
  </si>
  <si>
    <t>de enajenación que acredita(n) su propiedad por un periodo ininterrumpido de 5 años</t>
  </si>
  <si>
    <t>Así mismo , doy fe de validez legal de dicho(s) documento(s)</t>
  </si>
  <si>
    <t xml:space="preserve">       Separada Jurídicamente</t>
  </si>
  <si>
    <t>Apellidos y nombres de (la) cónyuge</t>
  </si>
  <si>
    <t>Persona Jurídica</t>
  </si>
  <si>
    <t>Razón Social o Denominación</t>
  </si>
  <si>
    <t>Registro de Personas Jurídicas de</t>
  </si>
  <si>
    <t xml:space="preserve">Apellidos </t>
  </si>
  <si>
    <t>(1) toda edificación individual que no cómprate bienes ni servicios con otra edificación</t>
  </si>
  <si>
    <t>Calle / avenida /jirón</t>
  </si>
  <si>
    <t>Datos de inscripción del terreno:</t>
  </si>
  <si>
    <t>Ficha o Partida Electo. No.</t>
  </si>
  <si>
    <t>Si el terreno se encuentra en proceso de habilitación Urbana</t>
  </si>
  <si>
    <t>Resolución de aprueba el Proyecto</t>
  </si>
  <si>
    <t>de Habilitación Urbana:</t>
  </si>
  <si>
    <t>Datos de su Inscripción</t>
  </si>
  <si>
    <t>Si el terreno esta registrado a nombre de quien le otorgó el titulo de propiedad y su adquisición consta en escritura publica, deberá</t>
  </si>
  <si>
    <t>acompañar dicho documento publico y marcar a continuación el tipo de acto contenido en el:</t>
  </si>
  <si>
    <t>Anticipación de Legitima</t>
  </si>
  <si>
    <t>Donación</t>
  </si>
  <si>
    <t>Partición</t>
  </si>
  <si>
    <t>Dación de Pago</t>
  </si>
  <si>
    <t>habiéndosele(s) declarado propietario(s)</t>
  </si>
  <si>
    <t>Fecha de la certificación</t>
  </si>
  <si>
    <t>SI el área, linderos y medidas perimétricas del terreno no están determinados o existe discrepancia entre el área real del terreno</t>
  </si>
  <si>
    <t>certificación notarial:</t>
  </si>
  <si>
    <t>Saneado notarialmente el área, linderos y medidas perimétricas del terreno de su propiedad(6)</t>
  </si>
  <si>
    <t>Exhibido ante mi escritura publica de conformidad de área suscrita por el solicitante y todos los</t>
  </si>
  <si>
    <t>(4) Precisar el tipo de acto, por ejemplo. Compraventa, donación, permuta, anticipo de legitima etc.</t>
  </si>
  <si>
    <t>(6) Solo procede el área real es igual o menor a la registrada, o siendo mayor aquella no existe superposición de áreas</t>
  </si>
  <si>
    <t>Valor de la Construcción  S/.</t>
  </si>
  <si>
    <t>Ampliación</t>
  </si>
  <si>
    <t>Demolición</t>
  </si>
  <si>
    <t>Edificación Nueva</t>
  </si>
  <si>
    <t>Modificación</t>
  </si>
  <si>
    <t>Remodelación</t>
  </si>
  <si>
    <t>Reparación</t>
  </si>
  <si>
    <t>(7) Debe describirse la edificación resultante. En el caso de demolición total dejar en blanco</t>
  </si>
  <si>
    <t>(8) De faltarle espacio, completar la información en el anexo N° 4 -Ley N° 27157 o adjuntar el integro de la constatación en memoria descriptiva impresa firmada por el verificador</t>
  </si>
  <si>
    <t>(en este ultimo caso se recomienda acompañar esta información en medio magnético)</t>
  </si>
  <si>
    <t>Dirección General de Medio Ambiente de</t>
  </si>
  <si>
    <t>Cuerpo General de Bomberos Voluntarios del Perú</t>
  </si>
  <si>
    <t>Viceministerio de Vivienda y Construcción</t>
  </si>
  <si>
    <t>Ministerio de Defensa</t>
  </si>
  <si>
    <t>Apellidos y Nombres Razón Social o Denominación</t>
  </si>
  <si>
    <t>Área Techada</t>
  </si>
  <si>
    <t>Área Libre</t>
  </si>
  <si>
    <t>Porcentaje en los bienes comunes %</t>
  </si>
  <si>
    <t>Tipo de Área Común</t>
  </si>
  <si>
    <t>1. EL terreno sobre el cual esta construida la edificación</t>
  </si>
  <si>
    <t>2. Los cimientos, sobrecimientos, columnas, muros exteriores, techos y demás elementos estructurales, siempre que</t>
  </si>
  <si>
    <t>estos no sean integrantes únicamente de una sección sino que sirva a una o mas secciones</t>
  </si>
  <si>
    <t>3. Los pasajes, pasadizos, escaleras y en general, las vías aéreas de circulación de uso común</t>
  </si>
  <si>
    <t>5. Las fachadas y obras decorativas exteriores a la edificación o ubicadas en ambientes de propiedad común</t>
  </si>
  <si>
    <t>6. Los locales destinados a servicios comunales tales como portería, guardianía y otros</t>
  </si>
  <si>
    <t>7. Los jardines y los sistemas e instalaciones para agua, desagüe, electricidad, eliminación de basura y otros bienes</t>
  </si>
  <si>
    <t>El Presidente de la Junta de Propietarios será:</t>
  </si>
  <si>
    <t xml:space="preserve">quien ejercerá  el cargo por periodo de dos años. </t>
  </si>
  <si>
    <t xml:space="preserve">dispuestos por ley. Respecto a la mayoría calificada  se considera así al voto conforme de cuando menos </t>
  </si>
  <si>
    <t xml:space="preserve"> en obligaciones a su cargo; con la expresa obligación de rendir cuenta documentada cuando menos una vez </t>
  </si>
  <si>
    <t xml:space="preserve">del mandato cualquier calidad o condición, contestar demandas o denuncias, constituirse en parte civil, prestar </t>
  </si>
  <si>
    <t xml:space="preserve">por el Reglamento de la Ley N.º 27157, en su Artículo 156); con excepción del cobro por mora de las cuotas, que se </t>
  </si>
  <si>
    <t>sujetará a lo dispuesto por el Art. 50 de la Ley N.º 27157 y por su Reglamento aprobado por D.S. N.º 008-2000-MTC.</t>
  </si>
  <si>
    <t xml:space="preserve">En todo lo no previsto por el presente Reglamento Interno, se aplica, en forma supletoria, la Ley N.º 27157 o las </t>
  </si>
  <si>
    <t>N.º.</t>
  </si>
  <si>
    <t>El suscrito asume la responsabilidad sobre la veracidad y exactitud de la información y documentación que presento, consciente de los</t>
  </si>
  <si>
    <t>Apellidos- Nombres o Razón Social</t>
  </si>
  <si>
    <t>( Las medidas se expresan con dos decimales. Si el perímetro del terreno es irregular , describirlo en el rubro Observaciones)</t>
  </si>
  <si>
    <t>Área Total (m2)</t>
  </si>
  <si>
    <t>Según  Realidad Física</t>
  </si>
  <si>
    <t xml:space="preserve">la edificación materia de  regularización cumple con todos los parámetros  Urbanísticos y edificatorios  reglamentarios </t>
  </si>
  <si>
    <t>correspondientes a la fecha de ejecución.</t>
  </si>
  <si>
    <t>Por la Derecha (ml)</t>
  </si>
  <si>
    <t>APELLIDOS</t>
  </si>
  <si>
    <t>DNI</t>
  </si>
  <si>
    <t>DIRECCION</t>
  </si>
  <si>
    <t>CONYUGUE</t>
  </si>
  <si>
    <t>PROVINCIA</t>
  </si>
  <si>
    <t>DISTRITO</t>
  </si>
  <si>
    <t>MZ</t>
  </si>
  <si>
    <t>LOTE/SUBLOTE</t>
  </si>
  <si>
    <t>DEPT.</t>
  </si>
  <si>
    <t>Nº int</t>
  </si>
  <si>
    <t>UNIDADES INMOBILIARIA</t>
  </si>
  <si>
    <t>ZONA RESIDENCIAL</t>
  </si>
  <si>
    <t>DENSIDAD MEDIA</t>
  </si>
  <si>
    <t>PERIMETRICO Y DISTRIBUCION</t>
  </si>
  <si>
    <t>Miembro de la Junta Propietarios</t>
  </si>
  <si>
    <t>AGENDA A TRATAR:</t>
  </si>
  <si>
    <t xml:space="preserve">Horas: </t>
  </si>
  <si>
    <t>fecha:</t>
  </si>
  <si>
    <t>Segunda Convocatoria</t>
  </si>
  <si>
    <t>Primera Convocatoria</t>
  </si>
  <si>
    <t>la misma que se realizará en:</t>
  </si>
  <si>
    <t>Mediante el presente se cita a todos los miembros de la Junta de Propietarios a la Asamblea General Extraordinaria</t>
  </si>
  <si>
    <t>Miembros de la Junta de Propietarios del Inmueble ubicada en :</t>
  </si>
  <si>
    <t>Señores:</t>
  </si>
  <si>
    <t>CITACIÓN</t>
  </si>
  <si>
    <t xml:space="preserve">A continuación, se reproducen los términos de la convocatoria: </t>
  </si>
  <si>
    <t xml:space="preserve"> tomaron conocimiento de la convocatoria.</t>
  </si>
  <si>
    <t>el artículo 14°  del Reglamento Interno, con la anticipación debida, habiéndose notificado a todos los miembros, quienes</t>
  </si>
  <si>
    <t xml:space="preserve"> De conformidad con los artículos 12°,13°14°,15°16°y17° del Reglamento Interno vigente, DECLARO BAJO JURAMENTO</t>
  </si>
  <si>
    <t>Miembro de la Junta  de Propietarios del inmueble ubicado en:</t>
  </si>
  <si>
    <t>Yo</t>
  </si>
  <si>
    <t xml:space="preserve">CONSTANCIA DE CONVOCATORIA </t>
  </si>
  <si>
    <t>Presidente de la Junta de Propietarios</t>
  </si>
  <si>
    <t xml:space="preserve">Con DNI N° </t>
  </si>
  <si>
    <t>En conformidad a los acuerdos en todos sus extremos firmamos  los suscritos:</t>
  </si>
  <si>
    <t>DELIBERACIONES Y ACUERDOS</t>
  </si>
  <si>
    <t>AGENDA:</t>
  </si>
  <si>
    <t>INSTALACIÓN DE LA ASAMBLEA</t>
  </si>
  <si>
    <t>•</t>
  </si>
  <si>
    <t xml:space="preserve">ACTA DE JUNTA DE PROPIETARIOS EXTRAORDINARIA DEL INMUEBLE </t>
  </si>
  <si>
    <t>VIVIENDA</t>
  </si>
  <si>
    <t>08193734</t>
  </si>
  <si>
    <t>LOTE N°24</t>
  </si>
  <si>
    <t>CASA PRIMER PISO</t>
  </si>
  <si>
    <t>Área m2 (11)</t>
  </si>
  <si>
    <t>Linderos y Medidas Perimétricas ml</t>
  </si>
  <si>
    <t>NIVEL</t>
  </si>
  <si>
    <t>USO</t>
  </si>
  <si>
    <t>CALLE VERROCHIO</t>
  </si>
  <si>
    <t>ZONA COMUN</t>
  </si>
  <si>
    <t>AREA COMUN 2</t>
  </si>
  <si>
    <t>AREA COMUN 5</t>
  </si>
  <si>
    <t>AREA COMUN 4</t>
  </si>
  <si>
    <t>Linderos y Medidas Perimétricas (ml)</t>
  </si>
  <si>
    <t>CIRCULACION</t>
  </si>
  <si>
    <t>AREA COMUN 3</t>
  </si>
  <si>
    <t>AREA COMUN 1</t>
  </si>
  <si>
    <t>SAN BORJA</t>
  </si>
  <si>
    <t>ubicadas en el primer, segundo piso y azotea.</t>
  </si>
  <si>
    <t xml:space="preserve">CASA SEGUNDA PLANTA Y AZOTEA </t>
  </si>
  <si>
    <t>CASA 1</t>
  </si>
  <si>
    <t>CASA 2</t>
  </si>
  <si>
    <t>2° Y AZOTEA</t>
  </si>
  <si>
    <t>VIVIENDA-TERRAZA</t>
  </si>
  <si>
    <t>Articulo 2.- Características de la unidad inmobiliaria</t>
  </si>
  <si>
    <t xml:space="preserve">presencia de  las participaciones en las áreas y los bienes comunes. En segunda convocatoria la sesión se </t>
  </si>
  <si>
    <t>40861650</t>
  </si>
  <si>
    <t>TORRES SALHUANA CLAUDIA CONSUELO</t>
  </si>
  <si>
    <t>partida registral matriz</t>
  </si>
  <si>
    <t xml:space="preserve">inscrita en la partida N° 45333655, de la </t>
  </si>
  <si>
    <t>propietario de la casa de segunda planta y azotea N°382 en mi condición de</t>
  </si>
  <si>
    <t>Todos los acuerdos antes señalados fueron aprobados por UNANIMIDAD conformada por el  100 %</t>
  </si>
  <si>
    <t>casa segunda planta y azotea N°382</t>
  </si>
  <si>
    <t>DISTRITO SAN BORJA, PROVINCIA LIMA Y DEPARTAMENTO DE LIMA</t>
  </si>
  <si>
    <t>se reunieron en la sala de la casa segunda planta y azotea N°382 en el segundo piso del inmueble ubicado en:</t>
  </si>
  <si>
    <r>
      <rPr>
        <b/>
        <sz val="11"/>
        <color theme="1"/>
        <rFont val="Arial"/>
        <family val="2"/>
      </rPr>
      <t>LUGAR:</t>
    </r>
    <r>
      <rPr>
        <sz val="11"/>
        <color theme="1"/>
        <rFont val="Arial"/>
        <family val="2"/>
      </rPr>
      <t xml:space="preserve"> Sala de la casa segunda planta y azotea N°382 en el segundo piso del inmueble ubicado en:</t>
    </r>
  </si>
  <si>
    <t>del inmueble ubicado en:</t>
  </si>
  <si>
    <t xml:space="preserve">2º piso y azotea-casa segunda planta y azotea </t>
  </si>
  <si>
    <t>1° piso-casa primer piso</t>
  </si>
  <si>
    <t>Los presentes acordaron por UNANIMIDAD lo siguiente:</t>
  </si>
  <si>
    <t>TORRES ALVA HILDA NATALIA</t>
  </si>
  <si>
    <t>núm. int</t>
  </si>
  <si>
    <t>La participación total de los Propietarios del inmueble es UNANIME del 100 %</t>
  </si>
  <si>
    <t xml:space="preserve">APROBADO CON: </t>
  </si>
  <si>
    <t>SIGLAS RESPONSABLE</t>
  </si>
  <si>
    <t xml:space="preserve">NOMBRES </t>
  </si>
  <si>
    <t>AREA M2</t>
  </si>
  <si>
    <t xml:space="preserve">PARTIDA REGISTRAL </t>
  </si>
  <si>
    <t xml:space="preserve">VALOR UNITARIO </t>
  </si>
  <si>
    <t xml:space="preserve">DEPARTAMENTO </t>
  </si>
  <si>
    <t>Urbanización / AA:HH./Otro:</t>
  </si>
  <si>
    <t>REGULARIZACION E INDEPENDIZACION</t>
  </si>
  <si>
    <t>1777 ANG</t>
  </si>
  <si>
    <t>DNI -N° 40861650</t>
  </si>
  <si>
    <t>DNI -N° 08193734</t>
  </si>
  <si>
    <t xml:space="preserve">Provincia        </t>
  </si>
  <si>
    <t xml:space="preserve">Distrito            </t>
  </si>
  <si>
    <t xml:space="preserve">Urbanización            </t>
  </si>
  <si>
    <t xml:space="preserve">Manzana        </t>
  </si>
  <si>
    <t xml:space="preserve">Lote      </t>
  </si>
  <si>
    <t>Jirón</t>
  </si>
  <si>
    <t xml:space="preserve">b) Descripción y uso: La UNIDAD INMOBILIARIA consta de </t>
  </si>
  <si>
    <t>El presente reglamento interno es de observancia obligatoria, sin excepción ni limitación alguna, para todas las</t>
  </si>
  <si>
    <t xml:space="preserve">personas que tengan la propiedad o posesión, bajo cualquier título, de los Departamentos de propiedad </t>
  </si>
  <si>
    <t xml:space="preserve">exclusiva que forman parte de la unidad inmobiliaria  descrita en el Capítulo II de este Reglamento, a la que en </t>
  </si>
  <si>
    <t xml:space="preserve">adelante se denominará UNIDAD INMOBILIARIA. </t>
  </si>
  <si>
    <t>Área m2 Ocupada</t>
  </si>
  <si>
    <t>Área m2 Techada</t>
  </si>
  <si>
    <t>a) La limpieza, conservación y mantenimiento de las áreas comunes, instalaciones sanitarias y eléctricas</t>
  </si>
  <si>
    <t>o reposición de dichos bienes y de sus partes integrantes y/o accesorias.</t>
  </si>
  <si>
    <t>de uso común, en general, de cualquier otro elemento de los bienes comunes. Esto incluye la reparación</t>
  </si>
  <si>
    <t>Porcentaje de Participación</t>
  </si>
  <si>
    <t>ZONA COMUN Y LOTE 23</t>
  </si>
  <si>
    <t>LOTE 25</t>
  </si>
  <si>
    <t>LOTE 3</t>
  </si>
  <si>
    <t>LOTE 23</t>
  </si>
  <si>
    <t>AIRES LOTE 23</t>
  </si>
  <si>
    <t>CUARTO</t>
  </si>
  <si>
    <t>ALMACEN</t>
  </si>
  <si>
    <t>AIRES LOTE 3</t>
  </si>
  <si>
    <t>AREA COMUN 2, CASA DE SEGUNDA PLANTA Y AZOTEA</t>
  </si>
  <si>
    <t xml:space="preserve">DEPARTAMENTO    </t>
  </si>
  <si>
    <t xml:space="preserve">PROVINCIA      </t>
  </si>
  <si>
    <t xml:space="preserve">DISTRITO   </t>
  </si>
  <si>
    <t>URBANIZACION / AA:HH./OTRO</t>
  </si>
  <si>
    <t xml:space="preserve">MANZANA        </t>
  </si>
  <si>
    <t xml:space="preserve">LOTE                  </t>
  </si>
  <si>
    <t xml:space="preserve">que la convocatoria a la asamblea general celebrada el 27 de abril del 2024  se ha realizado en la forma prevista en </t>
  </si>
  <si>
    <t>En la ciudad de Lima, siendo las 10:00 horas del día veintisiete (27) de Abril  del año dos mil veinticuatro,</t>
  </si>
  <si>
    <t>a la nueva area exclusiva denominado "cuarto".</t>
  </si>
  <si>
    <t>en un area de 11.85 m2 y transferenia a la nueva unidad exclusiva denominada "cuarto" que tendra la misma area desafectada.</t>
  </si>
  <si>
    <r>
      <rPr>
        <b/>
        <sz val="11"/>
        <color theme="1"/>
        <rFont val="Arial"/>
        <family val="2"/>
      </rPr>
      <t xml:space="preserve">2° </t>
    </r>
    <r>
      <rPr>
        <sz val="11"/>
        <color theme="1"/>
        <rFont val="Arial"/>
        <family val="2"/>
      </rPr>
      <t>Aprobación de la apertura del libro de actas.</t>
    </r>
  </si>
  <si>
    <r>
      <t xml:space="preserve">1° </t>
    </r>
    <r>
      <rPr>
        <sz val="11"/>
        <color theme="1"/>
        <rFont val="Arial"/>
        <family val="2"/>
      </rPr>
      <t>Elección y nombramiento  del Presidente de la Junta de Propietarios.</t>
    </r>
  </si>
  <si>
    <r>
      <t>3°</t>
    </r>
    <r>
      <rPr>
        <sz val="11"/>
        <color theme="1"/>
        <rFont val="Arial"/>
        <family val="2"/>
      </rPr>
      <t xml:space="preserve"> Actualización y modificación total del reglamento interno.</t>
    </r>
  </si>
  <si>
    <r>
      <t xml:space="preserve">7° </t>
    </r>
    <r>
      <rPr>
        <sz val="11"/>
        <color theme="1"/>
        <rFont val="Arial"/>
        <family val="2"/>
      </rPr>
      <t>Aprobación de la modificacion de nombres de las areas comunes de la azotea.</t>
    </r>
  </si>
  <si>
    <r>
      <t xml:space="preserve">8° </t>
    </r>
    <r>
      <rPr>
        <sz val="11"/>
        <color theme="1"/>
        <rFont val="Arial"/>
        <family val="2"/>
      </rPr>
      <t xml:space="preserve">Aprobación de la desafectacion de "aires del jardin interior de la casa de bajos N° 384" ubicado en el segundo piso, </t>
    </r>
  </si>
  <si>
    <r>
      <t xml:space="preserve">9° </t>
    </r>
    <r>
      <rPr>
        <sz val="11"/>
        <color theme="1"/>
        <rFont val="Arial"/>
        <family val="2"/>
      </rPr>
      <t xml:space="preserve">Aprobación de la desafectacion del area comun posterior de la azotea en un area ocupada de 11.85 m2 y transferencia </t>
    </r>
  </si>
  <si>
    <r>
      <t>4°</t>
    </r>
    <r>
      <rPr>
        <sz val="11"/>
        <color theme="1"/>
        <rFont val="Arial"/>
        <family val="2"/>
      </rPr>
      <t xml:space="preserve">Aprobacion de la independización de la "casa primer piso" en 3 unidades: "casa primer piso; "jardin"; "estacionamiento".                     </t>
    </r>
  </si>
  <si>
    <r>
      <t xml:space="preserve">SEXTO.-  </t>
    </r>
    <r>
      <rPr>
        <sz val="11"/>
        <color theme="1"/>
        <rFont val="Arial"/>
        <family val="2"/>
      </rPr>
      <t xml:space="preserve">Se aprueba la modificacion de nombres de las areas comunes del segundo piso, que se detalla a  continuacion: </t>
    </r>
  </si>
  <si>
    <t>Antes "pozo de Luz"; ahora se denominara Area Comun 1.</t>
  </si>
  <si>
    <t>Antes "areas de la zona de retiro car-port, zona de ingreso"; ahora se denominara Area Comun 3.</t>
  </si>
  <si>
    <r>
      <t xml:space="preserve">SETIMO.-  </t>
    </r>
    <r>
      <rPr>
        <sz val="11"/>
        <color theme="1"/>
        <rFont val="Arial"/>
        <family val="2"/>
      </rPr>
      <t xml:space="preserve">Se aprueba la modificacion de nombres de las areas comunes de la azotea, que se detalla a  continuacion: </t>
    </r>
  </si>
  <si>
    <t xml:space="preserve">y "casa de segundo piso y azotea" (segundo nivel y azotea)       </t>
  </si>
  <si>
    <r>
      <t xml:space="preserve">5° </t>
    </r>
    <r>
      <rPr>
        <sz val="11"/>
        <color theme="1"/>
        <rFont val="Arial"/>
        <family val="2"/>
      </rPr>
      <t>Aprobación de la ampliacion de la declaratoria de fabrica de la unidad exclusiva denominada "casa primer piso" y</t>
    </r>
  </si>
  <si>
    <t>"casa primer piso" de la construccion nueva de los ambientes denominados dormitorio y cuarto de limpieza.</t>
  </si>
  <si>
    <r>
      <t xml:space="preserve">QUINTO.-  </t>
    </r>
    <r>
      <rPr>
        <sz val="11"/>
        <color theme="1"/>
        <rFont val="Arial"/>
        <family val="2"/>
      </rPr>
      <t xml:space="preserve">Se aprueba la ampliación de la declaratoria de fabrica de la unidad exclusiva denominada de la siguiente manera: </t>
    </r>
  </si>
  <si>
    <t>Antes "aires del jardin de la casa de bajos N°384"; ahora se denominará Area Comun 2.</t>
  </si>
  <si>
    <t>Antes area comun posterior; ahora se denominará Area Comun 4.</t>
  </si>
  <si>
    <t>Antes area comun anterior; ahora se denominará Area Comun 5.</t>
  </si>
  <si>
    <t xml:space="preserve">SAN BORJA </t>
  </si>
  <si>
    <t xml:space="preserve">"casa de segundo piso y azotea". (segundo nivel se amplio cuarto de costura) </t>
  </si>
  <si>
    <t xml:space="preserve">"casa de segundo piso y azotea". (azotea se amplio hall) </t>
  </si>
  <si>
    <t>Área m2            Techada</t>
  </si>
  <si>
    <t>NUEVA DENOMINACIÓN:</t>
  </si>
  <si>
    <t>ml</t>
  </si>
  <si>
    <t>Sus linderos son:</t>
  </si>
  <si>
    <t>Por el Frente</t>
  </si>
  <si>
    <t>con:</t>
  </si>
  <si>
    <t>a través de</t>
  </si>
  <si>
    <t>tramo(s)</t>
  </si>
  <si>
    <t>recto(s)</t>
  </si>
  <si>
    <t>Por la izquierda</t>
  </si>
  <si>
    <t>Su Uso es para :</t>
  </si>
  <si>
    <t>2.00, 0.50, 0.85 ml</t>
  </si>
  <si>
    <t>9.75, 4.15, 2.20, 8.20, 12.77 ml</t>
  </si>
  <si>
    <t>2.75, 0.68, 1.75 ml</t>
  </si>
  <si>
    <t>1.80, 0.35, 1.05 ml</t>
  </si>
  <si>
    <t xml:space="preserve"> Area Ocupada =</t>
  </si>
  <si>
    <t>1.  AIRES DEL JARDIN INTERIOR DE LA CASA DE BAJOS N° 384</t>
  </si>
  <si>
    <t xml:space="preserve">y mantenimiento de las áreas y los bienes de dominio común, y la administración de la UNIDAD INMOBILIARIA. </t>
  </si>
  <si>
    <t xml:space="preserve">j)Establecer un régimen de sanciones, el que se aplicará sólo ante incumplimiento probado de sus obligaciones </t>
  </si>
  <si>
    <t xml:space="preserve">servirán, tanto para establecer el quórum en las sesiones ordinarias y extraordinarias de la Junta de Propietarios, </t>
  </si>
  <si>
    <t xml:space="preserve">sobregiros, aceptar y descontar letras, pagarés o vales a la orden, así como para firmar o autorizar cualquier tipo </t>
  </si>
  <si>
    <t>Área m2                  Ocupada</t>
  </si>
  <si>
    <t>acta correspondiente.</t>
  </si>
  <si>
    <t>UBICADO EN URBANIZACION SAN BORJA MZ. G-8 LOTE N°24 FRENTE A LA CALLE VERROCHIO</t>
  </si>
  <si>
    <t>soltera, propietaria de la CASA DE PLANTA BAJA</t>
  </si>
  <si>
    <t>N°384, inscrita en Partida Registral N.º  45333697 con un porcentaje de participación equivalente al 49.8%</t>
  </si>
  <si>
    <t>Y AZOTEA N°382 inscrita en Partida Registral N° 45333655, con un porcentaje de participación equivalente al 50.2%</t>
  </si>
  <si>
    <t>soltera, propietario de la CASA SEGUNDA PLANTA</t>
  </si>
  <si>
    <t xml:space="preserve">Habiéndose cumplido con los mecanismos de notificación de la Junta de Propietarios; y verificando el quorum de Ley en la </t>
  </si>
  <si>
    <t xml:space="preserve">Primera y segunda Convocatoria(encontrándose presente el  100 % de los propietarios) Presidida por el Representante de </t>
  </si>
  <si>
    <t>la Junta de Propietarios el Sra. CLAUDIA CONSUELO TORRES SALHUANA Identificada con DNI. N° 40861650 se procedió</t>
  </si>
  <si>
    <t>a dar inicio a la presente Junta.</t>
  </si>
  <si>
    <t>40861650, por un periodo de dos años.</t>
  </si>
  <si>
    <t>manera:</t>
  </si>
  <si>
    <t>El presente reglamento interno es de observancia obligatoria, sin excepción ni limitación alguna, para todas las personas que</t>
  </si>
  <si>
    <t>tengan la propiedad o posesión, bajo cualquier título, de los Departamentos de propiedad exclusiva ue forman parte de la</t>
  </si>
  <si>
    <r>
      <rPr>
        <b/>
        <sz val="11.5"/>
        <color theme="1"/>
        <rFont val="Arial"/>
        <family val="2"/>
      </rPr>
      <t xml:space="preserve">PRIMERO. -  </t>
    </r>
    <r>
      <rPr>
        <sz val="11.5"/>
        <color theme="1"/>
        <rFont val="Arial"/>
        <family val="2"/>
      </rPr>
      <t xml:space="preserve">Ha sido elegida como Presidenta la Sra. CLAUDIA CONSUELO TORRES SALHUANA identificada con DNI N.º </t>
    </r>
  </si>
  <si>
    <r>
      <t xml:space="preserve">SEGUNDO.- </t>
    </r>
    <r>
      <rPr>
        <sz val="11.5"/>
        <color theme="1"/>
        <rFont val="Arial"/>
        <family val="2"/>
      </rPr>
      <t xml:space="preserve"> Se aprueba la apertura del libro de actas</t>
    </r>
    <r>
      <rPr>
        <b/>
        <sz val="11.5"/>
        <color theme="1"/>
        <rFont val="Arial"/>
        <family val="2"/>
      </rPr>
      <t>.</t>
    </r>
  </si>
  <si>
    <r>
      <rPr>
        <b/>
        <sz val="11.5"/>
        <color theme="1"/>
        <rFont val="Arial"/>
        <family val="2"/>
      </rPr>
      <t xml:space="preserve">TERCERO.-  </t>
    </r>
    <r>
      <rPr>
        <sz val="11.5"/>
        <color theme="1"/>
        <rFont val="Arial"/>
        <family val="2"/>
      </rPr>
      <t>Ha sido aprobada la actualización y modificación total del Reglamento Interno el cual se detalla de la siguiente</t>
    </r>
  </si>
  <si>
    <t xml:space="preserve">unidad inmobiliaria descrita en el Capítulo II de este Reglamento,a la que en adelante se denominará UNIDAD INMOBILIARIA. </t>
  </si>
  <si>
    <t xml:space="preserve">siempre y cuando las mismas impliquen ceder el uso de la sección a una persona distinta o determinen </t>
  </si>
  <si>
    <t xml:space="preserve">la aprobación de la Junta de Propietarios, a la cual deberá proporcionar toda la información y documentación </t>
  </si>
  <si>
    <t xml:space="preserve">Reglamento respecto de quien asuma la posesión inmediata. </t>
  </si>
  <si>
    <t xml:space="preserve">a)Decidir sobre la conservación y mantenimiento de las áreas y bienes de dominio común, los servicios de uso </t>
  </si>
  <si>
    <t xml:space="preserve">y calculados con base en la Tasa de Interés Activa para Moneda Nacional (TAMN), vigente a la fecha de cobro. </t>
  </si>
  <si>
    <t>La Junta de Propietarios se reunirá en sesiones ordinarias y extraordinarias.</t>
  </si>
  <si>
    <t xml:space="preserve">la designación del lugar, día y hora para la celebración de la Junta, así como los asuntos a tratar; utilizando </t>
  </si>
  <si>
    <t>JARDIN</t>
  </si>
  <si>
    <t>2.  JARDIN</t>
  </si>
  <si>
    <t>3.  ESTACIONAMIENTO</t>
  </si>
  <si>
    <t>Propietarios, girar contra ellas, cheques u órdenes de pago, hacer transferencias o disponer de los fondos en</t>
  </si>
  <si>
    <t>obligaciones a su cargo; con la expresa obligación de rendir cuenta documentada cuando menos una vez por año</t>
  </si>
  <si>
    <t>que se detalla de la seguiente manera:</t>
  </si>
  <si>
    <r>
      <t xml:space="preserve">CUARTO.-  </t>
    </r>
    <r>
      <rPr>
        <sz val="11"/>
        <color theme="1"/>
        <rFont val="Arial"/>
        <family val="2"/>
      </rPr>
      <t>Ha sido aprobado la independización de la "casa primer piso" en 3 unidades: "casa primer piso; "jardin";"estacionamiento"</t>
    </r>
  </si>
  <si>
    <r>
      <t xml:space="preserve">6° </t>
    </r>
    <r>
      <rPr>
        <sz val="11"/>
        <color theme="1"/>
        <rFont val="Arial"/>
        <family val="2"/>
      </rPr>
      <t>Aprobación de la modificacion de nombres de las areas comunes del segundo piso.</t>
    </r>
  </si>
  <si>
    <t>TRAMO (S)</t>
  </si>
  <si>
    <t>1.  CASA PRIMER PISO</t>
  </si>
  <si>
    <r>
      <t xml:space="preserve">OCTAVO.- </t>
    </r>
    <r>
      <rPr>
        <sz val="11"/>
        <color theme="1"/>
        <rFont val="Arial"/>
        <family val="2"/>
      </rPr>
      <t>Se aprueba</t>
    </r>
    <r>
      <rPr>
        <b/>
        <sz val="11"/>
        <color theme="1"/>
        <rFont val="Arial"/>
        <family val="2"/>
      </rPr>
      <t xml:space="preserve"> </t>
    </r>
    <r>
      <rPr>
        <sz val="11"/>
        <color theme="1"/>
        <rFont val="Arial"/>
        <family val="2"/>
      </rPr>
      <t>la desafectacion de "aires del jardin interior de la casa de bajos N° 384" ubicado en el segundo piso,</t>
    </r>
  </si>
  <si>
    <t>y se detalla de la siguiente manera:</t>
  </si>
  <si>
    <r>
      <t xml:space="preserve">NOVENO.- </t>
    </r>
    <r>
      <rPr>
        <sz val="11"/>
        <color theme="1"/>
        <rFont val="Arial"/>
        <family val="2"/>
      </rPr>
      <t>Se aprueba</t>
    </r>
    <r>
      <rPr>
        <b/>
        <sz val="11"/>
        <color theme="1"/>
        <rFont val="Arial"/>
        <family val="2"/>
      </rPr>
      <t xml:space="preserve"> </t>
    </r>
    <r>
      <rPr>
        <sz val="11"/>
        <color theme="1"/>
        <rFont val="Arial"/>
        <family val="2"/>
      </rPr>
      <t>la desafectacion de "area comun posterior de la azotea" ubicado en el segundo piso,</t>
    </r>
    <r>
      <rPr>
        <b/>
        <sz val="11"/>
        <color theme="1"/>
        <rFont val="Arial"/>
        <family val="2"/>
      </rPr>
      <t xml:space="preserve"> </t>
    </r>
    <r>
      <rPr>
        <sz val="11"/>
        <color theme="1"/>
        <rFont val="Arial"/>
        <family val="2"/>
      </rPr>
      <t>en un area de</t>
    </r>
  </si>
  <si>
    <t>de la siguiente manera:</t>
  </si>
  <si>
    <t>1.  AREA COMUN POSTERIOR DE LA AZOTEA</t>
  </si>
  <si>
    <t>11.85 m2 y transferencia a la nueva unidad exclusiva denominada "cuarto" que tendra la misma area desafectada y se detalla</t>
  </si>
  <si>
    <t>en un area de 11.85 m2 y transferencia a la nueva unidad exclusiva denominada "cuarto" que tendra la misma area desafectada</t>
  </si>
  <si>
    <t>arrendatarios u otros poseedores de su sección, y exigirles su cumplimiento; asumiendo la condición de</t>
  </si>
  <si>
    <t>De todo lo cual doy fe y declaro para los fines legales correspondientes  y en señal de  veracidad se ha certificado mi firma.</t>
  </si>
  <si>
    <t>1.-</t>
  </si>
  <si>
    <t>Luego de expresarle mi saludo paso a comunicarle lo siguiente:</t>
  </si>
  <si>
    <t xml:space="preserve">Expresamos nuestro cordial saludo y a so despacho por la atencion en las cordinaciones del presente titulo. </t>
  </si>
  <si>
    <t xml:space="preserve">              Nro. de Titulo:</t>
  </si>
  <si>
    <t>KTN</t>
  </si>
  <si>
    <t>3°</t>
  </si>
  <si>
    <t>UNIDAD INMOBILIARIA 1</t>
  </si>
  <si>
    <t>UNIDAD INMOBILIARIA 2</t>
  </si>
  <si>
    <t>UI-1</t>
  </si>
  <si>
    <t>UI-2</t>
  </si>
  <si>
    <r>
      <rPr>
        <b/>
        <sz val="10"/>
        <rFont val="Arial"/>
        <family val="2"/>
      </rPr>
      <t>Nota:</t>
    </r>
    <r>
      <rPr>
        <sz val="10"/>
        <rFont val="Arial"/>
        <family val="2"/>
      </rPr>
      <t xml:space="preserve"> Se a dado respuesta a la observacion de la esquela y nos reservamos el derecho de acudir al tribunal si hubiese revisión desfasada.</t>
    </r>
  </si>
  <si>
    <t>1° PISO</t>
  </si>
  <si>
    <t>2° PISO</t>
  </si>
  <si>
    <t>3° PISO</t>
  </si>
  <si>
    <t>Viv.Unifamiliar/ Multifamiliar</t>
  </si>
  <si>
    <t>Según Consolidación Urbana</t>
  </si>
  <si>
    <t xml:space="preserve">Urbanización /Otro:            </t>
  </si>
  <si>
    <t>CORNEJO HERRERA UBALDI</t>
  </si>
  <si>
    <t>ARDILES MARQUEZ NATIVIDAD AMELIA</t>
  </si>
  <si>
    <t>ALIAGA MAURICIO HECTOR MANUEL</t>
  </si>
  <si>
    <t>LOCAL-VIVIENDA</t>
  </si>
  <si>
    <t>06872137</t>
  </si>
  <si>
    <t>09026409</t>
  </si>
  <si>
    <t xml:space="preserve">Con L.E. N° </t>
  </si>
  <si>
    <t>VIA</t>
  </si>
  <si>
    <t>5 PISOS</t>
  </si>
  <si>
    <t>4° PISO</t>
  </si>
  <si>
    <t>4°</t>
  </si>
  <si>
    <t>con L.E. N.º</t>
  </si>
  <si>
    <t xml:space="preserve">4 Pisos </t>
  </si>
  <si>
    <t>1/150</t>
  </si>
  <si>
    <t>A-01/P-01</t>
  </si>
  <si>
    <t>PROPIETARIO (s):</t>
  </si>
  <si>
    <t>ubicadas en el primer, segundo, tercer, cuarto piso y azotea.</t>
  </si>
  <si>
    <t>1º,2°, 4° y Azotea</t>
  </si>
  <si>
    <t>2°,3°,4° y azotea</t>
  </si>
  <si>
    <t>AREA COMUN 6</t>
  </si>
  <si>
    <t>azotea</t>
  </si>
  <si>
    <t>Dpto</t>
  </si>
  <si>
    <t>ESTADO CIVIL</t>
  </si>
  <si>
    <t>5. ACTOS A CONSTATAR</t>
  </si>
  <si>
    <t>DESCRIPCION DE LOS AMBIENTES POR CADA PISO Y/O NIVEL (7) (8)</t>
  </si>
  <si>
    <t xml:space="preserve">(15) Si son más los solicitantes, utilizar el anexo N° 15 - Ley 27157 </t>
  </si>
  <si>
    <t>Nombres, Apellidos, Firma y sello de Notario:</t>
  </si>
  <si>
    <t>Codigo CIR</t>
  </si>
  <si>
    <t>Tipo</t>
  </si>
  <si>
    <t>Datos</t>
  </si>
  <si>
    <t>2024 -</t>
  </si>
  <si>
    <t>- Exhibido ante mi documento(s) privado(s) de fecha cierta que contienen acto(s) jurídico(s) de enajenación que</t>
  </si>
  <si>
    <t>- Exhibido ante mi documento()s privado(s) de fecha cierta y escritura(s) publica(s) que contiene(n) acto(s) jurídicos</t>
  </si>
  <si>
    <t>- Obtenido Notarialmente títulos supletorios</t>
  </si>
  <si>
    <t>- Tramitando notarialmente la declaración de prescripción adquisitiva de Dominio</t>
  </si>
  <si>
    <t>- Exhibidos ante mi ,títulos supletorios cuyo tramite se inicio ante un notario, se presento oposición</t>
  </si>
  <si>
    <t>Datos del terreno:</t>
  </si>
  <si>
    <t>Linderos y Medida Perimétricas:</t>
  </si>
  <si>
    <t>Mz.:_____</t>
  </si>
  <si>
    <t>Lote:</t>
  </si>
  <si>
    <t>Distrito:</t>
  </si>
  <si>
    <t>Departamento:</t>
  </si>
  <si>
    <t xml:space="preserve"> Provincia:</t>
  </si>
  <si>
    <t>Urbanización o Asentamiento:</t>
  </si>
  <si>
    <t>Área:</t>
  </si>
  <si>
    <t>Calle / Avenida /Jirón:</t>
  </si>
  <si>
    <t>Por el Frente:</t>
  </si>
  <si>
    <t>Por la Derecha:</t>
  </si>
  <si>
    <t>Por la Izquierda:</t>
  </si>
  <si>
    <t>Por el Fondo:</t>
  </si>
  <si>
    <t>Datos Adicionales:</t>
  </si>
  <si>
    <t>Estado Civil:</t>
  </si>
  <si>
    <t>Persona Natural:</t>
  </si>
  <si>
    <t>Representante o apoderado de la persona natural:</t>
  </si>
  <si>
    <t>Inscrito en:</t>
  </si>
  <si>
    <t>Tomo y Folio</t>
  </si>
  <si>
    <t>sus medidas perimétricas y/o linderos con los que figuran en la partida registral del predio, deberá contar con la siguiente</t>
  </si>
  <si>
    <t>- Exhibido ante mi documento()s privado(s) de fecha cierta que contienen acto(s) jurídico(s) de enajenación que</t>
  </si>
  <si>
    <t>Lote____________________</t>
  </si>
  <si>
    <t>(2) Se entiende por solicitante al (los) propietario (s) de la edificación materia de regularización. Si son mas solicitantes deberá completarse la información en el</t>
  </si>
  <si>
    <t xml:space="preserve"> Anexo N° 1 Ley N° 27157  o en el Anexo N° 2 Ley 27157, según corresponda.</t>
  </si>
  <si>
    <t>(5) Usted no requiere de esta certificación notarial si cuenta con sentencia de rectificación judicial de área. Pase directamente al rubro 4: (constatación de fabrica)</t>
  </si>
  <si>
    <t>(constatación de fabrica)</t>
  </si>
  <si>
    <t>(3) Usted no requiere de esta certificación si cuenta con escritura(s) publica(s) y/o resoluciones judiciales que contiene(n) actos jurídicos de enajenación que acreditan su</t>
  </si>
  <si>
    <t>propiedad por un periodo ininterrumpido de 5 años y en dicha(s) escritura(s) costa(n) el área, linderos y medidas perimétricas del terreno. Pase directamente al rubro 4.</t>
  </si>
  <si>
    <t xml:space="preserve"> acredita(n) su propiedad por un periodo ininterrumpido de 5 años.</t>
  </si>
  <si>
    <t>de enajenación que acredita(n) su propiedad por un periodo ininterrumpido de 5 años.</t>
  </si>
  <si>
    <t>- Exhibidos ante mi, títulos supletorios cuyo tramite se inicio ante un notario, se presento oposición</t>
  </si>
  <si>
    <t>de Tercero y se termino de tramitar ante el Fuero Judicial o Arbitral.</t>
  </si>
  <si>
    <t>Asímismo, doy fe de validez legal de dicho(s) documento(s)</t>
  </si>
  <si>
    <t>- Exhibido ante mi documento privado de fecha cierta que acredita su propiedad adquirida por (4)</t>
  </si>
  <si>
    <t>- Tramitado notarialmente la correspondiente declaración de propiedad por prescripción adquisitiva</t>
  </si>
  <si>
    <t xml:space="preserve">Si su derecho de propiedad consta en documento privado de fecha cierta, el terreno esta registrado a nombre de una persona diferente </t>
  </si>
  <si>
    <t>de quien le otorgo el titulo de propiedad o usted no tiene titulo de propiedad, deberá contar con la siguiente certificación notarial:</t>
  </si>
  <si>
    <t>(9) De haber mas propietarios completar la información en el Anexo N°3 - Ley N° 27157 o adjuntar el integro de listado en documento anexo firmado por el verificador (es este</t>
  </si>
  <si>
    <t>último caso se recomienda acompañar esta información en medio magnético)</t>
  </si>
  <si>
    <t>CONSTATACIÓN DE FABRICA</t>
  </si>
  <si>
    <t>4.- DATOS DE FÁBRICA</t>
  </si>
  <si>
    <t>(14) En caso de contar solo con Presidente de la Junta de propietarios, señalar la fecha en que se eligió a éste</t>
  </si>
  <si>
    <t>(13) De faltarle espacio, completar la información en el Anexo N°12 - Ley N°27157</t>
  </si>
  <si>
    <t>DATOS DE LOS SOLICITANTES</t>
  </si>
  <si>
    <t>SANTILLAN</t>
  </si>
  <si>
    <t>QUIROZ</t>
  </si>
  <si>
    <t>JULIO</t>
  </si>
  <si>
    <t>Jr.Guayabas 2039 Dpto.A-505 Urb.El trebol
 III Etapa-Los Olivos</t>
  </si>
  <si>
    <t>022023VCZRIX</t>
  </si>
  <si>
    <t xml:space="preserve"> </t>
  </si>
  <si>
    <t xml:space="preserve">Fecha de terminación de la construcción:          </t>
  </si>
  <si>
    <t>X</t>
  </si>
  <si>
    <t>FORMULARIO REGISTRAL N° 1</t>
  </si>
  <si>
    <t>INSCRIPCION DE PROPIEDAD Y/O REGULARIZACION DE LA</t>
  </si>
  <si>
    <t>EDIFICACION DE UNA UNIDAD DE PROPIEDAD EXCLUSIVA(1)</t>
  </si>
  <si>
    <t>1.- DATOS DEL SOLICITANTE(2)</t>
  </si>
  <si>
    <t>Apellidos y nombres del (la) cónyuge</t>
  </si>
  <si>
    <t>Inscrita en:      Tomo y Folio</t>
  </si>
  <si>
    <t>Representante o apoderado de la persona juridica</t>
  </si>
  <si>
    <t>Lote</t>
  </si>
  <si>
    <t>Certifico que el (los) solicitante(s) ha(n):</t>
  </si>
  <si>
    <t>__Exhibido ante mi documento()s privado(s) de fecha cierta que contienen acto(s) jurídico(s) de enajenación, que</t>
  </si>
  <si>
    <t>acredita(n) su propiedad por un periodo ininterrumpido de cinco años</t>
  </si>
  <si>
    <t>__Exhibido ante mi documento(s) privado(s) de fecha cierta y escritura(s) publica(s) que contiene(n) actos jurídicos</t>
  </si>
  <si>
    <t>de enajenación que acredita(n) su propiedad por un periodo ininterrumpido de cinco años</t>
  </si>
  <si>
    <t>__Obtenido Notarialmente títulos supletorios</t>
  </si>
  <si>
    <t>__Tramitando notarialmente la declaración de prescripción adquisitiva de Dominio</t>
  </si>
  <si>
    <t>__Exhibido ante mi ,títulos supletorios cuyo tramite se inicio ante un Notario, se presento oposición</t>
  </si>
  <si>
    <t>Inscrito en:          Tomo y Folio</t>
  </si>
  <si>
    <t>CALLAO</t>
  </si>
  <si>
    <t>Dación en Pago</t>
  </si>
  <si>
    <t>Si su derecho de propiedad consta en documento privado de fecha cierta, el terreno esta registrado a nombre de una persona</t>
  </si>
  <si>
    <t>diferente de quien le otorgo el titulo de propiedad o usted no tiene titulo de propiedad, deberá contar con la siguiente certificación</t>
  </si>
  <si>
    <t>notarial:</t>
  </si>
  <si>
    <t>Exhibido ante mi documento privado de fecha cierta que acredita su propiedad adquirida por (4)</t>
  </si>
  <si>
    <t>Tramitado notarialmente la correspondiente declaración de propiedad por prescripción adquisitiva</t>
  </si>
  <si>
    <t>Fecha de la certificación:</t>
  </si>
  <si>
    <t>CERTIFICACION NOTARIAL (5):</t>
  </si>
  <si>
    <t>SI el área, linderos y medidas perimétricas del terreno no están determinados o existe discrepancia entre el área real del terreno,</t>
  </si>
  <si>
    <t>sus medidas perimétricas y/o linderos con los que figuran en la partida registral del predio, deberá contar con la siguiente certificación</t>
  </si>
  <si>
    <t>Quien suscribe, notario de</t>
  </si>
  <si>
    <t>, Certifico que el(los) solicitante(s) ha(n):</t>
  </si>
  <si>
    <t>Nombres, a pellicos, firma y sello del notario</t>
  </si>
  <si>
    <t>(4) Precisar el tipo de acto, por ejemplo, compraventa, donación, permuta, anticipo de legitima etc.</t>
  </si>
  <si>
    <t>(6) Solo procede el área real es igual o menor a la registrada, o siendo mayor aquella no exista superposición de áreas</t>
  </si>
  <si>
    <t>fecha de terminación de la construcción</t>
  </si>
  <si>
    <t>5. ACTOS A CONSTATAR:</t>
  </si>
  <si>
    <t>TECHO DE CALAMINA</t>
  </si>
  <si>
    <t>BAÑOS SIN MAYOLICA</t>
  </si>
  <si>
    <t xml:space="preserve">(8) De faltarle espacio, completar la información en el anexo N° 4 -Ley N° 27157 o adjuntar el integro de la Constatación en memoria descriptiva impresa firmada por el </t>
  </si>
  <si>
    <t>verificador (en este ultimo caso se recomienda acompañar esta información en medio magnético)</t>
  </si>
  <si>
    <t>8. DATOS Y CERTIFICACION DEL VERIFICADOR RESPONSABLE</t>
  </si>
  <si>
    <t>civiles y penales en la ley N° 25035 para los casos de fraude o de falsedad en la prueba documental o en la declaración.</t>
  </si>
  <si>
    <t>Firma y sello del Verificador:</t>
  </si>
  <si>
    <t>9. FIRMA(S) DEL (LOS) SOLICITANTE(S)</t>
  </si>
  <si>
    <t>10. CERTIFICIACION Y LEGALIZACION NOTARIAL</t>
  </si>
  <si>
    <t xml:space="preserve">Quien suscribe, Notario de </t>
  </si>
  <si>
    <t xml:space="preserve">,certifico que, la firma del </t>
  </si>
  <si>
    <t xml:space="preserve">verificador  y la(s) del(los) solicitantes(s) a las del(los) documento(s) de identidad que he tenido a la vista, asi como la suficiencia del poder </t>
  </si>
  <si>
    <t>e identidad del apoderado o representante del(los) solicitante(s), de ser el caso:</t>
  </si>
  <si>
    <t>Nombre, apellidos, firma del notario:</t>
  </si>
  <si>
    <t>Fecha de la certificacion y legalizacion:</t>
  </si>
  <si>
    <t>11. ANOTACIONES DE INSCRIPCION (9)</t>
  </si>
  <si>
    <t>Ha(n) sido registrados(s) el(los) actos(s) registral(es) siguientes:</t>
  </si>
  <si>
    <t>Firma del Registrador:</t>
  </si>
  <si>
    <t>Fecha:</t>
  </si>
  <si>
    <t>Registro de la Propiedad Inmueble de:</t>
  </si>
  <si>
    <t>(9)  Tratandose de un asiento electronico o de una anotacion compleja, el registrador anexara la correspondiente anotacion de inscripcion.</t>
  </si>
  <si>
    <t>ANEXO N° 15</t>
  </si>
  <si>
    <t>LEY N° 27157</t>
  </si>
  <si>
    <t>FIRMA DE LOS SOLICITANTES</t>
  </si>
  <si>
    <t>(5) Usted no requiere de esta certificación notarial si cuenta con sentencia de rectificación judicial de área. Pase directamente al rubro 4. (constatación de fabrica)</t>
  </si>
  <si>
    <t>4. DATOS DE FABRICA</t>
  </si>
  <si>
    <t>En el(los) siguiente(s) asiento(s):</t>
  </si>
  <si>
    <t>(1) Toda edificación individual que no comprate bienes ni servicios con otra edificación</t>
  </si>
  <si>
    <t>(2) Se entiende por solicitante al(los) propietario (s)materia de la regularización. Si son mas solicitantes deberá completarse la información en el Anexo N° 1 - Ley</t>
  </si>
  <si>
    <t>N° 27157 o en el N° 2 Ley 27157 según corresponda.</t>
  </si>
  <si>
    <t xml:space="preserve">(3) Usted no requiere de esta certificación si cuenta con escritura(s) publica(s) y/o resoluciones judiciales que contiene(n) actos jurídicos de enajenación que acreditan su </t>
  </si>
  <si>
    <t xml:space="preserve">propiedad por un periodo interrumpido de 5 años y en dicha(s) escritura(s) costa(n) el área, linderos y medidas perimétricas del terreno. Pase directamente al rubro 4 </t>
  </si>
  <si>
    <t>ELZ</t>
  </si>
  <si>
    <t xml:space="preserve">ANEXO Nº 4 </t>
  </si>
  <si>
    <t>LEY Nº 27157</t>
  </si>
  <si>
    <t>MEMORIA DESCRIPTIVA DE SUBDIVISION</t>
  </si>
  <si>
    <t>AREA LOTE MATRIZ= 1,850.00 M2    PARTIDA REGISTRAL: 70071577    AREA TECHADA= 400.51 M2    PERIMETRO= 173.92 ML</t>
  </si>
  <si>
    <t>POR EL FRENTE=33.00 ML CON LA AUTOPISTA CALLAO-VENTANILLA</t>
  </si>
  <si>
    <t xml:space="preserve">POR LA DERECHA= 53.00 ML </t>
  </si>
  <si>
    <t xml:space="preserve">POR LA IZQUIERDA= 53.00 ML </t>
  </si>
  <si>
    <t>POR EL FONDO CON LAS FALDAS DE LOS CERROS</t>
  </si>
  <si>
    <t>SUB LOTE 10-B</t>
  </si>
  <si>
    <t>AREA OCUPADA= 1,850.00 M2     AREA TECHADA=400.51 M2    ALERO= 0.00 ML    PERIMETRO=173.92 ML</t>
  </si>
  <si>
    <t>POR EL FRENTE= 33.00 ML CON AV. NESTOR GAMBETTA</t>
  </si>
  <si>
    <t>POR LA DERECHA= 53.00 ML CON PROPIEDAD DE TERCEROS</t>
  </si>
  <si>
    <t>POR LA IZQUIERDA= 53.00 ML CON PROPIEDAD DE TERCEROS</t>
  </si>
  <si>
    <t>POR EL FONDO= 34.92 ML CON FALDAS DE LOS CERROS</t>
  </si>
  <si>
    <r>
      <rPr>
        <b/>
        <sz val="11"/>
        <color theme="1"/>
        <rFont val="Arial"/>
        <family val="2"/>
      </rPr>
      <t>1° piso consta de:</t>
    </r>
    <r>
      <rPr>
        <sz val="11"/>
        <color theme="1"/>
        <rFont val="Arial"/>
        <family val="2"/>
      </rPr>
      <t xml:space="preserve"> Ingresa 2 cochera, 4 depositos, DEP, 5 baño, 2 sala, 2 comedor, 7 dormitorio, 2 pasadizo, 2 cocina, lavanderia, parrilla, terraza </t>
    </r>
  </si>
  <si>
    <t>y sube escaleras 2do piso</t>
  </si>
  <si>
    <t>SUB LOTE 10B-1</t>
  </si>
  <si>
    <t>AREA OCUPADA= 1,288.00 M2     AREA TECHADA=259.50 M2      PERIMETRO= 153.33 ML</t>
  </si>
  <si>
    <t>POR EL FRENTE= 22.71 ML CON AIRES AV NESTOR GAMBETTA</t>
  </si>
  <si>
    <t>POR LA DERECHA= 52.99 ML CON SUB LOTE 10B-2</t>
  </si>
  <si>
    <t>POR LA IZQUIERDA= 53.00 ML CON AIRES PROPIEDAD DE TERCEROS</t>
  </si>
  <si>
    <t>POR EL FONDO= 24.63 ML CON AIRES FALDA DE LOS CERROS</t>
  </si>
  <si>
    <r>
      <rPr>
        <b/>
        <sz val="11"/>
        <color theme="1"/>
        <rFont val="Arial"/>
        <family val="2"/>
      </rPr>
      <t>2° piso consta de:</t>
    </r>
    <r>
      <rPr>
        <sz val="11"/>
        <color theme="1"/>
        <rFont val="Arial"/>
        <family val="2"/>
      </rPr>
      <t xml:space="preserve"> 1 deposito, 1 terraza</t>
    </r>
  </si>
  <si>
    <t>SUB LOTE 10B-2</t>
  </si>
  <si>
    <t>AREA OCUPADA= 561.82 M2     AREA TECHADA=141.01 M2     PERIMETRO= 126.57 ML</t>
  </si>
  <si>
    <t>POR EL FRENTE=10.29 ML CON AIRES AV. NESTOR GAMBETTA</t>
  </si>
  <si>
    <t>POR LA DERECHA= 53.00 ML CON AIRES PROPIEDAD DE TERCEROS</t>
  </si>
  <si>
    <t>POR LA IZQUIERDA= 52.99 ML CON SUB LOTE 10B-1</t>
  </si>
  <si>
    <t>POR EL FONDO= 10.29 ML CON AIRES FALDAS DE LOS CERROS</t>
  </si>
  <si>
    <t xml:space="preserve">DNI: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</si>
</sst>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-* #,##0.00_-;\-* #,##0.00_-;_-* &quot;-&quot;??_-;_-@_-"/>
    <numFmt numFmtId="164" formatCode="[$-F800]dddd\,\ mmmm\ dd\,\ yyyy"/>
    <numFmt numFmtId="165" formatCode="0.00;[Red]0.00"/>
    <numFmt numFmtId="166" formatCode="[$-F400]h:mm:ss\ AM/PM"/>
    <numFmt numFmtId="167" formatCode="0.000"/>
    <numFmt numFmtId="168" formatCode="0.000;[Red]0.000"/>
    <numFmt numFmtId="169" formatCode="[$-280A]d&quot; de &quot;mmmm&quot; de &quot;yyyy;@"/>
  </numFmts>
  <fonts count="98"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1"/>
      <name val="Arial"/>
      <family val="2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4"/>
      <color theme="1"/>
      <name val="Arial Black"/>
      <family val="2"/>
    </font>
    <font>
      <b/>
      <sz val="18"/>
      <color theme="1"/>
      <name val="Calibri"/>
      <family val="2"/>
      <scheme val="minor"/>
    </font>
    <font>
      <b/>
      <sz val="16"/>
      <color theme="1"/>
      <name val="Arial Black"/>
      <family val="2"/>
    </font>
    <font>
      <b/>
      <sz val="18"/>
      <color theme="1"/>
      <name val="Arial Black"/>
      <family val="2"/>
    </font>
    <font>
      <b/>
      <sz val="11"/>
      <color theme="1"/>
      <name val="Arial Black"/>
      <family val="2"/>
    </font>
    <font>
      <sz val="8"/>
      <color theme="1"/>
      <name val="Calibri"/>
      <family val="2"/>
      <scheme val="minor"/>
    </font>
    <font>
      <sz val="12"/>
      <color rgb="FF000000"/>
      <name val="Arial"/>
      <family val="2"/>
    </font>
    <font>
      <b/>
      <sz val="13"/>
      <color theme="1"/>
      <name val="Arial"/>
      <family val="2"/>
    </font>
    <font>
      <b/>
      <sz val="12"/>
      <color rgb="FF000000"/>
      <name val="Arial"/>
      <family val="2"/>
    </font>
    <font>
      <b/>
      <sz val="12"/>
      <color theme="1"/>
      <name val="Arial"/>
      <family val="2"/>
    </font>
    <font>
      <sz val="11"/>
      <color rgb="FF000000"/>
      <name val="Arial"/>
      <family val="2"/>
    </font>
    <font>
      <sz val="12"/>
      <color theme="1"/>
      <name val="Calibri"/>
      <family val="2"/>
      <scheme val="minor"/>
    </font>
    <font>
      <sz val="11"/>
      <color theme="1"/>
      <name val="Arial"/>
      <family val="2"/>
    </font>
    <font>
      <b/>
      <u/>
      <sz val="12"/>
      <color theme="1"/>
      <name val="Arial"/>
      <family val="2"/>
    </font>
    <font>
      <sz val="10"/>
      <color theme="1"/>
      <name val="Arial"/>
      <family val="2"/>
    </font>
    <font>
      <sz val="14"/>
      <color theme="1"/>
      <name val="Arial"/>
      <family val="2"/>
    </font>
    <font>
      <sz val="13"/>
      <color theme="1"/>
      <name val="Calibri"/>
      <family val="2"/>
      <scheme val="minor"/>
    </font>
    <font>
      <sz val="9"/>
      <color theme="1"/>
      <name val="Arial Narrow"/>
      <family val="2"/>
    </font>
    <font>
      <sz val="8"/>
      <color theme="1"/>
      <name val="Arial Narrow"/>
      <family val="2"/>
    </font>
    <font>
      <sz val="10"/>
      <color theme="1"/>
      <name val="Arial Narrow"/>
      <family val="2"/>
    </font>
    <font>
      <b/>
      <u/>
      <sz val="18"/>
      <color theme="1"/>
      <name val="Arial"/>
      <family val="2"/>
    </font>
    <font>
      <b/>
      <sz val="10"/>
      <color rgb="FF000000"/>
      <name val="Arial"/>
      <family val="2"/>
    </font>
    <font>
      <sz val="10"/>
      <color rgb="FF000000"/>
      <name val="Arial"/>
      <family val="2"/>
    </font>
    <font>
      <b/>
      <u/>
      <sz val="10"/>
      <color rgb="FF000000"/>
      <name val="Arial"/>
      <family val="2"/>
    </font>
    <font>
      <b/>
      <u/>
      <sz val="12"/>
      <color rgb="FF000000"/>
      <name val="Arial"/>
      <family val="2"/>
    </font>
    <font>
      <u/>
      <sz val="12"/>
      <color rgb="FF000000"/>
      <name val="Arial"/>
      <family val="2"/>
    </font>
    <font>
      <b/>
      <u/>
      <sz val="13"/>
      <color theme="1"/>
      <name val="Arial"/>
      <family val="2"/>
    </font>
    <font>
      <sz val="8"/>
      <name val="Calibri"/>
      <family val="2"/>
      <scheme val="minor"/>
    </font>
    <font>
      <b/>
      <sz val="11"/>
      <color rgb="FF000000"/>
      <name val="Arial"/>
      <family val="2"/>
    </font>
    <font>
      <sz val="30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3.5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Arial Black"/>
      <family val="2"/>
    </font>
    <font>
      <b/>
      <u/>
      <sz val="11"/>
      <color theme="1"/>
      <name val="Arial"/>
      <family val="2"/>
    </font>
    <font>
      <b/>
      <sz val="11"/>
      <color theme="1"/>
      <name val="Arial Narrow"/>
      <family val="2"/>
    </font>
    <font>
      <b/>
      <sz val="13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2"/>
      <color theme="1"/>
      <name val="Calibri"/>
      <family val="2"/>
      <scheme val="minor"/>
    </font>
    <font>
      <b/>
      <sz val="10"/>
      <color theme="1"/>
      <name val="Arial Narrow"/>
      <family val="2"/>
    </font>
    <font>
      <sz val="9"/>
      <color theme="1"/>
      <name val="Arial"/>
      <family val="2"/>
    </font>
    <font>
      <sz val="13"/>
      <color theme="1"/>
      <name val="Arial"/>
      <family val="2"/>
    </font>
    <font>
      <b/>
      <u/>
      <sz val="10"/>
      <color theme="1"/>
      <name val="Arial"/>
      <family val="2"/>
    </font>
    <font>
      <b/>
      <u/>
      <sz val="14"/>
      <color theme="1"/>
      <name val="Arial"/>
      <family val="2"/>
    </font>
    <font>
      <i/>
      <sz val="11"/>
      <color theme="1"/>
      <name val="Arial"/>
      <family val="2"/>
    </font>
    <font>
      <b/>
      <sz val="11"/>
      <color theme="1"/>
      <name val="Calibri"/>
      <family val="2"/>
    </font>
    <font>
      <sz val="11"/>
      <color rgb="FFFF0000"/>
      <name val="Calibri"/>
      <family val="2"/>
      <scheme val="minor"/>
    </font>
    <font>
      <sz val="11"/>
      <color rgb="FFFF0000"/>
      <name val="Arial"/>
      <family val="2"/>
    </font>
    <font>
      <b/>
      <sz val="11"/>
      <color rgb="FFFF0000"/>
      <name val="Arial"/>
      <family val="2"/>
    </font>
    <font>
      <b/>
      <u/>
      <sz val="12"/>
      <color rgb="FFFF0000"/>
      <name val="Arial"/>
      <family val="2"/>
    </font>
    <font>
      <b/>
      <sz val="10"/>
      <color rgb="FFFF0000"/>
      <name val="Arial"/>
      <family val="2"/>
    </font>
    <font>
      <b/>
      <u/>
      <sz val="11"/>
      <color rgb="FFFF0000"/>
      <name val="Arial"/>
      <family val="2"/>
    </font>
    <font>
      <sz val="10"/>
      <color rgb="FFFF0000"/>
      <name val="Arial"/>
      <family val="2"/>
    </font>
    <font>
      <b/>
      <sz val="11"/>
      <color rgb="FFFF0000"/>
      <name val="Calibri"/>
      <family val="2"/>
      <scheme val="minor"/>
    </font>
    <font>
      <b/>
      <sz val="11"/>
      <color rgb="FFFF0000"/>
      <name val="Arial Narrow"/>
      <family val="2"/>
    </font>
    <font>
      <sz val="11"/>
      <color rgb="FFFF0000"/>
      <name val="Arial Narrow"/>
      <family val="2"/>
    </font>
    <font>
      <b/>
      <sz val="12"/>
      <color rgb="FFFF0000"/>
      <name val="Arial Narrow"/>
      <family val="2"/>
    </font>
    <font>
      <sz val="12"/>
      <color rgb="FFFF0000"/>
      <name val="Arial Narrow"/>
      <family val="2"/>
    </font>
    <font>
      <sz val="20"/>
      <color theme="1"/>
      <name val="Arial"/>
      <family val="2"/>
    </font>
    <font>
      <sz val="10"/>
      <color theme="1"/>
      <name val="Arial "/>
    </font>
    <font>
      <sz val="11"/>
      <color theme="1"/>
      <name val="Arial "/>
    </font>
    <font>
      <sz val="8"/>
      <color theme="1"/>
      <name val="Arial"/>
      <family val="2"/>
    </font>
    <font>
      <sz val="8"/>
      <color rgb="FF000000"/>
      <name val="Arial"/>
      <family val="2"/>
    </font>
    <font>
      <b/>
      <u/>
      <sz val="11.5"/>
      <color theme="1"/>
      <name val="Arial"/>
      <family val="2"/>
    </font>
    <font>
      <sz val="11.5"/>
      <color theme="1"/>
      <name val="Arial"/>
      <family val="2"/>
    </font>
    <font>
      <b/>
      <sz val="11.5"/>
      <color theme="1"/>
      <name val="Arial"/>
      <family val="2"/>
    </font>
    <font>
      <sz val="11.5"/>
      <color rgb="FF00000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9"/>
      <color theme="1"/>
      <name val="Arial"/>
      <family val="2"/>
    </font>
    <font>
      <sz val="10"/>
      <color rgb="FF000000"/>
      <name val="Agency FB"/>
      <family val="2"/>
    </font>
    <font>
      <sz val="9"/>
      <color rgb="FF000000"/>
      <name val="Agency FB"/>
      <family val="2"/>
    </font>
    <font>
      <sz val="11"/>
      <color rgb="FF000000"/>
      <name val="Calibri"/>
      <family val="2"/>
    </font>
    <font>
      <b/>
      <sz val="10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6"/>
      <name val="Arial Black"/>
      <family val="2"/>
    </font>
    <font>
      <b/>
      <sz val="16"/>
      <name val="Arial"/>
      <family val="2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30"/>
      <color theme="1"/>
      <name val="Calibri"/>
      <family val="2"/>
      <scheme val="minor"/>
    </font>
    <font>
      <sz val="12"/>
      <color rgb="FF000000"/>
      <name val="Arial Narrow"/>
      <family val="2"/>
    </font>
    <font>
      <b/>
      <sz val="10"/>
      <color rgb="FF000000"/>
      <name val="Arial Narrow"/>
      <family val="2"/>
    </font>
    <font>
      <sz val="11"/>
      <color theme="1"/>
      <name val="Arial Narrow"/>
      <family val="2"/>
    </font>
    <font>
      <b/>
      <sz val="11"/>
      <color rgb="FF000000"/>
      <name val="Calibri"/>
      <family val="2"/>
    </font>
    <font>
      <sz val="11"/>
      <color theme="0"/>
      <name val="Calibri"/>
      <family val="2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6"/>
      <color theme="1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rgb="FFFFFFFF"/>
        <bgColor rgb="FF000000"/>
      </patternFill>
    </fill>
  </fills>
  <borders count="6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40" fillId="0" borderId="0" applyFont="0" applyFill="0" applyBorder="0" applyAlignment="0" applyProtection="0"/>
  </cellStyleXfs>
  <cellXfs count="1284">
    <xf numFmtId="0" fontId="0" fillId="0" borderId="0" xfId="0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4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2" xfId="0" applyBorder="1"/>
    <xf numFmtId="0" fontId="5" fillId="0" borderId="0" xfId="0" applyFont="1"/>
    <xf numFmtId="0" fontId="0" fillId="0" borderId="12" xfId="0" applyBorder="1"/>
    <xf numFmtId="0" fontId="2" fillId="0" borderId="0" xfId="0" applyFont="1"/>
    <xf numFmtId="0" fontId="0" fillId="0" borderId="0" xfId="0" applyAlignment="1">
      <alignment horizontal="center"/>
    </xf>
    <xf numFmtId="0" fontId="6" fillId="0" borderId="0" xfId="0" applyFont="1" applyAlignment="1">
      <alignment horizontal="center"/>
    </xf>
    <xf numFmtId="0" fontId="4" fillId="0" borderId="0" xfId="0" applyFont="1"/>
    <xf numFmtId="0" fontId="0" fillId="0" borderId="0" xfId="0" applyAlignment="1">
      <alignment horizontal="left"/>
    </xf>
    <xf numFmtId="0" fontId="0" fillId="0" borderId="1" xfId="0" applyBorder="1"/>
    <xf numFmtId="0" fontId="0" fillId="0" borderId="0" xfId="0" applyAlignment="1">
      <alignment horizontal="right"/>
    </xf>
    <xf numFmtId="0" fontId="0" fillId="2" borderId="10" xfId="0" applyFill="1" applyBorder="1"/>
    <xf numFmtId="0" fontId="7" fillId="0" borderId="0" xfId="0" applyFont="1"/>
    <xf numFmtId="0" fontId="6" fillId="0" borderId="0" xfId="0" applyFont="1"/>
    <xf numFmtId="0" fontId="0" fillId="2" borderId="2" xfId="0" applyFill="1" applyBorder="1"/>
    <xf numFmtId="0" fontId="0" fillId="2" borderId="3" xfId="0" applyFill="1" applyBorder="1"/>
    <xf numFmtId="0" fontId="2" fillId="2" borderId="2" xfId="0" applyFont="1" applyFill="1" applyBorder="1"/>
    <xf numFmtId="0" fontId="2" fillId="2" borderId="2" xfId="0" applyFont="1" applyFill="1" applyBorder="1" applyAlignment="1">
      <alignment vertical="center"/>
    </xf>
    <xf numFmtId="0" fontId="0" fillId="2" borderId="2" xfId="0" applyFill="1" applyBorder="1" applyAlignment="1">
      <alignment vertical="center"/>
    </xf>
    <xf numFmtId="0" fontId="0" fillId="2" borderId="3" xfId="0" applyFill="1" applyBorder="1" applyAlignment="1">
      <alignment vertical="center"/>
    </xf>
    <xf numFmtId="0" fontId="0" fillId="0" borderId="10" xfId="0" applyBorder="1" applyAlignment="1">
      <alignment vertical="top"/>
    </xf>
    <xf numFmtId="0" fontId="2" fillId="2" borderId="5" xfId="0" applyFont="1" applyFill="1" applyBorder="1"/>
    <xf numFmtId="0" fontId="2" fillId="2" borderId="6" xfId="0" applyFont="1" applyFill="1" applyBorder="1"/>
    <xf numFmtId="0" fontId="2" fillId="2" borderId="4" xfId="0" applyFont="1" applyFill="1" applyBorder="1"/>
    <xf numFmtId="0" fontId="0" fillId="2" borderId="9" xfId="0" applyFill="1" applyBorder="1"/>
    <xf numFmtId="0" fontId="0" fillId="2" borderId="6" xfId="0" applyFill="1" applyBorder="1"/>
    <xf numFmtId="0" fontId="0" fillId="0" borderId="13" xfId="0" applyBorder="1"/>
    <xf numFmtId="0" fontId="2" fillId="0" borderId="6" xfId="0" applyFont="1" applyBorder="1"/>
    <xf numFmtId="0" fontId="2" fillId="0" borderId="5" xfId="0" applyFont="1" applyBorder="1" applyAlignment="1">
      <alignment horizontal="left"/>
    </xf>
    <xf numFmtId="0" fontId="2" fillId="0" borderId="6" xfId="0" applyFont="1" applyBorder="1" applyAlignment="1">
      <alignment horizontal="left"/>
    </xf>
    <xf numFmtId="0" fontId="0" fillId="0" borderId="4" xfId="0" applyBorder="1" applyAlignment="1">
      <alignment horizontal="center" vertical="top" wrapText="1"/>
    </xf>
    <xf numFmtId="0" fontId="0" fillId="0" borderId="0" xfId="0" applyAlignment="1">
      <alignment horizontal="center" vertical="top" wrapText="1"/>
    </xf>
    <xf numFmtId="0" fontId="0" fillId="0" borderId="8" xfId="0" applyBorder="1" applyAlignment="1">
      <alignment horizontal="center" vertical="top" wrapText="1"/>
    </xf>
    <xf numFmtId="0" fontId="0" fillId="0" borderId="9" xfId="0" applyBorder="1" applyAlignment="1">
      <alignment horizontal="center" vertical="top" wrapText="1"/>
    </xf>
    <xf numFmtId="0" fontId="0" fillId="0" borderId="10" xfId="0" applyBorder="1" applyAlignment="1">
      <alignment horizontal="center" vertical="top" wrapText="1"/>
    </xf>
    <xf numFmtId="0" fontId="0" fillId="0" borderId="11" xfId="0" applyBorder="1" applyAlignment="1">
      <alignment horizontal="center" vertical="top" wrapText="1"/>
    </xf>
    <xf numFmtId="0" fontId="2" fillId="0" borderId="8" xfId="0" applyFont="1" applyBorder="1" applyAlignment="1">
      <alignment horizontal="left"/>
    </xf>
    <xf numFmtId="0" fontId="0" fillId="2" borderId="2" xfId="0" applyFill="1" applyBorder="1" applyProtection="1">
      <protection locked="0"/>
    </xf>
    <xf numFmtId="0" fontId="2" fillId="2" borderId="2" xfId="0" applyFont="1" applyFill="1" applyBorder="1" applyAlignment="1" applyProtection="1">
      <alignment vertical="center"/>
      <protection locked="0"/>
    </xf>
    <xf numFmtId="0" fontId="0" fillId="2" borderId="2" xfId="0" applyFill="1" applyBorder="1" applyAlignment="1" applyProtection="1">
      <alignment vertical="center"/>
      <protection locked="0"/>
    </xf>
    <xf numFmtId="0" fontId="0" fillId="0" borderId="0" xfId="0" applyProtection="1">
      <protection locked="0"/>
    </xf>
    <xf numFmtId="0" fontId="0" fillId="0" borderId="4" xfId="0" applyBorder="1" applyProtection="1">
      <protection locked="0"/>
    </xf>
    <xf numFmtId="0" fontId="13" fillId="0" borderId="0" xfId="0" applyFont="1" applyAlignment="1">
      <alignment vertical="center"/>
    </xf>
    <xf numFmtId="0" fontId="19" fillId="0" borderId="0" xfId="0" applyFont="1"/>
    <xf numFmtId="0" fontId="16" fillId="0" borderId="0" xfId="0" applyFont="1"/>
    <xf numFmtId="0" fontId="14" fillId="0" borderId="0" xfId="0" applyFont="1"/>
    <xf numFmtId="0" fontId="5" fillId="0" borderId="0" xfId="0" applyFont="1" applyAlignment="1">
      <alignment horizontal="left"/>
    </xf>
    <xf numFmtId="0" fontId="16" fillId="0" borderId="0" xfId="0" applyFont="1" applyProtection="1">
      <protection locked="0"/>
    </xf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 wrapText="1"/>
    </xf>
    <xf numFmtId="0" fontId="28" fillId="0" borderId="0" xfId="0" applyFont="1" applyAlignment="1">
      <alignment vertical="center"/>
    </xf>
    <xf numFmtId="0" fontId="19" fillId="0" borderId="0" xfId="0" applyFont="1" applyAlignment="1">
      <alignment vertical="center"/>
    </xf>
    <xf numFmtId="0" fontId="1" fillId="0" borderId="0" xfId="0" applyFont="1"/>
    <xf numFmtId="0" fontId="15" fillId="0" borderId="0" xfId="0" applyFont="1" applyAlignment="1">
      <alignment vertical="center"/>
    </xf>
    <xf numFmtId="2" fontId="4" fillId="0" borderId="12" xfId="0" applyNumberFormat="1" applyFont="1" applyBorder="1" applyAlignment="1" applyProtection="1">
      <alignment horizontal="center"/>
      <protection locked="0"/>
    </xf>
    <xf numFmtId="2" fontId="4" fillId="0" borderId="12" xfId="0" applyNumberFormat="1" applyFont="1" applyBorder="1" applyAlignment="1" applyProtection="1">
      <alignment horizontal="right"/>
      <protection locked="0"/>
    </xf>
    <xf numFmtId="0" fontId="4" fillId="0" borderId="12" xfId="0" applyFont="1" applyBorder="1" applyProtection="1">
      <protection locked="0"/>
    </xf>
    <xf numFmtId="2" fontId="4" fillId="0" borderId="3" xfId="0" applyNumberFormat="1" applyFont="1" applyBorder="1" applyAlignment="1" applyProtection="1">
      <alignment horizontal="center"/>
      <protection locked="0"/>
    </xf>
    <xf numFmtId="0" fontId="41" fillId="0" borderId="0" xfId="0" applyFont="1"/>
    <xf numFmtId="43" fontId="0" fillId="0" borderId="0" xfId="1" applyFont="1" applyBorder="1"/>
    <xf numFmtId="0" fontId="16" fillId="0" borderId="0" xfId="0" applyFont="1" applyAlignment="1">
      <alignment horizontal="center"/>
    </xf>
    <xf numFmtId="165" fontId="16" fillId="0" borderId="0" xfId="0" applyNumberFormat="1" applyFont="1" applyAlignment="1">
      <alignment horizontal="center"/>
    </xf>
    <xf numFmtId="0" fontId="21" fillId="0" borderId="0" xfId="0" applyFont="1"/>
    <xf numFmtId="0" fontId="0" fillId="0" borderId="0" xfId="0" applyAlignment="1">
      <alignment vertical="center"/>
    </xf>
    <xf numFmtId="0" fontId="0" fillId="3" borderId="5" xfId="0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4" xfId="0" applyFill="1" applyBorder="1"/>
    <xf numFmtId="0" fontId="0" fillId="3" borderId="0" xfId="0" applyFill="1"/>
    <xf numFmtId="0" fontId="0" fillId="3" borderId="8" xfId="0" applyFill="1" applyBorder="1"/>
    <xf numFmtId="0" fontId="0" fillId="3" borderId="0" xfId="0" applyFill="1" applyAlignment="1">
      <alignment horizontal="left"/>
    </xf>
    <xf numFmtId="0" fontId="0" fillId="3" borderId="6" xfId="0" quotePrefix="1" applyFill="1" applyBorder="1"/>
    <xf numFmtId="49" fontId="0" fillId="3" borderId="4" xfId="0" applyNumberFormat="1" applyFill="1" applyBorder="1"/>
    <xf numFmtId="0" fontId="0" fillId="3" borderId="14" xfId="0" applyFill="1" applyBorder="1" applyAlignment="1">
      <alignment horizontal="center"/>
    </xf>
    <xf numFmtId="0" fontId="18" fillId="3" borderId="9" xfId="0" applyFont="1" applyFill="1" applyBorder="1"/>
    <xf numFmtId="0" fontId="0" fillId="3" borderId="12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17" fontId="0" fillId="3" borderId="12" xfId="0" applyNumberFormat="1" applyFill="1" applyBorder="1" applyAlignment="1">
      <alignment horizontal="center"/>
    </xf>
    <xf numFmtId="0" fontId="21" fillId="3" borderId="5" xfId="0" applyFont="1" applyFill="1" applyBorder="1"/>
    <xf numFmtId="0" fontId="21" fillId="3" borderId="12" xfId="0" applyFont="1" applyFill="1" applyBorder="1"/>
    <xf numFmtId="0" fontId="19" fillId="3" borderId="12" xfId="0" applyFont="1" applyFill="1" applyBorder="1" applyAlignment="1">
      <alignment horizontal="center"/>
    </xf>
    <xf numFmtId="0" fontId="39" fillId="3" borderId="12" xfId="0" applyFont="1" applyFill="1" applyBorder="1" applyAlignment="1">
      <alignment horizontal="center" vertical="center"/>
    </xf>
    <xf numFmtId="17" fontId="19" fillId="3" borderId="12" xfId="0" applyNumberFormat="1" applyFont="1" applyFill="1" applyBorder="1" applyAlignment="1">
      <alignment horizontal="center"/>
    </xf>
    <xf numFmtId="0" fontId="23" fillId="3" borderId="12" xfId="0" applyFont="1" applyFill="1" applyBorder="1" applyAlignment="1">
      <alignment horizontal="center" vertical="center"/>
    </xf>
    <xf numFmtId="0" fontId="30" fillId="0" borderId="0" xfId="0" applyFont="1" applyAlignment="1">
      <alignment vertical="center" wrapText="1"/>
    </xf>
    <xf numFmtId="0" fontId="29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1" fillId="3" borderId="0" xfId="0" applyFont="1" applyFill="1" applyAlignment="1">
      <alignment vertical="center"/>
    </xf>
    <xf numFmtId="0" fontId="21" fillId="3" borderId="0" xfId="0" applyFont="1" applyFill="1" applyAlignment="1">
      <alignment horizontal="left" vertical="center"/>
    </xf>
    <xf numFmtId="2" fontId="4" fillId="0" borderId="1" xfId="0" applyNumberFormat="1" applyFont="1" applyBorder="1" applyAlignment="1" applyProtection="1">
      <alignment horizontal="right"/>
      <protection locked="0"/>
    </xf>
    <xf numFmtId="0" fontId="19" fillId="0" borderId="0" xfId="0" applyFont="1" applyAlignment="1">
      <alignment horizontal="left"/>
    </xf>
    <xf numFmtId="0" fontId="21" fillId="0" borderId="0" xfId="0" applyFont="1" applyAlignment="1">
      <alignment horizontal="center"/>
    </xf>
    <xf numFmtId="0" fontId="19" fillId="0" borderId="0" xfId="0" applyFont="1" applyAlignment="1">
      <alignment horizontal="center"/>
    </xf>
    <xf numFmtId="0" fontId="1" fillId="3" borderId="12" xfId="0" applyFont="1" applyFill="1" applyBorder="1" applyAlignment="1">
      <alignment horizontal="center" vertical="center"/>
    </xf>
    <xf numFmtId="49" fontId="19" fillId="0" borderId="0" xfId="0" applyNumberFormat="1" applyFont="1" applyAlignment="1">
      <alignment horizontal="center"/>
    </xf>
    <xf numFmtId="0" fontId="19" fillId="0" borderId="0" xfId="0" applyFont="1" applyAlignment="1">
      <alignment horizontal="right"/>
    </xf>
    <xf numFmtId="0" fontId="19" fillId="0" borderId="0" xfId="0" applyFont="1" applyAlignment="1">
      <alignment horizontal="left" vertical="center"/>
    </xf>
    <xf numFmtId="0" fontId="18" fillId="0" borderId="0" xfId="0" applyFont="1" applyAlignment="1">
      <alignment vertical="center"/>
    </xf>
    <xf numFmtId="0" fontId="21" fillId="0" borderId="0" xfId="0" applyFont="1" applyAlignment="1">
      <alignment horizontal="center" vertical="center"/>
    </xf>
    <xf numFmtId="0" fontId="18" fillId="0" borderId="0" xfId="0" applyFont="1"/>
    <xf numFmtId="0" fontId="19" fillId="0" borderId="0" xfId="0" applyFont="1" applyAlignment="1">
      <alignment vertical="top"/>
    </xf>
    <xf numFmtId="0" fontId="21" fillId="0" borderId="0" xfId="0" applyFont="1" applyAlignment="1">
      <alignment horizontal="center" vertical="top"/>
    </xf>
    <xf numFmtId="0" fontId="21" fillId="0" borderId="0" xfId="0" applyFont="1" applyAlignment="1">
      <alignment vertical="top"/>
    </xf>
    <xf numFmtId="0" fontId="24" fillId="0" borderId="0" xfId="0" applyFont="1" applyAlignment="1">
      <alignment vertical="top"/>
    </xf>
    <xf numFmtId="0" fontId="24" fillId="0" borderId="0" xfId="0" applyFont="1" applyAlignment="1">
      <alignment horizontal="center" vertical="top"/>
    </xf>
    <xf numFmtId="0" fontId="26" fillId="0" borderId="0" xfId="0" applyFont="1" applyAlignment="1">
      <alignment horizontal="center"/>
    </xf>
    <xf numFmtId="0" fontId="26" fillId="0" borderId="6" xfId="0" applyFont="1" applyBorder="1" applyAlignment="1">
      <alignment vertical="top"/>
    </xf>
    <xf numFmtId="0" fontId="26" fillId="0" borderId="0" xfId="0" applyFont="1" applyAlignment="1">
      <alignment horizontal="center" vertical="top"/>
    </xf>
    <xf numFmtId="0" fontId="24" fillId="0" borderId="0" xfId="0" applyFont="1" applyProtection="1">
      <protection locked="0"/>
    </xf>
    <xf numFmtId="0" fontId="21" fillId="0" borderId="10" xfId="0" applyFont="1" applyBorder="1" applyAlignment="1" applyProtection="1">
      <alignment horizontal="center"/>
      <protection locked="0"/>
    </xf>
    <xf numFmtId="0" fontId="21" fillId="0" borderId="10" xfId="0" applyFont="1" applyBorder="1" applyAlignment="1" applyProtection="1">
      <alignment horizontal="left"/>
      <protection locked="0"/>
    </xf>
    <xf numFmtId="0" fontId="21" fillId="0" borderId="0" xfId="0" applyFont="1" applyAlignment="1" applyProtection="1">
      <alignment wrapText="1"/>
      <protection locked="0"/>
    </xf>
    <xf numFmtId="0" fontId="21" fillId="0" borderId="0" xfId="0" applyFont="1" applyAlignment="1">
      <alignment horizontal="left"/>
    </xf>
    <xf numFmtId="0" fontId="19" fillId="0" borderId="30" xfId="0" applyFont="1" applyBorder="1" applyAlignment="1">
      <alignment horizontal="center"/>
    </xf>
    <xf numFmtId="0" fontId="19" fillId="0" borderId="25" xfId="0" applyFont="1" applyBorder="1" applyAlignment="1">
      <alignment horizontal="center"/>
    </xf>
    <xf numFmtId="0" fontId="19" fillId="0" borderId="30" xfId="0" applyFont="1" applyBorder="1"/>
    <xf numFmtId="0" fontId="19" fillId="0" borderId="28" xfId="0" applyFont="1" applyBorder="1" applyAlignment="1">
      <alignment horizontal="center"/>
    </xf>
    <xf numFmtId="0" fontId="19" fillId="0" borderId="28" xfId="0" applyFont="1" applyBorder="1"/>
    <xf numFmtId="0" fontId="21" fillId="0" borderId="0" xfId="0" applyFont="1" applyAlignment="1" applyProtection="1">
      <alignment horizontal="center"/>
      <protection locked="0"/>
    </xf>
    <xf numFmtId="0" fontId="19" fillId="0" borderId="10" xfId="0" applyFont="1" applyBorder="1" applyAlignment="1" applyProtection="1">
      <alignment horizontal="center"/>
      <protection locked="0"/>
    </xf>
    <xf numFmtId="0" fontId="50" fillId="0" borderId="0" xfId="0" applyFont="1"/>
    <xf numFmtId="0" fontId="51" fillId="0" borderId="0" xfId="0" applyFont="1" applyAlignment="1">
      <alignment horizontal="center"/>
    </xf>
    <xf numFmtId="0" fontId="24" fillId="0" borderId="6" xfId="0" applyFont="1" applyBorder="1" applyAlignment="1">
      <alignment horizontal="center" vertical="top"/>
    </xf>
    <xf numFmtId="0" fontId="24" fillId="0" borderId="6" xfId="0" applyFont="1" applyBorder="1" applyAlignment="1">
      <alignment vertical="top"/>
    </xf>
    <xf numFmtId="0" fontId="25" fillId="0" borderId="0" xfId="0" applyFont="1" applyProtection="1">
      <protection locked="0"/>
    </xf>
    <xf numFmtId="0" fontId="52" fillId="3" borderId="0" xfId="0" applyFont="1" applyFill="1"/>
    <xf numFmtId="0" fontId="2" fillId="0" borderId="0" xfId="0" applyFont="1" applyAlignment="1">
      <alignment horizontal="right"/>
    </xf>
    <xf numFmtId="49" fontId="21" fillId="0" borderId="0" xfId="0" applyNumberFormat="1" applyFont="1" applyAlignment="1">
      <alignment horizontal="left"/>
    </xf>
    <xf numFmtId="0" fontId="53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19" fillId="0" borderId="0" xfId="0" applyFont="1" applyProtection="1">
      <protection locked="0"/>
    </xf>
    <xf numFmtId="0" fontId="43" fillId="0" borderId="0" xfId="0" applyFont="1"/>
    <xf numFmtId="0" fontId="3" fillId="0" borderId="0" xfId="0" applyFont="1"/>
    <xf numFmtId="0" fontId="19" fillId="0" borderId="0" xfId="0" applyFont="1" applyAlignment="1">
      <alignment horizontal="center" vertical="top"/>
    </xf>
    <xf numFmtId="0" fontId="24" fillId="0" borderId="0" xfId="0" applyFont="1" applyAlignment="1">
      <alignment horizontal="center"/>
    </xf>
    <xf numFmtId="0" fontId="54" fillId="0" borderId="0" xfId="0" applyFont="1" applyAlignment="1">
      <alignment horizontal="center"/>
    </xf>
    <xf numFmtId="49" fontId="19" fillId="0" borderId="0" xfId="0" applyNumberFormat="1" applyFont="1" applyAlignment="1" applyProtection="1">
      <alignment horizontal="left"/>
      <protection locked="0"/>
    </xf>
    <xf numFmtId="49" fontId="19" fillId="0" borderId="0" xfId="0" applyNumberFormat="1" applyFont="1" applyProtection="1">
      <protection locked="0"/>
    </xf>
    <xf numFmtId="0" fontId="3" fillId="0" borderId="0" xfId="0" applyFont="1" applyAlignment="1">
      <alignment horizontal="center"/>
    </xf>
    <xf numFmtId="49" fontId="19" fillId="0" borderId="0" xfId="0" applyNumberFormat="1" applyFont="1" applyAlignment="1" applyProtection="1">
      <alignment horizontal="left" wrapText="1"/>
      <protection locked="0"/>
    </xf>
    <xf numFmtId="0" fontId="19" fillId="0" borderId="0" xfId="0" applyFont="1" applyAlignment="1" applyProtection="1">
      <alignment wrapText="1"/>
      <protection locked="0"/>
    </xf>
    <xf numFmtId="0" fontId="19" fillId="0" borderId="0" xfId="0" applyFont="1" applyAlignment="1" applyProtection="1">
      <alignment horizontal="left" wrapText="1"/>
      <protection locked="0"/>
    </xf>
    <xf numFmtId="0" fontId="24" fillId="0" borderId="6" xfId="0" applyFont="1" applyBorder="1" applyAlignment="1">
      <alignment horizontal="left" vertical="top"/>
    </xf>
    <xf numFmtId="0" fontId="21" fillId="0" borderId="0" xfId="0" applyFont="1" applyAlignment="1">
      <alignment horizontal="left" vertical="center" wrapText="1"/>
    </xf>
    <xf numFmtId="0" fontId="18" fillId="0" borderId="0" xfId="0" applyFont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49" fontId="19" fillId="0" borderId="0" xfId="0" applyNumberFormat="1" applyFont="1" applyAlignment="1">
      <alignment horizontal="left"/>
    </xf>
    <xf numFmtId="0" fontId="56" fillId="0" borderId="0" xfId="0" applyFont="1"/>
    <xf numFmtId="0" fontId="56" fillId="0" borderId="0" xfId="0" applyFont="1" applyAlignment="1">
      <alignment horizontal="right"/>
    </xf>
    <xf numFmtId="0" fontId="58" fillId="0" borderId="0" xfId="0" applyFont="1"/>
    <xf numFmtId="0" fontId="59" fillId="0" borderId="0" xfId="0" applyFont="1" applyAlignment="1">
      <alignment horizontal="center" vertical="center"/>
    </xf>
    <xf numFmtId="0" fontId="60" fillId="0" borderId="0" xfId="0" applyFont="1"/>
    <xf numFmtId="0" fontId="61" fillId="0" borderId="0" xfId="0" applyFont="1" applyAlignment="1">
      <alignment horizontal="right" vertical="center"/>
    </xf>
    <xf numFmtId="0" fontId="59" fillId="0" borderId="0" xfId="0" applyFont="1" applyAlignment="1">
      <alignment vertical="center"/>
    </xf>
    <xf numFmtId="0" fontId="57" fillId="0" borderId="0" xfId="0" applyFont="1" applyAlignment="1">
      <alignment vertical="center"/>
    </xf>
    <xf numFmtId="0" fontId="61" fillId="0" borderId="0" xfId="0" applyFont="1" applyAlignment="1">
      <alignment vertical="center"/>
    </xf>
    <xf numFmtId="0" fontId="56" fillId="0" borderId="0" xfId="0" applyFont="1" applyAlignment="1">
      <alignment vertical="center"/>
    </xf>
    <xf numFmtId="0" fontId="62" fillId="0" borderId="0" xfId="0" applyFont="1"/>
    <xf numFmtId="0" fontId="55" fillId="0" borderId="0" xfId="0" applyFont="1"/>
    <xf numFmtId="0" fontId="63" fillId="0" borderId="0" xfId="0" applyFont="1" applyProtection="1">
      <protection locked="0"/>
    </xf>
    <xf numFmtId="0" fontId="64" fillId="0" borderId="0" xfId="0" applyFont="1" applyProtection="1">
      <protection locked="0"/>
    </xf>
    <xf numFmtId="0" fontId="65" fillId="0" borderId="0" xfId="0" applyFont="1" applyProtection="1">
      <protection locked="0"/>
    </xf>
    <xf numFmtId="0" fontId="66" fillId="0" borderId="0" xfId="0" applyFont="1" applyProtection="1">
      <protection locked="0"/>
    </xf>
    <xf numFmtId="0" fontId="55" fillId="0" borderId="0" xfId="0" applyFont="1" applyProtection="1">
      <protection locked="0"/>
    </xf>
    <xf numFmtId="0" fontId="57" fillId="0" borderId="0" xfId="0" applyFont="1" applyAlignment="1">
      <alignment horizontal="center" vertical="center"/>
    </xf>
    <xf numFmtId="165" fontId="59" fillId="0" borderId="0" xfId="0" applyNumberFormat="1" applyFont="1" applyAlignment="1">
      <alignment horizontal="center"/>
    </xf>
    <xf numFmtId="49" fontId="3" fillId="0" borderId="0" xfId="0" applyNumberFormat="1" applyFont="1" applyAlignment="1">
      <alignment horizontal="left" wrapText="1"/>
    </xf>
    <xf numFmtId="0" fontId="3" fillId="0" borderId="0" xfId="0" applyFont="1" applyAlignment="1">
      <alignment horizontal="center" vertical="center"/>
    </xf>
    <xf numFmtId="0" fontId="26" fillId="0" borderId="39" xfId="0" applyFont="1" applyBorder="1" applyAlignment="1">
      <alignment horizontal="center" vertical="center" wrapText="1"/>
    </xf>
    <xf numFmtId="0" fontId="16" fillId="0" borderId="0" xfId="0" applyFont="1" applyAlignment="1">
      <alignment vertical="center"/>
    </xf>
    <xf numFmtId="0" fontId="18" fillId="0" borderId="8" xfId="0" applyFont="1" applyBorder="1" applyAlignment="1">
      <alignment horizontal="center"/>
    </xf>
    <xf numFmtId="0" fontId="2" fillId="0" borderId="0" xfId="0" applyFont="1" applyAlignment="1">
      <alignment vertical="center"/>
    </xf>
    <xf numFmtId="0" fontId="0" fillId="0" borderId="6" xfId="0" applyBorder="1" applyProtection="1">
      <protection locked="0"/>
    </xf>
    <xf numFmtId="0" fontId="0" fillId="0" borderId="36" xfId="0" applyBorder="1"/>
    <xf numFmtId="0" fontId="0" fillId="0" borderId="11" xfId="0" applyBorder="1" applyAlignment="1">
      <alignment vertical="top"/>
    </xf>
    <xf numFmtId="0" fontId="49" fillId="0" borderId="10" xfId="0" applyFont="1" applyBorder="1" applyAlignment="1" applyProtection="1">
      <alignment horizontal="center" wrapText="1"/>
      <protection locked="0"/>
    </xf>
    <xf numFmtId="0" fontId="19" fillId="0" borderId="10" xfId="0" applyFont="1" applyBorder="1" applyAlignment="1">
      <alignment horizontal="center"/>
    </xf>
    <xf numFmtId="0" fontId="13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 wrapText="1"/>
    </xf>
    <xf numFmtId="0" fontId="20" fillId="0" borderId="0" xfId="0" applyFont="1" applyAlignment="1">
      <alignment horizontal="center" wrapText="1"/>
    </xf>
    <xf numFmtId="0" fontId="15" fillId="0" borderId="0" xfId="0" applyFont="1" applyAlignment="1">
      <alignment horizontal="center" vertical="center"/>
    </xf>
    <xf numFmtId="0" fontId="1" fillId="3" borderId="0" xfId="0" applyFont="1" applyFill="1" applyAlignment="1">
      <alignment horizontal="left" vertical="center"/>
    </xf>
    <xf numFmtId="0" fontId="1" fillId="0" borderId="0" xfId="0" applyFont="1" applyAlignment="1">
      <alignment vertical="center"/>
    </xf>
    <xf numFmtId="0" fontId="21" fillId="0" borderId="0" xfId="0" applyFont="1" applyAlignment="1">
      <alignment horizontal="left" vertical="center"/>
    </xf>
    <xf numFmtId="0" fontId="69" fillId="0" borderId="10" xfId="0" applyFont="1" applyBorder="1" applyAlignment="1" applyProtection="1">
      <alignment horizontal="center"/>
      <protection locked="0"/>
    </xf>
    <xf numFmtId="0" fontId="69" fillId="0" borderId="10" xfId="0" applyFont="1" applyBorder="1" applyAlignment="1">
      <alignment horizontal="center"/>
    </xf>
    <xf numFmtId="0" fontId="0" fillId="0" borderId="2" xfId="0" applyBorder="1" applyAlignment="1">
      <alignment vertical="top"/>
    </xf>
    <xf numFmtId="0" fontId="19" fillId="0" borderId="0" xfId="0" applyFont="1" applyAlignment="1">
      <alignment horizontal="right" vertical="top"/>
    </xf>
    <xf numFmtId="0" fontId="1" fillId="0" borderId="0" xfId="0" applyFont="1" applyAlignment="1">
      <alignment vertical="center" wrapText="1"/>
    </xf>
    <xf numFmtId="0" fontId="1" fillId="6" borderId="10" xfId="0" applyFont="1" applyFill="1" applyBorder="1" applyAlignment="1" applyProtection="1">
      <alignment horizontal="center" vertical="center"/>
      <protection locked="0"/>
    </xf>
    <xf numFmtId="0" fontId="13" fillId="0" borderId="0" xfId="0" applyFont="1" applyAlignment="1">
      <alignment horizontal="right" vertical="center"/>
    </xf>
    <xf numFmtId="165" fontId="16" fillId="6" borderId="23" xfId="0" applyNumberFormat="1" applyFont="1" applyFill="1" applyBorder="1" applyAlignment="1" applyProtection="1">
      <alignment horizontal="center" vertical="center" wrapText="1"/>
      <protection locked="0"/>
    </xf>
    <xf numFmtId="0" fontId="1" fillId="3" borderId="0" xfId="0" applyFont="1" applyFill="1" applyAlignment="1" applyProtection="1">
      <alignment vertical="center"/>
      <protection locked="0"/>
    </xf>
    <xf numFmtId="49" fontId="13" fillId="6" borderId="0" xfId="0" applyNumberFormat="1" applyFont="1" applyFill="1" applyAlignment="1">
      <alignment vertical="center"/>
    </xf>
    <xf numFmtId="0" fontId="3" fillId="0" borderId="0" xfId="0" applyFont="1" applyAlignment="1">
      <alignment horizontal="center" vertical="top"/>
    </xf>
    <xf numFmtId="0" fontId="46" fillId="0" borderId="0" xfId="0" applyFont="1"/>
    <xf numFmtId="0" fontId="17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 wrapText="1"/>
    </xf>
    <xf numFmtId="49" fontId="3" fillId="0" borderId="0" xfId="0" applyNumberFormat="1" applyFont="1" applyAlignment="1">
      <alignment horizontal="left" vertical="top" wrapText="1"/>
    </xf>
    <xf numFmtId="0" fontId="56" fillId="0" borderId="0" xfId="0" applyFont="1" applyAlignment="1">
      <alignment horizontal="left" vertical="center"/>
    </xf>
    <xf numFmtId="0" fontId="19" fillId="6" borderId="10" xfId="0" applyFont="1" applyFill="1" applyBorder="1" applyAlignment="1" applyProtection="1">
      <alignment horizontal="center" vertical="center"/>
      <protection locked="0"/>
    </xf>
    <xf numFmtId="0" fontId="35" fillId="0" borderId="0" xfId="0" applyFont="1" applyAlignment="1">
      <alignment vertical="center"/>
    </xf>
    <xf numFmtId="0" fontId="17" fillId="0" borderId="0" xfId="0" applyFont="1" applyAlignment="1">
      <alignment vertical="center"/>
    </xf>
    <xf numFmtId="165" fontId="3" fillId="0" borderId="0" xfId="0" applyNumberFormat="1" applyFont="1" applyAlignment="1">
      <alignment horizontal="center"/>
    </xf>
    <xf numFmtId="49" fontId="19" fillId="0" borderId="0" xfId="0" applyNumberFormat="1" applyFont="1" applyAlignment="1">
      <alignment horizontal="left" wrapText="1"/>
    </xf>
    <xf numFmtId="0" fontId="3" fillId="0" borderId="0" xfId="0" applyFont="1" applyAlignment="1">
      <alignment horizontal="left" vertical="center"/>
    </xf>
    <xf numFmtId="49" fontId="19" fillId="0" borderId="0" xfId="0" applyNumberFormat="1" applyFont="1" applyAlignment="1">
      <alignment horizontal="left" vertical="top" wrapText="1"/>
    </xf>
    <xf numFmtId="0" fontId="19" fillId="0" borderId="0" xfId="0" applyFont="1" applyAlignment="1">
      <alignment horizontal="center" vertical="center"/>
    </xf>
    <xf numFmtId="1" fontId="19" fillId="0" borderId="10" xfId="0" applyNumberFormat="1" applyFont="1" applyBorder="1" applyAlignment="1" applyProtection="1">
      <alignment horizontal="center" vertical="center"/>
      <protection locked="0"/>
    </xf>
    <xf numFmtId="0" fontId="19" fillId="0" borderId="0" xfId="0" applyFont="1" applyAlignment="1" applyProtection="1">
      <alignment vertical="center"/>
      <protection locked="0"/>
    </xf>
    <xf numFmtId="0" fontId="19" fillId="0" borderId="10" xfId="0" applyFont="1" applyBorder="1" applyAlignment="1" applyProtection="1">
      <alignment horizontal="center" vertical="center"/>
      <protection locked="0"/>
    </xf>
    <xf numFmtId="0" fontId="19" fillId="0" borderId="0" xfId="0" applyFont="1" applyAlignment="1" applyProtection="1">
      <alignment horizontal="left" vertical="center"/>
      <protection locked="0"/>
    </xf>
    <xf numFmtId="0" fontId="19" fillId="0" borderId="0" xfId="0" applyFont="1" applyAlignment="1" applyProtection="1">
      <alignment horizontal="center" vertical="center"/>
      <protection locked="0"/>
    </xf>
    <xf numFmtId="2" fontId="19" fillId="0" borderId="10" xfId="0" applyNumberFormat="1" applyFont="1" applyBorder="1" applyAlignment="1" applyProtection="1">
      <alignment horizontal="center" vertical="center"/>
      <protection locked="0"/>
    </xf>
    <xf numFmtId="2" fontId="19" fillId="0" borderId="0" xfId="0" applyNumberFormat="1" applyFont="1" applyAlignment="1" applyProtection="1">
      <alignment vertical="center"/>
      <protection locked="0"/>
    </xf>
    <xf numFmtId="2" fontId="19" fillId="0" borderId="10" xfId="0" applyNumberFormat="1" applyFont="1" applyBorder="1" applyAlignment="1" applyProtection="1">
      <alignment vertical="center"/>
      <protection locked="0"/>
    </xf>
    <xf numFmtId="49" fontId="1" fillId="0" borderId="0" xfId="0" applyNumberFormat="1" applyFont="1" applyAlignment="1">
      <alignment horizontal="left"/>
    </xf>
    <xf numFmtId="49" fontId="19" fillId="0" borderId="0" xfId="0" applyNumberFormat="1" applyFont="1" applyAlignment="1" applyProtection="1">
      <alignment horizontal="center"/>
      <protection locked="0"/>
    </xf>
    <xf numFmtId="0" fontId="47" fillId="0" borderId="0" xfId="0" applyFont="1" applyAlignment="1">
      <alignment vertical="center"/>
    </xf>
    <xf numFmtId="0" fontId="46" fillId="0" borderId="0" xfId="0" applyFont="1" applyAlignment="1">
      <alignment vertical="center"/>
    </xf>
    <xf numFmtId="0" fontId="73" fillId="0" borderId="0" xfId="0" applyFont="1" applyAlignment="1">
      <alignment horizontal="left"/>
    </xf>
    <xf numFmtId="0" fontId="73" fillId="0" borderId="0" xfId="0" applyFont="1"/>
    <xf numFmtId="49" fontId="73" fillId="0" borderId="0" xfId="0" applyNumberFormat="1" applyFont="1" applyAlignment="1">
      <alignment horizontal="left"/>
    </xf>
    <xf numFmtId="0" fontId="73" fillId="0" borderId="0" xfId="0" applyFont="1" applyAlignment="1">
      <alignment horizontal="left" vertical="center" wrapText="1"/>
    </xf>
    <xf numFmtId="0" fontId="73" fillId="0" borderId="0" xfId="0" applyFont="1" applyAlignment="1">
      <alignment horizontal="left" vertical="center"/>
    </xf>
    <xf numFmtId="0" fontId="73" fillId="0" borderId="0" xfId="0" applyFont="1" applyAlignment="1">
      <alignment vertical="center"/>
    </xf>
    <xf numFmtId="167" fontId="19" fillId="0" borderId="0" xfId="0" applyNumberFormat="1" applyFont="1"/>
    <xf numFmtId="2" fontId="19" fillId="0" borderId="0" xfId="0" applyNumberFormat="1" applyFont="1"/>
    <xf numFmtId="0" fontId="19" fillId="7" borderId="47" xfId="0" applyFont="1" applyFill="1" applyBorder="1" applyAlignment="1">
      <alignment horizontal="center"/>
    </xf>
    <xf numFmtId="14" fontId="21" fillId="0" borderId="0" xfId="0" applyNumberFormat="1" applyFont="1" applyAlignment="1">
      <alignment horizontal="center"/>
    </xf>
    <xf numFmtId="0" fontId="17" fillId="0" borderId="0" xfId="0" applyFont="1" applyAlignment="1">
      <alignment horizontal="center" vertical="center"/>
    </xf>
    <xf numFmtId="2" fontId="17" fillId="6" borderId="12" xfId="0" applyNumberFormat="1" applyFont="1" applyFill="1" applyBorder="1" applyAlignment="1" applyProtection="1">
      <alignment horizontal="center" vertical="center" wrapText="1"/>
      <protection locked="0"/>
    </xf>
    <xf numFmtId="0" fontId="35" fillId="0" borderId="0" xfId="0" applyFont="1" applyAlignment="1" applyProtection="1">
      <alignment horizontal="center" vertical="center" wrapText="1"/>
      <protection locked="0"/>
    </xf>
    <xf numFmtId="0" fontId="17" fillId="0" borderId="0" xfId="0" applyFont="1" applyAlignment="1" applyProtection="1">
      <alignment horizontal="center" vertical="center" wrapText="1"/>
      <protection locked="0"/>
    </xf>
    <xf numFmtId="2" fontId="17" fillId="0" borderId="0" xfId="0" applyNumberFormat="1" applyFont="1" applyAlignment="1" applyProtection="1">
      <alignment horizontal="center" vertical="center" wrapText="1"/>
      <protection locked="0"/>
    </xf>
    <xf numFmtId="2" fontId="17" fillId="6" borderId="16" xfId="0" applyNumberFormat="1" applyFont="1" applyFill="1" applyBorder="1" applyAlignment="1" applyProtection="1">
      <alignment horizontal="center" vertical="center" wrapText="1"/>
      <protection locked="0"/>
    </xf>
    <xf numFmtId="0" fontId="19" fillId="0" borderId="4" xfId="0" applyFont="1" applyBorder="1"/>
    <xf numFmtId="0" fontId="45" fillId="0" borderId="4" xfId="0" applyFont="1" applyBorder="1" applyProtection="1">
      <protection locked="0"/>
    </xf>
    <xf numFmtId="0" fontId="19" fillId="3" borderId="16" xfId="0" applyFont="1" applyFill="1" applyBorder="1" applyAlignment="1" applyProtection="1">
      <alignment horizontal="center" vertical="center" wrapText="1"/>
      <protection locked="0"/>
    </xf>
    <xf numFmtId="165" fontId="19" fillId="6" borderId="16" xfId="0" applyNumberFormat="1" applyFont="1" applyFill="1" applyBorder="1" applyAlignment="1" applyProtection="1">
      <alignment horizontal="center" vertical="center" wrapText="1"/>
      <protection locked="0"/>
    </xf>
    <xf numFmtId="0" fontId="19" fillId="3" borderId="55" xfId="0" applyFont="1" applyFill="1" applyBorder="1" applyAlignment="1" applyProtection="1">
      <alignment horizontal="center" vertical="center"/>
      <protection locked="0"/>
    </xf>
    <xf numFmtId="0" fontId="79" fillId="0" borderId="55" xfId="0" applyFont="1" applyBorder="1" applyAlignment="1" applyProtection="1">
      <alignment horizontal="center" vertical="center" wrapText="1"/>
      <protection locked="0"/>
    </xf>
    <xf numFmtId="0" fontId="79" fillId="0" borderId="17" xfId="0" applyFont="1" applyBorder="1" applyAlignment="1" applyProtection="1">
      <alignment horizontal="center" vertical="center" wrapText="1"/>
      <protection locked="0"/>
    </xf>
    <xf numFmtId="0" fontId="21" fillId="6" borderId="0" xfId="0" applyFont="1" applyFill="1" applyAlignment="1">
      <alignment vertical="center"/>
    </xf>
    <xf numFmtId="0" fontId="2" fillId="0" borderId="1" xfId="0" applyFont="1" applyBorder="1" applyProtection="1">
      <protection locked="0"/>
    </xf>
    <xf numFmtId="0" fontId="2" fillId="0" borderId="2" xfId="0" applyFont="1" applyBorder="1" applyProtection="1">
      <protection locked="0"/>
    </xf>
    <xf numFmtId="0" fontId="2" fillId="0" borderId="3" xfId="0" applyFont="1" applyBorder="1" applyProtection="1">
      <protection locked="0"/>
    </xf>
    <xf numFmtId="0" fontId="0" fillId="0" borderId="1" xfId="0" applyBorder="1" applyProtection="1">
      <protection locked="0"/>
    </xf>
    <xf numFmtId="0" fontId="4" fillId="0" borderId="14" xfId="0" applyFont="1" applyBorder="1" applyProtection="1">
      <protection locked="0"/>
    </xf>
    <xf numFmtId="2" fontId="4" fillId="0" borderId="14" xfId="0" applyNumberFormat="1" applyFont="1" applyBorder="1" applyAlignment="1" applyProtection="1">
      <alignment horizontal="center"/>
      <protection locked="0"/>
    </xf>
    <xf numFmtId="0" fontId="4" fillId="0" borderId="3" xfId="0" applyFont="1" applyBorder="1" applyAlignment="1">
      <alignment horizontal="center" vertical="center"/>
    </xf>
    <xf numFmtId="0" fontId="4" fillId="0" borderId="3" xfId="0" quotePrefix="1" applyFont="1" applyBorder="1" applyAlignment="1" applyProtection="1">
      <alignment horizontal="center" vertical="center"/>
      <protection locked="0"/>
    </xf>
    <xf numFmtId="9" fontId="4" fillId="0" borderId="3" xfId="0" applyNumberFormat="1" applyFont="1" applyBorder="1" applyAlignment="1" applyProtection="1">
      <alignment horizontal="center" vertical="center"/>
      <protection locked="0"/>
    </xf>
    <xf numFmtId="0" fontId="4" fillId="0" borderId="3" xfId="0" applyFont="1" applyBorder="1" applyAlignment="1" applyProtection="1">
      <alignment horizontal="center" vertical="center"/>
      <protection locked="0"/>
    </xf>
    <xf numFmtId="0" fontId="4" fillId="0" borderId="14" xfId="0" quotePrefix="1" applyFont="1" applyBorder="1" applyAlignment="1" applyProtection="1">
      <alignment horizontal="center" vertical="center"/>
      <protection locked="0"/>
    </xf>
    <xf numFmtId="0" fontId="4" fillId="0" borderId="2" xfId="0" applyFont="1" applyBorder="1" applyAlignment="1" applyProtection="1">
      <alignment horizontal="center" vertical="center"/>
      <protection locked="0"/>
    </xf>
    <xf numFmtId="0" fontId="4" fillId="0" borderId="12" xfId="0" applyFont="1" applyBorder="1" applyAlignment="1" applyProtection="1">
      <alignment horizontal="center" vertical="center"/>
      <protection locked="0"/>
    </xf>
    <xf numFmtId="0" fontId="0" fillId="3" borderId="4" xfId="0" applyFill="1" applyBorder="1" applyAlignment="1">
      <alignment horizontal="left"/>
    </xf>
    <xf numFmtId="0" fontId="0" fillId="6" borderId="28" xfId="0" applyFill="1" applyBorder="1" applyAlignment="1">
      <alignment vertical="center"/>
    </xf>
    <xf numFmtId="0" fontId="0" fillId="6" borderId="0" xfId="0" applyFill="1" applyAlignment="1">
      <alignment vertical="center"/>
    </xf>
    <xf numFmtId="0" fontId="0" fillId="6" borderId="29" xfId="0" applyFill="1" applyBorder="1" applyAlignment="1">
      <alignment vertical="center"/>
    </xf>
    <xf numFmtId="0" fontId="49" fillId="3" borderId="55" xfId="0" applyFont="1" applyFill="1" applyBorder="1" applyAlignment="1" applyProtection="1">
      <alignment horizontal="center" vertical="center"/>
      <protection locked="0"/>
    </xf>
    <xf numFmtId="0" fontId="19" fillId="3" borderId="5" xfId="0" applyFont="1" applyFill="1" applyBorder="1"/>
    <xf numFmtId="0" fontId="21" fillId="3" borderId="3" xfId="0" applyFont="1" applyFill="1" applyBorder="1"/>
    <xf numFmtId="0" fontId="80" fillId="0" borderId="17" xfId="0" applyFont="1" applyBorder="1" applyAlignment="1" applyProtection="1">
      <alignment horizontal="center" vertical="center" wrapText="1"/>
      <protection locked="0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1" xfId="0" applyFont="1" applyBorder="1" applyAlignment="1">
      <alignment horizontal="left"/>
    </xf>
    <xf numFmtId="0" fontId="2" fillId="0" borderId="2" xfId="0" applyFont="1" applyBorder="1" applyAlignment="1">
      <alignment horizontal="left"/>
    </xf>
    <xf numFmtId="0" fontId="2" fillId="0" borderId="3" xfId="0" applyFont="1" applyBorder="1" applyAlignment="1">
      <alignment horizontal="left"/>
    </xf>
    <xf numFmtId="0" fontId="0" fillId="0" borderId="4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1" xfId="0" applyBorder="1" applyAlignment="1">
      <alignment horizontal="center"/>
    </xf>
    <xf numFmtId="0" fontId="19" fillId="6" borderId="12" xfId="0" applyFont="1" applyFill="1" applyBorder="1" applyAlignment="1">
      <alignment horizontal="center"/>
    </xf>
    <xf numFmtId="0" fontId="0" fillId="0" borderId="8" xfId="0" applyBorder="1" applyAlignment="1">
      <alignment horizontal="center" vertical="top"/>
    </xf>
    <xf numFmtId="0" fontId="19" fillId="0" borderId="4" xfId="0" applyFont="1" applyBorder="1" applyAlignment="1">
      <alignment horizontal="left"/>
    </xf>
    <xf numFmtId="0" fontId="0" fillId="0" borderId="10" xfId="0" applyBorder="1" applyAlignment="1">
      <alignment horizontal="center" vertical="top"/>
    </xf>
    <xf numFmtId="0" fontId="0" fillId="0" borderId="5" xfId="0" applyBorder="1" applyAlignment="1">
      <alignment horizontal="center" vertical="top" wrapText="1"/>
    </xf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0" fontId="2" fillId="2" borderId="10" xfId="0" applyFont="1" applyFill="1" applyBorder="1"/>
    <xf numFmtId="0" fontId="45" fillId="0" borderId="0" xfId="0" applyFont="1" applyProtection="1">
      <protection locked="0"/>
    </xf>
    <xf numFmtId="0" fontId="2" fillId="2" borderId="0" xfId="0" applyFont="1" applyFill="1"/>
    <xf numFmtId="0" fontId="2" fillId="2" borderId="0" xfId="0" applyFont="1" applyFill="1" applyAlignment="1">
      <alignment vertical="center"/>
    </xf>
    <xf numFmtId="0" fontId="2" fillId="2" borderId="0" xfId="0" applyFont="1" applyFill="1" applyAlignment="1" applyProtection="1">
      <alignment vertical="center"/>
      <protection locked="0"/>
    </xf>
    <xf numFmtId="0" fontId="0" fillId="0" borderId="5" xfId="0" applyBorder="1" applyProtection="1">
      <protection locked="0"/>
    </xf>
    <xf numFmtId="0" fontId="0" fillId="2" borderId="7" xfId="0" applyFill="1" applyBorder="1"/>
    <xf numFmtId="0" fontId="0" fillId="2" borderId="8" xfId="0" applyFill="1" applyBorder="1"/>
    <xf numFmtId="0" fontId="0" fillId="2" borderId="11" xfId="0" applyFill="1" applyBorder="1"/>
    <xf numFmtId="0" fontId="16" fillId="0" borderId="6" xfId="0" applyFont="1" applyBorder="1"/>
    <xf numFmtId="0" fontId="2" fillId="2" borderId="3" xfId="0" applyFont="1" applyFill="1" applyBorder="1"/>
    <xf numFmtId="0" fontId="21" fillId="8" borderId="25" xfId="0" applyFont="1" applyFill="1" applyBorder="1"/>
    <xf numFmtId="0" fontId="12" fillId="0" borderId="0" xfId="0" applyFont="1"/>
    <xf numFmtId="0" fontId="0" fillId="0" borderId="35" xfId="0" applyBorder="1" applyAlignment="1">
      <alignment horizontal="center" vertical="center"/>
    </xf>
    <xf numFmtId="0" fontId="0" fillId="0" borderId="34" xfId="0" applyBorder="1" applyAlignment="1">
      <alignment vertical="center"/>
    </xf>
    <xf numFmtId="0" fontId="12" fillId="0" borderId="6" xfId="0" applyFont="1" applyBorder="1" applyAlignment="1">
      <alignment vertical="center"/>
    </xf>
    <xf numFmtId="0" fontId="2" fillId="0" borderId="0" xfId="0" applyFont="1" applyAlignment="1">
      <alignment horizontal="left"/>
    </xf>
    <xf numFmtId="2" fontId="0" fillId="0" borderId="0" xfId="0" applyNumberFormat="1" applyAlignment="1">
      <alignment horizontal="left" vertical="center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 vertical="center" wrapText="1"/>
    </xf>
    <xf numFmtId="2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47" xfId="0" applyBorder="1" applyAlignment="1">
      <alignment horizontal="left"/>
    </xf>
    <xf numFmtId="0" fontId="1" fillId="0" borderId="0" xfId="0" applyFont="1" applyAlignment="1">
      <alignment horizontal="left"/>
    </xf>
    <xf numFmtId="0" fontId="2" fillId="0" borderId="12" xfId="0" applyFont="1" applyBorder="1" applyAlignment="1">
      <alignment wrapText="1"/>
    </xf>
    <xf numFmtId="0" fontId="2" fillId="0" borderId="0" xfId="0" applyFont="1" applyAlignment="1">
      <alignment horizontal="center" wrapText="1"/>
    </xf>
    <xf numFmtId="0" fontId="0" fillId="0" borderId="0" xfId="0" applyAlignment="1">
      <alignment horizontal="left" wrapText="1"/>
    </xf>
    <xf numFmtId="49" fontId="0" fillId="0" borderId="0" xfId="0" applyNumberFormat="1" applyAlignment="1">
      <alignment horizontal="left" wrapText="1"/>
    </xf>
    <xf numFmtId="0" fontId="2" fillId="0" borderId="0" xfId="0" applyFont="1" applyAlignment="1">
      <alignment wrapText="1"/>
    </xf>
    <xf numFmtId="0" fontId="0" fillId="0" borderId="0" xfId="0" applyAlignment="1">
      <alignment wrapText="1"/>
    </xf>
    <xf numFmtId="0" fontId="4" fillId="0" borderId="6" xfId="0" applyFont="1" applyBorder="1"/>
    <xf numFmtId="0" fontId="4" fillId="0" borderId="0" xfId="0" applyFont="1" applyAlignment="1">
      <alignment horizontal="left"/>
    </xf>
    <xf numFmtId="0" fontId="4" fillId="0" borderId="5" xfId="0" applyFont="1" applyBorder="1"/>
    <xf numFmtId="0" fontId="4" fillId="0" borderId="7" xfId="0" applyFont="1" applyBorder="1"/>
    <xf numFmtId="0" fontId="4" fillId="0" borderId="4" xfId="0" applyFont="1" applyBorder="1"/>
    <xf numFmtId="0" fontId="4" fillId="0" borderId="8" xfId="0" applyFont="1" applyBorder="1"/>
    <xf numFmtId="0" fontId="4" fillId="0" borderId="10" xfId="0" applyFont="1" applyBorder="1"/>
    <xf numFmtId="0" fontId="4" fillId="0" borderId="9" xfId="0" applyFont="1" applyBorder="1"/>
    <xf numFmtId="0" fontId="4" fillId="0" borderId="11" xfId="0" applyFont="1" applyBorder="1"/>
    <xf numFmtId="0" fontId="82" fillId="0" borderId="0" xfId="0" applyFont="1"/>
    <xf numFmtId="0" fontId="4" fillId="0" borderId="4" xfId="0" applyFont="1" applyBorder="1" applyAlignment="1">
      <alignment horizontal="right"/>
    </xf>
    <xf numFmtId="0" fontId="4" fillId="0" borderId="0" xfId="0" applyFont="1" applyAlignment="1">
      <alignment horizontal="right"/>
    </xf>
    <xf numFmtId="0" fontId="4" fillId="0" borderId="3" xfId="0" applyFont="1" applyBorder="1" applyAlignment="1">
      <alignment horizontal="center"/>
    </xf>
    <xf numFmtId="0" fontId="4" fillId="0" borderId="2" xfId="0" applyFont="1" applyBorder="1"/>
    <xf numFmtId="0" fontId="4" fillId="0" borderId="0" xfId="0" applyFont="1" applyAlignment="1">
      <alignment horizontal="left" indent="2"/>
    </xf>
    <xf numFmtId="0" fontId="4" fillId="0" borderId="1" xfId="0" applyFont="1" applyBorder="1"/>
    <xf numFmtId="0" fontId="4" fillId="0" borderId="3" xfId="0" applyFont="1" applyBorder="1"/>
    <xf numFmtId="0" fontId="4" fillId="0" borderId="0" xfId="0" quotePrefix="1" applyFont="1" applyAlignment="1">
      <alignment horizontal="left"/>
    </xf>
    <xf numFmtId="0" fontId="4" fillId="0" borderId="12" xfId="0" applyFont="1" applyBorder="1"/>
    <xf numFmtId="0" fontId="21" fillId="0" borderId="12" xfId="0" applyFont="1" applyBorder="1" applyAlignment="1">
      <alignment vertical="center"/>
    </xf>
    <xf numFmtId="0" fontId="21" fillId="0" borderId="12" xfId="0" applyFont="1" applyBorder="1" applyAlignment="1">
      <alignment vertical="center" wrapText="1"/>
    </xf>
    <xf numFmtId="2" fontId="21" fillId="0" borderId="12" xfId="0" applyNumberFormat="1" applyFont="1" applyBorder="1" applyAlignment="1">
      <alignment vertical="center"/>
    </xf>
    <xf numFmtId="0" fontId="46" fillId="6" borderId="12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3" xfId="0" applyFont="1" applyBorder="1" applyAlignment="1">
      <alignment vertical="center"/>
    </xf>
    <xf numFmtId="0" fontId="4" fillId="0" borderId="5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35" xfId="0" applyFont="1" applyBorder="1" applyAlignment="1">
      <alignment horizontal="center" vertical="center"/>
    </xf>
    <xf numFmtId="0" fontId="4" fillId="0" borderId="34" xfId="0" applyFont="1" applyBorder="1" applyAlignment="1">
      <alignment vertical="center"/>
    </xf>
    <xf numFmtId="0" fontId="4" fillId="6" borderId="3" xfId="0" applyFont="1" applyFill="1" applyBorder="1" applyProtection="1">
      <protection locked="0"/>
    </xf>
    <xf numFmtId="169" fontId="18" fillId="0" borderId="0" xfId="0" applyNumberFormat="1" applyFont="1" applyProtection="1">
      <protection locked="0"/>
    </xf>
    <xf numFmtId="2" fontId="21" fillId="3" borderId="1" xfId="0" applyNumberFormat="1" applyFont="1" applyFill="1" applyBorder="1" applyAlignment="1" applyProtection="1">
      <alignment horizontal="right"/>
      <protection locked="0"/>
    </xf>
    <xf numFmtId="0" fontId="21" fillId="6" borderId="3" xfId="0" applyFont="1" applyFill="1" applyBorder="1" applyAlignment="1" applyProtection="1">
      <alignment horizontal="left"/>
      <protection locked="0"/>
    </xf>
    <xf numFmtId="2" fontId="21" fillId="0" borderId="1" xfId="0" applyNumberFormat="1" applyFont="1" applyBorder="1" applyAlignment="1" applyProtection="1">
      <alignment horizontal="right"/>
      <protection locked="0"/>
    </xf>
    <xf numFmtId="2" fontId="21" fillId="0" borderId="1" xfId="0" applyNumberFormat="1" applyFont="1" applyBorder="1" applyProtection="1">
      <protection locked="0"/>
    </xf>
    <xf numFmtId="0" fontId="21" fillId="0" borderId="1" xfId="0" applyFont="1" applyBorder="1" applyProtection="1">
      <protection locked="0"/>
    </xf>
    <xf numFmtId="2" fontId="21" fillId="0" borderId="35" xfId="0" applyNumberFormat="1" applyFont="1" applyBorder="1"/>
    <xf numFmtId="2" fontId="21" fillId="3" borderId="5" xfId="0" applyNumberFormat="1" applyFont="1" applyFill="1" applyBorder="1" applyAlignment="1" applyProtection="1">
      <alignment horizontal="right"/>
      <protection locked="0"/>
    </xf>
    <xf numFmtId="0" fontId="21" fillId="6" borderId="7" xfId="0" applyFont="1" applyFill="1" applyBorder="1" applyAlignment="1" applyProtection="1">
      <alignment horizontal="left"/>
      <protection locked="0"/>
    </xf>
    <xf numFmtId="2" fontId="21" fillId="0" borderId="5" xfId="0" applyNumberFormat="1" applyFont="1" applyBorder="1" applyAlignment="1" applyProtection="1">
      <alignment horizontal="right"/>
      <protection locked="0"/>
    </xf>
    <xf numFmtId="2" fontId="21" fillId="0" borderId="37" xfId="0" applyNumberFormat="1" applyFont="1" applyBorder="1" applyProtection="1">
      <protection locked="0"/>
    </xf>
    <xf numFmtId="0" fontId="21" fillId="6" borderId="66" xfId="0" applyFont="1" applyFill="1" applyBorder="1" applyProtection="1">
      <protection locked="0"/>
    </xf>
    <xf numFmtId="0" fontId="21" fillId="6" borderId="33" xfId="0" applyFont="1" applyFill="1" applyBorder="1" applyProtection="1">
      <protection locked="0"/>
    </xf>
    <xf numFmtId="2" fontId="21" fillId="6" borderId="64" xfId="0" applyNumberFormat="1" applyFont="1" applyFill="1" applyBorder="1"/>
    <xf numFmtId="2" fontId="4" fillId="0" borderId="0" xfId="0" applyNumberFormat="1" applyFont="1" applyAlignment="1">
      <alignment horizontal="left" vertical="center"/>
    </xf>
    <xf numFmtId="0" fontId="12" fillId="0" borderId="6" xfId="0" applyFont="1" applyBorder="1"/>
    <xf numFmtId="0" fontId="12" fillId="0" borderId="0" xfId="0" applyFont="1" applyAlignment="1">
      <alignment vertical="center"/>
    </xf>
    <xf numFmtId="0" fontId="4" fillId="0" borderId="0" xfId="0" quotePrefix="1" applyFont="1" applyAlignment="1">
      <alignment vertical="center" wrapText="1"/>
    </xf>
    <xf numFmtId="0" fontId="4" fillId="0" borderId="0" xfId="0" quotePrefix="1" applyFont="1" applyAlignment="1">
      <alignment vertical="center"/>
    </xf>
    <xf numFmtId="0" fontId="21" fillId="0" borderId="0" xfId="0" applyFont="1" applyAlignment="1" applyProtection="1">
      <alignment vertical="center" wrapText="1"/>
      <protection locked="0"/>
    </xf>
    <xf numFmtId="2" fontId="4" fillId="0" borderId="0" xfId="0" applyNumberFormat="1" applyFont="1" applyAlignment="1">
      <alignment horizontal="center"/>
    </xf>
    <xf numFmtId="0" fontId="4" fillId="0" borderId="0" xfId="0" applyFont="1" applyAlignment="1">
      <alignment horizontal="center" vertical="center" wrapText="1"/>
    </xf>
    <xf numFmtId="2" fontId="4" fillId="0" borderId="0" xfId="0" applyNumberFormat="1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vertical="center"/>
    </xf>
    <xf numFmtId="0" fontId="4" fillId="0" borderId="6" xfId="0" applyFont="1" applyBorder="1" applyAlignment="1">
      <alignment horizontal="center"/>
    </xf>
    <xf numFmtId="0" fontId="4" fillId="0" borderId="0" xfId="0" applyFont="1" applyAlignment="1">
      <alignment horizontal="right" vertical="center"/>
    </xf>
    <xf numFmtId="14" fontId="4" fillId="0" borderId="6" xfId="0" applyNumberFormat="1" applyFont="1" applyBorder="1" applyAlignment="1" applyProtection="1">
      <alignment horizontal="center"/>
      <protection locked="0"/>
    </xf>
    <xf numFmtId="2" fontId="47" fillId="3" borderId="23" xfId="0" applyNumberFormat="1" applyFont="1" applyFill="1" applyBorder="1" applyAlignment="1">
      <alignment horizontal="center" vertical="center"/>
    </xf>
    <xf numFmtId="0" fontId="47" fillId="0" borderId="29" xfId="0" applyFont="1" applyBorder="1" applyAlignment="1">
      <alignment horizontal="center" vertical="center"/>
    </xf>
    <xf numFmtId="0" fontId="0" fillId="0" borderId="27" xfId="0" applyBorder="1"/>
    <xf numFmtId="0" fontId="0" fillId="6" borderId="30" xfId="0" applyFill="1" applyBorder="1" applyAlignment="1">
      <alignment vertical="center"/>
    </xf>
    <xf numFmtId="0" fontId="0" fillId="0" borderId="3" xfId="0" applyBorder="1"/>
    <xf numFmtId="2" fontId="46" fillId="6" borderId="1" xfId="0" applyNumberFormat="1" applyFont="1" applyFill="1" applyBorder="1" applyAlignment="1">
      <alignment horizontal="center" vertical="center"/>
    </xf>
    <xf numFmtId="2" fontId="46" fillId="6" borderId="2" xfId="0" applyNumberFormat="1" applyFont="1" applyFill="1" applyBorder="1" applyAlignment="1">
      <alignment horizontal="center" vertical="center"/>
    </xf>
    <xf numFmtId="2" fontId="46" fillId="6" borderId="3" xfId="0" applyNumberFormat="1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1" xfId="0" applyFont="1" applyBorder="1"/>
    <xf numFmtId="0" fontId="4" fillId="0" borderId="3" xfId="0" applyFont="1" applyBorder="1"/>
    <xf numFmtId="0" fontId="4" fillId="0" borderId="12" xfId="0" applyFont="1" applyBorder="1" applyAlignment="1">
      <alignment horizontal="center"/>
    </xf>
    <xf numFmtId="0" fontId="21" fillId="0" borderId="12" xfId="0" applyFont="1" applyBorder="1" applyAlignment="1">
      <alignment horizontal="center" vertical="center" wrapText="1"/>
    </xf>
    <xf numFmtId="2" fontId="46" fillId="0" borderId="12" xfId="0" applyNumberFormat="1" applyFont="1" applyBorder="1" applyAlignment="1">
      <alignment horizontal="center" vertical="center"/>
    </xf>
    <xf numFmtId="0" fontId="4" fillId="0" borderId="12" xfId="0" applyFont="1" applyBorder="1"/>
    <xf numFmtId="0" fontId="0" fillId="0" borderId="12" xfId="0" applyBorder="1" applyAlignment="1">
      <alignment horizontal="center"/>
    </xf>
    <xf numFmtId="0" fontId="22" fillId="3" borderId="26" xfId="0" applyFont="1" applyFill="1" applyBorder="1" applyAlignment="1">
      <alignment horizontal="center" vertical="center"/>
    </xf>
    <xf numFmtId="0" fontId="22" fillId="3" borderId="27" xfId="0" applyFont="1" applyFill="1" applyBorder="1" applyAlignment="1">
      <alignment horizontal="center" vertical="center"/>
    </xf>
    <xf numFmtId="0" fontId="22" fillId="3" borderId="15" xfId="0" applyFont="1" applyFill="1" applyBorder="1" applyAlignment="1">
      <alignment horizontal="center" vertical="center"/>
    </xf>
    <xf numFmtId="0" fontId="22" fillId="3" borderId="63" xfId="0" applyFont="1" applyFill="1" applyBorder="1" applyAlignment="1">
      <alignment horizontal="center" vertical="center"/>
    </xf>
    <xf numFmtId="0" fontId="22" fillId="3" borderId="10" xfId="0" applyFont="1" applyFill="1" applyBorder="1" applyAlignment="1">
      <alignment horizontal="center" vertical="center"/>
    </xf>
    <xf numFmtId="0" fontId="22" fillId="3" borderId="49" xfId="0" applyFont="1" applyFill="1" applyBorder="1" applyAlignment="1">
      <alignment horizontal="center" vertical="center"/>
    </xf>
    <xf numFmtId="2" fontId="2" fillId="3" borderId="60" xfId="0" applyNumberFormat="1" applyFont="1" applyFill="1" applyBorder="1" applyAlignment="1">
      <alignment horizontal="center" vertical="center"/>
    </xf>
    <xf numFmtId="2" fontId="2" fillId="3" borderId="61" xfId="0" applyNumberFormat="1" applyFont="1" applyFill="1" applyBorder="1" applyAlignment="1">
      <alignment horizontal="center" vertical="center"/>
    </xf>
    <xf numFmtId="0" fontId="0" fillId="6" borderId="26" xfId="0" applyFill="1" applyBorder="1" applyAlignment="1">
      <alignment horizontal="center" vertical="center"/>
    </xf>
    <xf numFmtId="0" fontId="0" fillId="6" borderId="27" xfId="0" applyFill="1" applyBorder="1" applyAlignment="1">
      <alignment horizontal="center" vertical="center"/>
    </xf>
    <xf numFmtId="0" fontId="0" fillId="6" borderId="15" xfId="0" applyFill="1" applyBorder="1" applyAlignment="1">
      <alignment horizontal="center" vertical="center"/>
    </xf>
    <xf numFmtId="0" fontId="0" fillId="6" borderId="30" xfId="0" applyFill="1" applyBorder="1" applyAlignment="1">
      <alignment horizontal="center" vertical="center"/>
    </xf>
    <xf numFmtId="0" fontId="0" fillId="6" borderId="25" xfId="0" applyFill="1" applyBorder="1" applyAlignment="1">
      <alignment horizontal="center" vertical="center"/>
    </xf>
    <xf numFmtId="0" fontId="0" fillId="6" borderId="24" xfId="0" applyFill="1" applyBorder="1" applyAlignment="1">
      <alignment horizontal="center" vertical="center"/>
    </xf>
    <xf numFmtId="0" fontId="2" fillId="4" borderId="1" xfId="0" applyFont="1" applyFill="1" applyBorder="1" applyAlignment="1">
      <alignment horizontal="left"/>
    </xf>
    <xf numFmtId="0" fontId="2" fillId="4" borderId="2" xfId="0" applyFont="1" applyFill="1" applyBorder="1" applyAlignment="1">
      <alignment horizontal="left"/>
    </xf>
    <xf numFmtId="0" fontId="2" fillId="4" borderId="3" xfId="0" applyFont="1" applyFill="1" applyBorder="1" applyAlignment="1">
      <alignment horizontal="left"/>
    </xf>
    <xf numFmtId="0" fontId="21" fillId="0" borderId="1" xfId="0" applyFont="1" applyBorder="1" applyAlignment="1">
      <alignment horizontal="center"/>
    </xf>
    <xf numFmtId="0" fontId="21" fillId="0" borderId="2" xfId="0" applyFont="1" applyBorder="1" applyAlignment="1">
      <alignment horizontal="center"/>
    </xf>
    <xf numFmtId="0" fontId="21" fillId="0" borderId="3" xfId="0" applyFont="1" applyBorder="1" applyAlignment="1">
      <alignment horizontal="center"/>
    </xf>
    <xf numFmtId="0" fontId="4" fillId="0" borderId="6" xfId="0" applyFont="1" applyBorder="1" applyAlignment="1">
      <alignment horizontal="center"/>
    </xf>
    <xf numFmtId="49" fontId="21" fillId="0" borderId="1" xfId="0" applyNumberFormat="1" applyFont="1" applyBorder="1" applyAlignment="1">
      <alignment horizontal="center"/>
    </xf>
    <xf numFmtId="0" fontId="4" fillId="0" borderId="0" xfId="0" applyFont="1" applyAlignment="1">
      <alignment horizontal="right"/>
    </xf>
    <xf numFmtId="0" fontId="4" fillId="0" borderId="2" xfId="0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0" fontId="4" fillId="0" borderId="0" xfId="0" applyFont="1" applyAlignment="1">
      <alignment horizontal="left"/>
    </xf>
    <xf numFmtId="0" fontId="4" fillId="0" borderId="0" xfId="0" quotePrefix="1" applyFont="1" applyAlignment="1">
      <alignment horizontal="left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7" fillId="4" borderId="0" xfId="0" applyFont="1" applyFill="1" applyAlignment="1">
      <alignment horizontal="center"/>
    </xf>
    <xf numFmtId="0" fontId="16" fillId="4" borderId="0" xfId="0" applyFont="1" applyFill="1" applyAlignment="1">
      <alignment horizontal="center"/>
    </xf>
    <xf numFmtId="0" fontId="0" fillId="4" borderId="0" xfId="0" applyFill="1"/>
    <xf numFmtId="0" fontId="4" fillId="0" borderId="4" xfId="0" applyFont="1" applyBorder="1" applyAlignment="1">
      <alignment horizontal="center"/>
    </xf>
    <xf numFmtId="0" fontId="21" fillId="0" borderId="1" xfId="0" applyFont="1" applyBorder="1" applyAlignment="1" applyProtection="1">
      <alignment horizontal="center" vertical="center" wrapText="1"/>
      <protection locked="0"/>
    </xf>
    <xf numFmtId="0" fontId="21" fillId="0" borderId="2" xfId="0" applyFont="1" applyBorder="1" applyAlignment="1" applyProtection="1">
      <alignment horizontal="center" vertical="center" wrapText="1"/>
      <protection locked="0"/>
    </xf>
    <xf numFmtId="0" fontId="21" fillId="0" borderId="3" xfId="0" applyFont="1" applyBorder="1" applyAlignment="1" applyProtection="1">
      <alignment horizontal="center" vertical="center" wrapText="1"/>
      <protection locked="0"/>
    </xf>
    <xf numFmtId="49" fontId="4" fillId="0" borderId="1" xfId="0" applyNumberFormat="1" applyFont="1" applyBorder="1" applyAlignment="1" applyProtection="1">
      <alignment horizontal="center" vertical="center"/>
      <protection locked="0"/>
    </xf>
    <xf numFmtId="0" fontId="4" fillId="0" borderId="2" xfId="0" applyFont="1" applyBorder="1" applyAlignment="1" applyProtection="1">
      <alignment horizontal="center" vertical="center"/>
      <protection locked="0"/>
    </xf>
    <xf numFmtId="0" fontId="4" fillId="0" borderId="3" xfId="0" applyFont="1" applyBorder="1" applyAlignment="1" applyProtection="1">
      <alignment horizontal="center" vertical="center"/>
      <protection locked="0"/>
    </xf>
    <xf numFmtId="0" fontId="4" fillId="0" borderId="10" xfId="0" applyFont="1" applyBorder="1" applyAlignment="1">
      <alignment horizontal="left"/>
    </xf>
    <xf numFmtId="0" fontId="4" fillId="0" borderId="8" xfId="0" applyFont="1" applyBorder="1" applyAlignment="1">
      <alignment horizontal="right"/>
    </xf>
    <xf numFmtId="0" fontId="21" fillId="0" borderId="1" xfId="0" applyFont="1" applyBorder="1" applyAlignment="1" applyProtection="1">
      <alignment horizontal="center"/>
      <protection locked="0"/>
    </xf>
    <xf numFmtId="0" fontId="21" fillId="0" borderId="3" xfId="0" applyFont="1" applyBorder="1" applyAlignment="1" applyProtection="1">
      <alignment horizontal="center"/>
      <protection locked="0"/>
    </xf>
    <xf numFmtId="0" fontId="4" fillId="0" borderId="4" xfId="0" applyFont="1" applyBorder="1" applyAlignment="1">
      <alignment horizontal="right"/>
    </xf>
    <xf numFmtId="0" fontId="12" fillId="0" borderId="0" xfId="0" applyFont="1" applyAlignment="1">
      <alignment horizontal="left"/>
    </xf>
    <xf numFmtId="0" fontId="12" fillId="0" borderId="0" xfId="0" applyFont="1"/>
    <xf numFmtId="0" fontId="83" fillId="4" borderId="12" xfId="0" applyFont="1" applyFill="1" applyBorder="1" applyAlignment="1">
      <alignment horizontal="center" vertical="center"/>
    </xf>
    <xf numFmtId="4" fontId="18" fillId="6" borderId="1" xfId="0" applyNumberFormat="1" applyFont="1" applyFill="1" applyBorder="1" applyAlignment="1" applyProtection="1">
      <alignment horizontal="center"/>
      <protection locked="0"/>
    </xf>
    <xf numFmtId="0" fontId="18" fillId="6" borderId="3" xfId="0" applyFont="1" applyFill="1" applyBorder="1" applyAlignment="1" applyProtection="1">
      <alignment horizontal="center"/>
      <protection locked="0"/>
    </xf>
    <xf numFmtId="14" fontId="18" fillId="6" borderId="12" xfId="0" applyNumberFormat="1" applyFont="1" applyFill="1" applyBorder="1" applyAlignment="1" applyProtection="1">
      <alignment horizontal="center"/>
      <protection locked="0"/>
    </xf>
    <xf numFmtId="0" fontId="82" fillId="0" borderId="0" xfId="0" applyFont="1" applyAlignment="1">
      <alignment horizontal="left"/>
    </xf>
    <xf numFmtId="0" fontId="2" fillId="0" borderId="12" xfId="0" applyFont="1" applyBorder="1" applyAlignment="1">
      <alignment horizontal="center" vertical="center"/>
    </xf>
    <xf numFmtId="0" fontId="21" fillId="3" borderId="12" xfId="0" applyFont="1" applyFill="1" applyBorder="1" applyAlignment="1" applyProtection="1">
      <alignment horizontal="center"/>
      <protection locked="0"/>
    </xf>
    <xf numFmtId="2" fontId="21" fillId="3" borderId="1" xfId="0" applyNumberFormat="1" applyFont="1" applyFill="1" applyBorder="1" applyAlignment="1" applyProtection="1">
      <alignment horizontal="right"/>
      <protection locked="0"/>
    </xf>
    <xf numFmtId="2" fontId="19" fillId="3" borderId="2" xfId="0" applyNumberFormat="1" applyFont="1" applyFill="1" applyBorder="1" applyAlignment="1" applyProtection="1">
      <alignment horizontal="right"/>
      <protection locked="0"/>
    </xf>
    <xf numFmtId="0" fontId="19" fillId="6" borderId="2" xfId="0" applyFont="1" applyFill="1" applyBorder="1" applyAlignment="1" applyProtection="1">
      <alignment horizontal="left"/>
      <protection locked="0"/>
    </xf>
    <xf numFmtId="0" fontId="19" fillId="6" borderId="3" xfId="0" applyFont="1" applyFill="1" applyBorder="1" applyAlignment="1" applyProtection="1">
      <alignment horizontal="left"/>
      <protection locked="0"/>
    </xf>
    <xf numFmtId="0" fontId="21" fillId="0" borderId="12" xfId="0" applyFont="1" applyBorder="1" applyAlignment="1">
      <alignment horizontal="center"/>
    </xf>
    <xf numFmtId="0" fontId="21" fillId="3" borderId="1" xfId="0" applyFont="1" applyFill="1" applyBorder="1" applyProtection="1">
      <protection locked="0"/>
    </xf>
    <xf numFmtId="0" fontId="19" fillId="3" borderId="2" xfId="0" applyFont="1" applyFill="1" applyBorder="1" applyProtection="1">
      <protection locked="0"/>
    </xf>
    <xf numFmtId="0" fontId="19" fillId="3" borderId="3" xfId="0" applyFont="1" applyFill="1" applyBorder="1" applyProtection="1">
      <protection locked="0"/>
    </xf>
    <xf numFmtId="2" fontId="21" fillId="0" borderId="46" xfId="0" applyNumberFormat="1" applyFont="1" applyBorder="1" applyProtection="1">
      <protection locked="0"/>
    </xf>
    <xf numFmtId="2" fontId="21" fillId="0" borderId="12" xfId="0" applyNumberFormat="1" applyFont="1" applyBorder="1" applyProtection="1">
      <protection locked="0"/>
    </xf>
    <xf numFmtId="0" fontId="21" fillId="3" borderId="2" xfId="0" applyFont="1" applyFill="1" applyBorder="1" applyAlignment="1" applyProtection="1">
      <alignment horizontal="center"/>
      <protection locked="0"/>
    </xf>
    <xf numFmtId="0" fontId="19" fillId="3" borderId="2" xfId="0" applyFont="1" applyFill="1" applyBorder="1" applyAlignment="1" applyProtection="1">
      <alignment horizontal="center"/>
      <protection locked="0"/>
    </xf>
    <xf numFmtId="0" fontId="19" fillId="3" borderId="3" xfId="0" applyFont="1" applyFill="1" applyBorder="1" applyAlignment="1" applyProtection="1">
      <alignment horizontal="center"/>
      <protection locked="0"/>
    </xf>
    <xf numFmtId="0" fontId="21" fillId="0" borderId="46" xfId="0" applyFont="1" applyBorder="1" applyProtection="1">
      <protection locked="0"/>
    </xf>
    <xf numFmtId="0" fontId="21" fillId="0" borderId="12" xfId="0" applyFont="1" applyBorder="1" applyProtection="1">
      <protection locked="0"/>
    </xf>
    <xf numFmtId="0" fontId="21" fillId="0" borderId="57" xfId="0" applyFont="1" applyBorder="1" applyProtection="1">
      <protection locked="0"/>
    </xf>
    <xf numFmtId="0" fontId="21" fillId="0" borderId="16" xfId="0" applyFont="1" applyBorder="1" applyProtection="1">
      <protection locked="0"/>
    </xf>
    <xf numFmtId="0" fontId="21" fillId="0" borderId="18" xfId="0" applyFont="1" applyBorder="1"/>
    <xf numFmtId="0" fontId="21" fillId="0" borderId="19" xfId="0" applyFont="1" applyBorder="1"/>
    <xf numFmtId="0" fontId="19" fillId="0" borderId="2" xfId="0" applyFont="1" applyBorder="1" applyAlignment="1">
      <alignment horizontal="center"/>
    </xf>
    <xf numFmtId="0" fontId="19" fillId="0" borderId="3" xfId="0" applyFont="1" applyBorder="1" applyAlignment="1">
      <alignment horizontal="center"/>
    </xf>
    <xf numFmtId="0" fontId="78" fillId="6" borderId="12" xfId="0" applyFont="1" applyFill="1" applyBorder="1" applyAlignment="1" applyProtection="1">
      <alignment horizontal="left"/>
      <protection locked="0"/>
    </xf>
    <xf numFmtId="0" fontId="0" fillId="0" borderId="12" xfId="0" applyBorder="1"/>
    <xf numFmtId="0" fontId="82" fillId="0" borderId="12" xfId="0" applyFont="1" applyBorder="1" applyAlignment="1">
      <alignment horizontal="left"/>
    </xf>
    <xf numFmtId="2" fontId="4" fillId="6" borderId="3" xfId="0" applyNumberFormat="1" applyFont="1" applyFill="1" applyBorder="1" applyAlignment="1">
      <alignment horizontal="center"/>
    </xf>
    <xf numFmtId="2" fontId="4" fillId="6" borderId="12" xfId="0" applyNumberFormat="1" applyFont="1" applyFill="1" applyBorder="1" applyAlignment="1">
      <alignment horizontal="center"/>
    </xf>
    <xf numFmtId="0" fontId="4" fillId="6" borderId="12" xfId="0" applyFont="1" applyFill="1" applyBorder="1" applyAlignment="1">
      <alignment horizontal="center" vertical="center" wrapText="1"/>
    </xf>
    <xf numFmtId="0" fontId="0" fillId="6" borderId="12" xfId="0" applyFill="1" applyBorder="1" applyAlignment="1">
      <alignment horizontal="center" vertical="center" wrapText="1"/>
    </xf>
    <xf numFmtId="0" fontId="4" fillId="6" borderId="12" xfId="0" applyFont="1" applyFill="1" applyBorder="1" applyAlignment="1">
      <alignment horizontal="center" vertical="center"/>
    </xf>
    <xf numFmtId="49" fontId="46" fillId="0" borderId="12" xfId="0" applyNumberFormat="1" applyFont="1" applyBorder="1" applyAlignment="1">
      <alignment horizontal="center" vertical="center"/>
    </xf>
    <xf numFmtId="0" fontId="21" fillId="0" borderId="1" xfId="0" applyFont="1" applyBorder="1" applyAlignment="1">
      <alignment horizontal="center" vertical="center" wrapText="1"/>
    </xf>
    <xf numFmtId="0" fontId="21" fillId="0" borderId="3" xfId="0" applyFont="1" applyBorder="1" applyAlignment="1">
      <alignment horizontal="center" vertical="center" wrapText="1"/>
    </xf>
    <xf numFmtId="2" fontId="3" fillId="0" borderId="12" xfId="0" applyNumberFormat="1" applyFont="1" applyBorder="1" applyAlignment="1">
      <alignment horizontal="center" vertical="center"/>
    </xf>
    <xf numFmtId="2" fontId="4" fillId="0" borderId="9" xfId="0" applyNumberFormat="1" applyFont="1" applyBorder="1" applyAlignment="1">
      <alignment horizontal="left" vertical="center"/>
    </xf>
    <xf numFmtId="2" fontId="4" fillId="0" borderId="10" xfId="0" applyNumberFormat="1" applyFont="1" applyBorder="1" applyAlignment="1">
      <alignment horizontal="left" vertical="center"/>
    </xf>
    <xf numFmtId="2" fontId="4" fillId="0" borderId="49" xfId="0" applyNumberFormat="1" applyFont="1" applyBorder="1" applyAlignment="1">
      <alignment horizontal="left" vertical="center"/>
    </xf>
    <xf numFmtId="0" fontId="4" fillId="0" borderId="14" xfId="0" applyFont="1" applyBorder="1" applyAlignment="1">
      <alignment horizontal="center" vertical="center" wrapText="1"/>
    </xf>
    <xf numFmtId="0" fontId="4" fillId="0" borderId="36" xfId="0" applyFont="1" applyBorder="1" applyAlignment="1">
      <alignment horizontal="center" vertical="center" wrapText="1"/>
    </xf>
    <xf numFmtId="0" fontId="4" fillId="0" borderId="11" xfId="0" applyFont="1" applyBorder="1" applyAlignment="1">
      <alignment horizontal="center" vertical="center" wrapText="1"/>
    </xf>
    <xf numFmtId="2" fontId="4" fillId="0" borderId="14" xfId="0" applyNumberFormat="1" applyFont="1" applyBorder="1" applyAlignment="1">
      <alignment horizontal="center" vertical="center" wrapText="1"/>
    </xf>
    <xf numFmtId="2" fontId="4" fillId="0" borderId="36" xfId="0" applyNumberFormat="1" applyFont="1" applyBorder="1" applyAlignment="1">
      <alignment horizontal="center" vertical="center" wrapText="1"/>
    </xf>
    <xf numFmtId="2" fontId="4" fillId="0" borderId="13" xfId="0" applyNumberFormat="1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2" fontId="4" fillId="0" borderId="5" xfId="0" applyNumberFormat="1" applyFont="1" applyBorder="1" applyAlignment="1">
      <alignment horizontal="left" vertical="center"/>
    </xf>
    <xf numFmtId="2" fontId="4" fillId="0" borderId="6" xfId="0" applyNumberFormat="1" applyFont="1" applyBorder="1" applyAlignment="1">
      <alignment horizontal="left" vertical="center"/>
    </xf>
    <xf numFmtId="2" fontId="4" fillId="0" borderId="51" xfId="0" applyNumberFormat="1" applyFont="1" applyBorder="1" applyAlignment="1">
      <alignment horizontal="left" vertical="center"/>
    </xf>
    <xf numFmtId="0" fontId="8" fillId="4" borderId="12" xfId="0" applyFont="1" applyFill="1" applyBorder="1" applyAlignment="1">
      <alignment horizontal="center" vertical="center" wrapText="1"/>
    </xf>
    <xf numFmtId="0" fontId="2" fillId="4" borderId="12" xfId="0" applyFont="1" applyFill="1" applyBorder="1" applyAlignment="1">
      <alignment horizontal="left"/>
    </xf>
    <xf numFmtId="0" fontId="2" fillId="6" borderId="26" xfId="0" applyFont="1" applyFill="1" applyBorder="1" applyAlignment="1">
      <alignment horizontal="center" vertical="center"/>
    </xf>
    <xf numFmtId="0" fontId="2" fillId="6" borderId="27" xfId="0" applyFont="1" applyFill="1" applyBorder="1" applyAlignment="1">
      <alignment horizontal="center" vertical="center"/>
    </xf>
    <xf numFmtId="0" fontId="2" fillId="6" borderId="40" xfId="0" applyFont="1" applyFill="1" applyBorder="1" applyAlignment="1">
      <alignment horizontal="center" vertical="center"/>
    </xf>
    <xf numFmtId="0" fontId="2" fillId="6" borderId="42" xfId="0" applyFont="1" applyFill="1" applyBorder="1" applyAlignment="1">
      <alignment horizontal="center" vertical="center" wrapText="1"/>
    </xf>
    <xf numFmtId="0" fontId="2" fillId="6" borderId="40" xfId="0" applyFont="1" applyFill="1" applyBorder="1" applyAlignment="1">
      <alignment horizontal="center" vertical="center" wrapText="1"/>
    </xf>
    <xf numFmtId="0" fontId="2" fillId="6" borderId="42" xfId="0" applyFont="1" applyFill="1" applyBorder="1" applyAlignment="1">
      <alignment horizontal="center" vertical="center"/>
    </xf>
    <xf numFmtId="0" fontId="2" fillId="6" borderId="15" xfId="0" applyFont="1" applyFill="1" applyBorder="1" applyAlignment="1">
      <alignment horizontal="center" vertical="center"/>
    </xf>
    <xf numFmtId="0" fontId="82" fillId="0" borderId="26" xfId="0" applyFont="1" applyBorder="1" applyAlignment="1">
      <alignment horizontal="center" vertical="center" wrapText="1"/>
    </xf>
    <xf numFmtId="0" fontId="82" fillId="0" borderId="27" xfId="0" applyFont="1" applyBorder="1" applyAlignment="1">
      <alignment horizontal="center" vertical="center" wrapText="1"/>
    </xf>
    <xf numFmtId="0" fontId="82" fillId="0" borderId="40" xfId="0" applyFont="1" applyBorder="1" applyAlignment="1">
      <alignment horizontal="center" vertical="center" wrapText="1"/>
    </xf>
    <xf numFmtId="0" fontId="82" fillId="0" borderId="28" xfId="0" applyFont="1" applyBorder="1" applyAlignment="1">
      <alignment horizontal="center" vertical="center" wrapText="1"/>
    </xf>
    <xf numFmtId="0" fontId="82" fillId="0" borderId="0" xfId="0" applyFont="1" applyAlignment="1">
      <alignment horizontal="center" vertical="center" wrapText="1"/>
    </xf>
    <xf numFmtId="0" fontId="82" fillId="0" borderId="8" xfId="0" applyFont="1" applyBorder="1" applyAlignment="1">
      <alignment horizontal="center" vertical="center" wrapText="1"/>
    </xf>
    <xf numFmtId="0" fontId="4" fillId="0" borderId="39" xfId="0" applyFont="1" applyBorder="1" applyAlignment="1">
      <alignment horizontal="center" vertical="center" wrapText="1"/>
    </xf>
    <xf numFmtId="0" fontId="4" fillId="0" borderId="13" xfId="0" applyFont="1" applyBorder="1" applyAlignment="1">
      <alignment horizontal="center" vertical="center" wrapText="1"/>
    </xf>
    <xf numFmtId="2" fontId="4" fillId="0" borderId="39" xfId="0" applyNumberFormat="1" applyFont="1" applyBorder="1" applyAlignment="1">
      <alignment horizontal="center" vertical="center" wrapText="1"/>
    </xf>
    <xf numFmtId="0" fontId="4" fillId="0" borderId="37" xfId="0" applyFont="1" applyBorder="1" applyAlignment="1">
      <alignment horizontal="center" vertical="center"/>
    </xf>
    <xf numFmtId="0" fontId="4" fillId="0" borderId="31" xfId="0" applyFont="1" applyBorder="1" applyAlignment="1">
      <alignment horizontal="center" vertical="center"/>
    </xf>
    <xf numFmtId="2" fontId="4" fillId="0" borderId="42" xfId="0" applyNumberFormat="1" applyFont="1" applyBorder="1" applyAlignment="1">
      <alignment horizontal="left" vertical="center"/>
    </xf>
    <xf numFmtId="2" fontId="4" fillId="0" borderId="27" xfId="0" applyNumberFormat="1" applyFont="1" applyBorder="1" applyAlignment="1">
      <alignment horizontal="left" vertical="center"/>
    </xf>
    <xf numFmtId="2" fontId="4" fillId="0" borderId="15" xfId="0" applyNumberFormat="1" applyFont="1" applyBorder="1" applyAlignment="1">
      <alignment horizontal="left" vertical="center"/>
    </xf>
    <xf numFmtId="0" fontId="4" fillId="0" borderId="50" xfId="0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0" fillId="0" borderId="6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7" xfId="0" applyFont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 wrapText="1"/>
    </xf>
    <xf numFmtId="0" fontId="4" fillId="0" borderId="41" xfId="0" applyFont="1" applyBorder="1" applyAlignment="1">
      <alignment horizontal="center" vertical="center" wrapText="1"/>
    </xf>
    <xf numFmtId="2" fontId="4" fillId="0" borderId="54" xfId="0" applyNumberFormat="1" applyFont="1" applyBorder="1" applyAlignment="1">
      <alignment horizontal="center" vertical="center" wrapText="1"/>
    </xf>
    <xf numFmtId="2" fontId="4" fillId="0" borderId="4" xfId="0" applyNumberFormat="1" applyFont="1" applyBorder="1" applyAlignment="1">
      <alignment horizontal="left" vertical="center"/>
    </xf>
    <xf numFmtId="2" fontId="4" fillId="0" borderId="0" xfId="0" applyNumberFormat="1" applyFont="1" applyAlignment="1">
      <alignment horizontal="left" vertical="center"/>
    </xf>
    <xf numFmtId="2" fontId="4" fillId="0" borderId="29" xfId="0" applyNumberFormat="1" applyFont="1" applyBorder="1" applyAlignment="1">
      <alignment horizontal="left" vertical="center"/>
    </xf>
    <xf numFmtId="0" fontId="0" fillId="0" borderId="30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41" xfId="0" applyBorder="1" applyAlignment="1">
      <alignment horizontal="center"/>
    </xf>
    <xf numFmtId="2" fontId="4" fillId="0" borderId="43" xfId="0" applyNumberFormat="1" applyFont="1" applyBorder="1" applyAlignment="1">
      <alignment horizontal="left" vertical="center"/>
    </xf>
    <xf numFmtId="2" fontId="4" fillId="0" borderId="25" xfId="0" applyNumberFormat="1" applyFont="1" applyBorder="1" applyAlignment="1">
      <alignment horizontal="left" vertical="center"/>
    </xf>
    <xf numFmtId="2" fontId="4" fillId="0" borderId="24" xfId="0" applyNumberFormat="1" applyFont="1" applyBorder="1" applyAlignment="1">
      <alignment horizontal="left" vertical="center"/>
    </xf>
    <xf numFmtId="0" fontId="0" fillId="0" borderId="50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41" xfId="0" applyBorder="1" applyAlignment="1">
      <alignment horizontal="center" vertical="center" wrapText="1"/>
    </xf>
    <xf numFmtId="2" fontId="0" fillId="0" borderId="54" xfId="0" applyNumberFormat="1" applyBorder="1" applyAlignment="1">
      <alignment horizontal="center" vertical="center" wrapText="1"/>
    </xf>
    <xf numFmtId="0" fontId="0" fillId="0" borderId="28" xfId="0" applyBorder="1" applyAlignment="1">
      <alignment horizontal="center"/>
    </xf>
    <xf numFmtId="0" fontId="0" fillId="0" borderId="8" xfId="0" applyBorder="1" applyAlignment="1">
      <alignment horizontal="center"/>
    </xf>
    <xf numFmtId="2" fontId="0" fillId="0" borderId="43" xfId="0" applyNumberFormat="1" applyBorder="1" applyAlignment="1">
      <alignment horizontal="left" vertical="center"/>
    </xf>
    <xf numFmtId="2" fontId="0" fillId="0" borderId="25" xfId="0" applyNumberFormat="1" applyBorder="1" applyAlignment="1">
      <alignment horizontal="left" vertical="center"/>
    </xf>
    <xf numFmtId="2" fontId="0" fillId="0" borderId="24" xfId="0" applyNumberFormat="1" applyBorder="1" applyAlignment="1">
      <alignment horizontal="left" vertical="center"/>
    </xf>
    <xf numFmtId="0" fontId="2" fillId="6" borderId="53" xfId="0" applyFont="1" applyFill="1" applyBorder="1" applyAlignment="1">
      <alignment horizontal="center" vertical="center" wrapText="1"/>
    </xf>
    <xf numFmtId="0" fontId="2" fillId="6" borderId="38" xfId="0" applyFont="1" applyFill="1" applyBorder="1" applyAlignment="1">
      <alignment horizontal="center" vertical="center" wrapText="1"/>
    </xf>
    <xf numFmtId="0" fontId="2" fillId="6" borderId="65" xfId="0" applyFont="1" applyFill="1" applyBorder="1" applyAlignment="1">
      <alignment horizontal="center" vertical="center" wrapText="1"/>
    </xf>
    <xf numFmtId="0" fontId="2" fillId="6" borderId="62" xfId="0" applyFont="1" applyFill="1" applyBorder="1" applyAlignment="1">
      <alignment horizontal="center" vertical="center" wrapText="1"/>
    </xf>
    <xf numFmtId="0" fontId="2" fillId="6" borderId="62" xfId="0" applyFont="1" applyFill="1" applyBorder="1" applyAlignment="1">
      <alignment horizontal="center" vertical="center"/>
    </xf>
    <xf numFmtId="0" fontId="2" fillId="6" borderId="38" xfId="0" applyFont="1" applyFill="1" applyBorder="1" applyAlignment="1">
      <alignment horizontal="center" vertical="center"/>
    </xf>
    <xf numFmtId="0" fontId="2" fillId="6" borderId="52" xfId="0" applyFont="1" applyFill="1" applyBorder="1" applyAlignment="1">
      <alignment horizontal="center" vertical="center"/>
    </xf>
    <xf numFmtId="0" fontId="4" fillId="0" borderId="28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0" borderId="63" xfId="0" applyFont="1" applyBorder="1" applyAlignment="1">
      <alignment horizontal="center"/>
    </xf>
    <xf numFmtId="0" fontId="4" fillId="0" borderId="11" xfId="0" applyFont="1" applyBorder="1" applyAlignment="1">
      <alignment horizontal="center"/>
    </xf>
    <xf numFmtId="0" fontId="8" fillId="4" borderId="1" xfId="0" applyFont="1" applyFill="1" applyBorder="1" applyAlignment="1">
      <alignment horizontal="center" vertical="center" wrapText="1"/>
    </xf>
    <xf numFmtId="0" fontId="8" fillId="4" borderId="2" xfId="0" applyFont="1" applyFill="1" applyBorder="1" applyAlignment="1">
      <alignment horizontal="center" vertical="center" wrapText="1"/>
    </xf>
    <xf numFmtId="0" fontId="8" fillId="4" borderId="3" xfId="0" applyFont="1" applyFill="1" applyBorder="1" applyAlignment="1">
      <alignment horizontal="center" vertical="center" wrapText="1"/>
    </xf>
    <xf numFmtId="0" fontId="4" fillId="0" borderId="2" xfId="0" applyFont="1" applyBorder="1"/>
    <xf numFmtId="0" fontId="2" fillId="0" borderId="1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0" fillId="0" borderId="1" xfId="0" applyBorder="1"/>
    <xf numFmtId="0" fontId="0" fillId="0" borderId="3" xfId="0" applyBorder="1"/>
    <xf numFmtId="0" fontId="0" fillId="0" borderId="5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56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0" fillId="0" borderId="62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22" fillId="3" borderId="30" xfId="0" applyFont="1" applyFill="1" applyBorder="1" applyAlignment="1">
      <alignment horizontal="center" vertical="center"/>
    </xf>
    <xf numFmtId="0" fontId="22" fillId="3" borderId="25" xfId="0" applyFont="1" applyFill="1" applyBorder="1" applyAlignment="1">
      <alignment horizontal="center" vertical="center"/>
    </xf>
    <xf numFmtId="0" fontId="22" fillId="3" borderId="24" xfId="0" applyFont="1" applyFill="1" applyBorder="1" applyAlignment="1">
      <alignment horizontal="center" vertical="center"/>
    </xf>
    <xf numFmtId="2" fontId="2" fillId="3" borderId="23" xfId="0" applyNumberFormat="1" applyFont="1" applyFill="1" applyBorder="1" applyAlignment="1">
      <alignment horizontal="center" vertical="center"/>
    </xf>
    <xf numFmtId="0" fontId="4" fillId="0" borderId="5" xfId="0" applyFont="1" applyBorder="1" applyAlignment="1">
      <alignment horizontal="center"/>
    </xf>
    <xf numFmtId="0" fontId="4" fillId="0" borderId="9" xfId="0" applyFont="1" applyBorder="1" applyAlignment="1">
      <alignment horizontal="center"/>
    </xf>
    <xf numFmtId="0" fontId="22" fillId="3" borderId="28" xfId="0" applyFont="1" applyFill="1" applyBorder="1" applyAlignment="1">
      <alignment horizontal="center" vertical="center"/>
    </xf>
    <xf numFmtId="0" fontId="22" fillId="3" borderId="0" xfId="0" applyFont="1" applyFill="1" applyAlignment="1">
      <alignment horizontal="center" vertical="center"/>
    </xf>
    <xf numFmtId="0" fontId="22" fillId="3" borderId="29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right"/>
    </xf>
    <xf numFmtId="0" fontId="4" fillId="6" borderId="2" xfId="0" applyFont="1" applyFill="1" applyBorder="1" applyAlignment="1">
      <alignment horizontal="right"/>
    </xf>
    <xf numFmtId="0" fontId="4" fillId="6" borderId="2" xfId="0" applyFont="1" applyFill="1" applyBorder="1" applyAlignment="1">
      <alignment horizontal="center"/>
    </xf>
    <xf numFmtId="0" fontId="4" fillId="6" borderId="2" xfId="0" applyFont="1" applyFill="1" applyBorder="1" applyAlignment="1">
      <alignment horizontal="left"/>
    </xf>
    <xf numFmtId="0" fontId="4" fillId="0" borderId="0" xfId="0" applyFont="1" applyAlignment="1">
      <alignment horizontal="left" vertical="center"/>
    </xf>
    <xf numFmtId="0" fontId="4" fillId="6" borderId="1" xfId="0" applyFont="1" applyFill="1" applyBorder="1" applyAlignment="1">
      <alignment horizontal="center" vertical="center"/>
    </xf>
    <xf numFmtId="0" fontId="4" fillId="6" borderId="3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wrapText="1"/>
    </xf>
    <xf numFmtId="0" fontId="4" fillId="6" borderId="2" xfId="0" applyFont="1" applyFill="1" applyBorder="1" applyAlignment="1">
      <alignment horizontal="center" wrapText="1"/>
    </xf>
    <xf numFmtId="0" fontId="4" fillId="6" borderId="3" xfId="0" applyFont="1" applyFill="1" applyBorder="1" applyAlignment="1">
      <alignment horizontal="center" wrapText="1"/>
    </xf>
    <xf numFmtId="0" fontId="67" fillId="3" borderId="12" xfId="0" applyFont="1" applyFill="1" applyBorder="1" applyAlignment="1">
      <alignment horizontal="center" vertical="center"/>
    </xf>
    <xf numFmtId="0" fontId="2" fillId="6" borderId="12" xfId="0" applyFont="1" applyFill="1" applyBorder="1" applyAlignment="1">
      <alignment horizontal="center"/>
    </xf>
    <xf numFmtId="0" fontId="4" fillId="6" borderId="1" xfId="0" applyFont="1" applyFill="1" applyBorder="1" applyAlignment="1">
      <alignment horizontal="center"/>
    </xf>
    <xf numFmtId="0" fontId="4" fillId="6" borderId="3" xfId="0" applyFont="1" applyFill="1" applyBorder="1" applyAlignment="1">
      <alignment horizontal="center"/>
    </xf>
    <xf numFmtId="14" fontId="4" fillId="6" borderId="10" xfId="0" applyNumberFormat="1" applyFont="1" applyFill="1" applyBorder="1" applyAlignment="1" applyProtection="1">
      <alignment horizontal="center"/>
      <protection locked="0"/>
    </xf>
    <xf numFmtId="0" fontId="2" fillId="4" borderId="1" xfId="0" applyFont="1" applyFill="1" applyBorder="1"/>
    <xf numFmtId="0" fontId="2" fillId="4" borderId="2" xfId="0" applyFont="1" applyFill="1" applyBorder="1"/>
    <xf numFmtId="0" fontId="2" fillId="4" borderId="3" xfId="0" applyFont="1" applyFill="1" applyBorder="1"/>
    <xf numFmtId="0" fontId="2" fillId="0" borderId="1" xfId="0" applyFont="1" applyBorder="1" applyAlignment="1">
      <alignment horizontal="left"/>
    </xf>
    <xf numFmtId="0" fontId="2" fillId="0" borderId="2" xfId="0" applyFont="1" applyBorder="1" applyAlignment="1">
      <alignment horizontal="left"/>
    </xf>
    <xf numFmtId="0" fontId="2" fillId="0" borderId="3" xfId="0" applyFont="1" applyBorder="1" applyAlignment="1">
      <alignment horizontal="left"/>
    </xf>
    <xf numFmtId="0" fontId="12" fillId="0" borderId="6" xfId="0" applyFont="1" applyBorder="1" applyAlignment="1">
      <alignment horizontal="left"/>
    </xf>
    <xf numFmtId="0" fontId="4" fillId="0" borderId="0" xfId="0" quotePrefix="1" applyFont="1"/>
    <xf numFmtId="0" fontId="4" fillId="0" borderId="0" xfId="0" applyFont="1"/>
    <xf numFmtId="0" fontId="19" fillId="6" borderId="1" xfId="0" applyFont="1" applyFill="1" applyBorder="1" applyAlignment="1">
      <alignment horizontal="center"/>
    </xf>
    <xf numFmtId="0" fontId="19" fillId="6" borderId="2" xfId="0" applyFont="1" applyFill="1" applyBorder="1" applyAlignment="1">
      <alignment horizontal="center"/>
    </xf>
    <xf numFmtId="0" fontId="19" fillId="6" borderId="3" xfId="0" applyFont="1" applyFill="1" applyBorder="1" applyAlignment="1">
      <alignment horizontal="center"/>
    </xf>
    <xf numFmtId="0" fontId="0" fillId="0" borderId="2" xfId="0" applyBorder="1" applyAlignment="1">
      <alignment horizontal="center" vertical="top"/>
    </xf>
    <xf numFmtId="0" fontId="0" fillId="0" borderId="3" xfId="0" applyBorder="1" applyAlignment="1">
      <alignment horizontal="center" vertical="top"/>
    </xf>
    <xf numFmtId="2" fontId="19" fillId="4" borderId="1" xfId="0" applyNumberFormat="1" applyFont="1" applyFill="1" applyBorder="1" applyAlignment="1" applyProtection="1">
      <alignment horizontal="center"/>
      <protection locked="0"/>
    </xf>
    <xf numFmtId="2" fontId="19" fillId="4" borderId="2" xfId="0" applyNumberFormat="1" applyFont="1" applyFill="1" applyBorder="1" applyAlignment="1" applyProtection="1">
      <alignment horizontal="center"/>
      <protection locked="0"/>
    </xf>
    <xf numFmtId="2" fontId="19" fillId="4" borderId="3" xfId="0" applyNumberFormat="1" applyFont="1" applyFill="1" applyBorder="1" applyAlignment="1" applyProtection="1">
      <alignment horizontal="center"/>
      <protection locked="0"/>
    </xf>
    <xf numFmtId="0" fontId="0" fillId="0" borderId="6" xfId="0" applyBorder="1" applyAlignment="1">
      <alignment horizontal="center" vertical="top"/>
    </xf>
    <xf numFmtId="0" fontId="0" fillId="0" borderId="7" xfId="0" applyBorder="1" applyAlignment="1">
      <alignment horizontal="center" vertical="top"/>
    </xf>
    <xf numFmtId="0" fontId="6" fillId="0" borderId="9" xfId="0" applyFont="1" applyBorder="1" applyAlignment="1">
      <alignment horizontal="left"/>
    </xf>
    <xf numFmtId="0" fontId="6" fillId="0" borderId="10" xfId="0" applyFont="1" applyBorder="1" applyAlignment="1">
      <alignment horizontal="left"/>
    </xf>
    <xf numFmtId="0" fontId="2" fillId="2" borderId="1" xfId="0" applyFont="1" applyFill="1" applyBorder="1" applyAlignment="1">
      <alignment horizontal="left" vertical="center"/>
    </xf>
    <xf numFmtId="0" fontId="2" fillId="2" borderId="2" xfId="0" applyFont="1" applyFill="1" applyBorder="1" applyAlignment="1">
      <alignment horizontal="left" vertical="center"/>
    </xf>
    <xf numFmtId="0" fontId="0" fillId="0" borderId="5" xfId="0" applyBorder="1" applyAlignment="1">
      <alignment horizontal="center" vertical="top"/>
    </xf>
    <xf numFmtId="0" fontId="0" fillId="0" borderId="2" xfId="0" applyBorder="1" applyAlignment="1">
      <alignment horizontal="left" wrapText="1"/>
    </xf>
    <xf numFmtId="0" fontId="0" fillId="0" borderId="0" xfId="0" applyAlignment="1">
      <alignment horizontal="left"/>
    </xf>
    <xf numFmtId="0" fontId="2" fillId="2" borderId="0" xfId="0" applyFont="1" applyFill="1" applyAlignment="1">
      <alignment horizontal="right" vertical="center"/>
    </xf>
    <xf numFmtId="0" fontId="2" fillId="2" borderId="1" xfId="0" applyFont="1" applyFill="1" applyBorder="1" applyAlignment="1">
      <alignment horizontal="left"/>
    </xf>
    <xf numFmtId="0" fontId="2" fillId="2" borderId="2" xfId="0" applyFont="1" applyFill="1" applyBorder="1" applyAlignment="1">
      <alignment horizontal="left"/>
    </xf>
    <xf numFmtId="2" fontId="19" fillId="0" borderId="1" xfId="0" applyNumberFormat="1" applyFont="1" applyBorder="1" applyAlignment="1">
      <alignment horizontal="center"/>
    </xf>
    <xf numFmtId="2" fontId="19" fillId="0" borderId="3" xfId="0" applyNumberFormat="1" applyFont="1" applyBorder="1" applyAlignment="1">
      <alignment horizontal="center"/>
    </xf>
    <xf numFmtId="0" fontId="0" fillId="0" borderId="1" xfId="0" applyBorder="1" applyAlignment="1">
      <alignment horizontal="center" vertical="top"/>
    </xf>
    <xf numFmtId="0" fontId="0" fillId="0" borderId="1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3" xfId="0" applyBorder="1" applyAlignment="1" applyProtection="1">
      <alignment horizontal="center"/>
      <protection locked="0"/>
    </xf>
    <xf numFmtId="0" fontId="2" fillId="2" borderId="6" xfId="0" applyFont="1" applyFill="1" applyBorder="1" applyAlignment="1">
      <alignment horizontal="center"/>
    </xf>
    <xf numFmtId="0" fontId="2" fillId="2" borderId="0" xfId="0" applyFont="1" applyFill="1" applyAlignment="1">
      <alignment horizontal="center"/>
    </xf>
    <xf numFmtId="0" fontId="2" fillId="2" borderId="10" xfId="0" applyFont="1" applyFill="1" applyBorder="1" applyAlignment="1">
      <alignment horizontal="center"/>
    </xf>
    <xf numFmtId="0" fontId="2" fillId="0" borderId="1" xfId="0" applyFont="1" applyBorder="1" applyAlignment="1" applyProtection="1">
      <alignment horizontal="center"/>
      <protection locked="0"/>
    </xf>
    <xf numFmtId="0" fontId="2" fillId="0" borderId="2" xfId="0" applyFont="1" applyBorder="1" applyAlignment="1" applyProtection="1">
      <alignment horizontal="center"/>
      <protection locked="0"/>
    </xf>
    <xf numFmtId="0" fontId="2" fillId="0" borderId="3" xfId="0" applyFont="1" applyBorder="1" applyAlignment="1" applyProtection="1">
      <alignment horizontal="center"/>
      <protection locked="0"/>
    </xf>
    <xf numFmtId="0" fontId="2" fillId="2" borderId="3" xfId="0" applyFont="1" applyFill="1" applyBorder="1" applyAlignment="1">
      <alignment horizontal="left"/>
    </xf>
    <xf numFmtId="0" fontId="7" fillId="2" borderId="5" xfId="0" applyFont="1" applyFill="1" applyBorder="1" applyAlignment="1">
      <alignment horizontal="center" vertical="center" wrapText="1"/>
    </xf>
    <xf numFmtId="0" fontId="7" fillId="2" borderId="6" xfId="0" applyFont="1" applyFill="1" applyBorder="1" applyAlignment="1">
      <alignment horizontal="center" vertical="center" wrapText="1"/>
    </xf>
    <xf numFmtId="0" fontId="7" fillId="2" borderId="7" xfId="0" applyFont="1" applyFill="1" applyBorder="1" applyAlignment="1">
      <alignment horizontal="center" vertical="center" wrapText="1"/>
    </xf>
    <xf numFmtId="0" fontId="7" fillId="2" borderId="4" xfId="0" applyFont="1" applyFill="1" applyBorder="1" applyAlignment="1">
      <alignment horizontal="center" vertical="center" wrapText="1"/>
    </xf>
    <xf numFmtId="0" fontId="7" fillId="2" borderId="0" xfId="0" applyFont="1" applyFill="1" applyAlignment="1">
      <alignment horizontal="center" vertical="center" wrapText="1"/>
    </xf>
    <xf numFmtId="0" fontId="7" fillId="2" borderId="8" xfId="0" applyFont="1" applyFill="1" applyBorder="1" applyAlignment="1">
      <alignment horizontal="center" vertical="center" wrapText="1"/>
    </xf>
    <xf numFmtId="0" fontId="7" fillId="2" borderId="9" xfId="0" applyFont="1" applyFill="1" applyBorder="1" applyAlignment="1">
      <alignment horizontal="center" vertical="center" wrapText="1"/>
    </xf>
    <xf numFmtId="0" fontId="7" fillId="2" borderId="10" xfId="0" applyFont="1" applyFill="1" applyBorder="1" applyAlignment="1">
      <alignment horizontal="center" vertical="center" wrapText="1"/>
    </xf>
    <xf numFmtId="0" fontId="7" fillId="2" borderId="11" xfId="0" applyFont="1" applyFill="1" applyBorder="1" applyAlignment="1">
      <alignment horizontal="center" vertical="center" wrapText="1"/>
    </xf>
    <xf numFmtId="49" fontId="19" fillId="6" borderId="1" xfId="0" applyNumberFormat="1" applyFont="1" applyFill="1" applyBorder="1" applyAlignment="1">
      <alignment horizontal="center"/>
    </xf>
    <xf numFmtId="49" fontId="19" fillId="6" borderId="2" xfId="0" applyNumberFormat="1" applyFont="1" applyFill="1" applyBorder="1" applyAlignment="1">
      <alignment horizontal="center"/>
    </xf>
    <xf numFmtId="49" fontId="19" fillId="6" borderId="3" xfId="0" applyNumberFormat="1" applyFont="1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0" xfId="0" applyBorder="1" applyAlignment="1">
      <alignment horizontal="center" vertical="top"/>
    </xf>
    <xf numFmtId="0" fontId="2" fillId="2" borderId="3" xfId="0" applyFont="1" applyFill="1" applyBorder="1" applyAlignment="1">
      <alignment horizontal="left" vertic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 vertical="top" wrapText="1"/>
    </xf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0" fontId="2" fillId="0" borderId="0" xfId="0" applyFont="1" applyAlignment="1">
      <alignment horizontal="center"/>
    </xf>
    <xf numFmtId="0" fontId="70" fillId="6" borderId="1" xfId="0" applyFont="1" applyFill="1" applyBorder="1" applyAlignment="1">
      <alignment horizontal="center" wrapText="1"/>
    </xf>
    <xf numFmtId="0" fontId="70" fillId="6" borderId="2" xfId="0" applyFont="1" applyFill="1" applyBorder="1" applyAlignment="1">
      <alignment horizontal="center" wrapText="1"/>
    </xf>
    <xf numFmtId="0" fontId="70" fillId="6" borderId="3" xfId="0" applyFont="1" applyFill="1" applyBorder="1" applyAlignment="1">
      <alignment horizontal="center" wrapText="1"/>
    </xf>
    <xf numFmtId="0" fontId="19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3" xfId="0" applyBorder="1" applyAlignment="1">
      <alignment horizontal="center"/>
    </xf>
    <xf numFmtId="0" fontId="23" fillId="6" borderId="1" xfId="0" applyFont="1" applyFill="1" applyBorder="1" applyAlignment="1" applyProtection="1">
      <alignment horizontal="center" vertical="center" wrapText="1"/>
      <protection locked="0"/>
    </xf>
    <xf numFmtId="0" fontId="23" fillId="6" borderId="2" xfId="0" applyFont="1" applyFill="1" applyBorder="1" applyAlignment="1" applyProtection="1">
      <alignment horizontal="center" vertical="center" wrapText="1"/>
      <protection locked="0"/>
    </xf>
    <xf numFmtId="0" fontId="23" fillId="6" borderId="3" xfId="0" applyFont="1" applyFill="1" applyBorder="1" applyAlignment="1" applyProtection="1">
      <alignment horizontal="center" vertical="center" wrapText="1"/>
      <protection locked="0"/>
    </xf>
    <xf numFmtId="0" fontId="5" fillId="0" borderId="0" xfId="0" applyFont="1" applyAlignment="1">
      <alignment horizontal="right"/>
    </xf>
    <xf numFmtId="0" fontId="0" fillId="6" borderId="1" xfId="0" applyFill="1" applyBorder="1" applyAlignment="1" applyProtection="1">
      <alignment horizontal="center"/>
      <protection locked="0"/>
    </xf>
    <xf numFmtId="0" fontId="0" fillId="6" borderId="2" xfId="0" applyFill="1" applyBorder="1" applyAlignment="1" applyProtection="1">
      <alignment horizontal="center"/>
      <protection locked="0"/>
    </xf>
    <xf numFmtId="0" fontId="0" fillId="6" borderId="3" xfId="0" applyFill="1" applyBorder="1" applyAlignment="1" applyProtection="1">
      <alignment horizontal="center"/>
      <protection locked="0"/>
    </xf>
    <xf numFmtId="49" fontId="0" fillId="6" borderId="1" xfId="0" applyNumberFormat="1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49" fontId="0" fillId="6" borderId="3" xfId="0" applyNumberFormat="1" applyFill="1" applyBorder="1" applyAlignment="1">
      <alignment horizontal="center"/>
    </xf>
    <xf numFmtId="0" fontId="84" fillId="6" borderId="26" xfId="0" applyFont="1" applyFill="1" applyBorder="1" applyAlignment="1">
      <alignment horizontal="center"/>
    </xf>
    <xf numFmtId="0" fontId="84" fillId="6" borderId="27" xfId="0" applyFont="1" applyFill="1" applyBorder="1" applyAlignment="1">
      <alignment horizontal="center"/>
    </xf>
    <xf numFmtId="0" fontId="84" fillId="6" borderId="15" xfId="0" applyFont="1" applyFill="1" applyBorder="1" applyAlignment="1">
      <alignment horizontal="center"/>
    </xf>
    <xf numFmtId="0" fontId="84" fillId="6" borderId="28" xfId="0" applyFont="1" applyFill="1" applyBorder="1" applyAlignment="1">
      <alignment horizontal="center"/>
    </xf>
    <xf numFmtId="0" fontId="84" fillId="6" borderId="0" xfId="0" applyFont="1" applyFill="1" applyAlignment="1">
      <alignment horizontal="center"/>
    </xf>
    <xf numFmtId="0" fontId="84" fillId="6" borderId="29" xfId="0" applyFont="1" applyFill="1" applyBorder="1" applyAlignment="1">
      <alignment horizontal="center"/>
    </xf>
    <xf numFmtId="0" fontId="85" fillId="6" borderId="28" xfId="0" applyFont="1" applyFill="1" applyBorder="1" applyAlignment="1">
      <alignment horizontal="center" vertical="center"/>
    </xf>
    <xf numFmtId="0" fontId="85" fillId="6" borderId="0" xfId="0" applyFont="1" applyFill="1" applyAlignment="1">
      <alignment horizontal="center" vertical="center"/>
    </xf>
    <xf numFmtId="0" fontId="85" fillId="6" borderId="29" xfId="0" applyFont="1" applyFill="1" applyBorder="1" applyAlignment="1">
      <alignment horizontal="center" vertical="center"/>
    </xf>
    <xf numFmtId="0" fontId="85" fillId="6" borderId="30" xfId="0" applyFont="1" applyFill="1" applyBorder="1" applyAlignment="1">
      <alignment horizontal="center" vertical="center"/>
    </xf>
    <xf numFmtId="0" fontId="85" fillId="6" borderId="25" xfId="0" applyFont="1" applyFill="1" applyBorder="1" applyAlignment="1">
      <alignment horizontal="center" vertical="center"/>
    </xf>
    <xf numFmtId="0" fontId="85" fillId="6" borderId="24" xfId="0" applyFont="1" applyFill="1" applyBorder="1" applyAlignment="1">
      <alignment horizontal="center" vertical="center"/>
    </xf>
    <xf numFmtId="0" fontId="21" fillId="0" borderId="0" xfId="0" applyFont="1" applyAlignment="1">
      <alignment horizontal="center"/>
    </xf>
    <xf numFmtId="0" fontId="42" fillId="5" borderId="26" xfId="0" applyFont="1" applyFill="1" applyBorder="1" applyAlignment="1">
      <alignment horizontal="center" vertical="center"/>
    </xf>
    <xf numFmtId="0" fontId="42" fillId="5" borderId="27" xfId="0" applyFont="1" applyFill="1" applyBorder="1" applyAlignment="1">
      <alignment horizontal="center" vertical="center"/>
    </xf>
    <xf numFmtId="0" fontId="42" fillId="5" borderId="15" xfId="0" applyFont="1" applyFill="1" applyBorder="1" applyAlignment="1">
      <alignment horizontal="center" vertical="center"/>
    </xf>
    <xf numFmtId="0" fontId="42" fillId="5" borderId="30" xfId="0" applyFont="1" applyFill="1" applyBorder="1" applyAlignment="1">
      <alignment horizontal="center" vertical="center"/>
    </xf>
    <xf numFmtId="0" fontId="42" fillId="5" borderId="25" xfId="0" applyFont="1" applyFill="1" applyBorder="1" applyAlignment="1">
      <alignment horizontal="center" vertical="center"/>
    </xf>
    <xf numFmtId="0" fontId="42" fillId="5" borderId="24" xfId="0" applyFont="1" applyFill="1" applyBorder="1" applyAlignment="1">
      <alignment horizontal="center" vertical="center"/>
    </xf>
    <xf numFmtId="0" fontId="42" fillId="5" borderId="28" xfId="0" applyFont="1" applyFill="1" applyBorder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42" fillId="5" borderId="29" xfId="0" applyFont="1" applyFill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33" fillId="0" borderId="0" xfId="0" applyFont="1" applyAlignment="1">
      <alignment horizontal="center" vertical="center"/>
    </xf>
    <xf numFmtId="49" fontId="19" fillId="0" borderId="0" xfId="0" applyNumberFormat="1" applyFont="1" applyAlignment="1">
      <alignment horizontal="center" wrapText="1"/>
    </xf>
    <xf numFmtId="0" fontId="21" fillId="0" borderId="0" xfId="0" applyFont="1" applyAlignment="1">
      <alignment horizontal="left" vertical="center"/>
    </xf>
    <xf numFmtId="0" fontId="77" fillId="0" borderId="0" xfId="0" applyFont="1" applyAlignment="1" applyProtection="1">
      <alignment horizontal="center" vertical="center" wrapText="1"/>
      <protection locked="0"/>
    </xf>
    <xf numFmtId="0" fontId="19" fillId="0" borderId="0" xfId="0" applyFont="1" applyAlignment="1">
      <alignment horizontal="center" wrapText="1"/>
    </xf>
    <xf numFmtId="0" fontId="21" fillId="8" borderId="38" xfId="0" applyFont="1" applyFill="1" applyBorder="1" applyAlignment="1">
      <alignment horizontal="center"/>
    </xf>
    <xf numFmtId="0" fontId="15" fillId="0" borderId="0" xfId="0" applyFont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29" fillId="0" borderId="12" xfId="0" applyFont="1" applyBorder="1" applyAlignment="1" applyProtection="1">
      <alignment horizontal="center" vertical="center" wrapText="1"/>
      <protection locked="0"/>
    </xf>
    <xf numFmtId="0" fontId="29" fillId="0" borderId="16" xfId="0" applyFont="1" applyBorder="1" applyAlignment="1" applyProtection="1">
      <alignment horizontal="center" vertical="center" wrapText="1"/>
      <protection locked="0"/>
    </xf>
    <xf numFmtId="0" fontId="16" fillId="0" borderId="16" xfId="0" applyFont="1" applyBorder="1" applyAlignment="1">
      <alignment horizontal="center" vertical="center"/>
    </xf>
    <xf numFmtId="0" fontId="16" fillId="0" borderId="14" xfId="0" applyFont="1" applyBorder="1" applyAlignment="1">
      <alignment horizontal="center" vertical="center"/>
    </xf>
    <xf numFmtId="0" fontId="19" fillId="3" borderId="16" xfId="0" applyFont="1" applyFill="1" applyBorder="1" applyAlignment="1" applyProtection="1">
      <alignment horizontal="center" vertical="center" wrapText="1"/>
      <protection locked="0"/>
    </xf>
    <xf numFmtId="0" fontId="16" fillId="0" borderId="57" xfId="0" applyFont="1" applyBorder="1" applyAlignment="1">
      <alignment horizontal="center" vertical="center" wrapText="1"/>
    </xf>
    <xf numFmtId="0" fontId="16" fillId="0" borderId="16" xfId="0" applyFont="1" applyBorder="1" applyAlignment="1">
      <alignment horizontal="center" vertical="center" wrapText="1"/>
    </xf>
    <xf numFmtId="0" fontId="16" fillId="0" borderId="58" xfId="0" applyFont="1" applyBorder="1" applyAlignment="1">
      <alignment horizontal="center" vertical="center" wrapText="1"/>
    </xf>
    <xf numFmtId="0" fontId="16" fillId="0" borderId="14" xfId="0" applyFont="1" applyBorder="1" applyAlignment="1">
      <alignment horizontal="center" vertical="center" wrapText="1"/>
    </xf>
    <xf numFmtId="0" fontId="19" fillId="3" borderId="57" xfId="0" applyFont="1" applyFill="1" applyBorder="1" applyAlignment="1" applyProtection="1">
      <alignment horizontal="center" vertical="center" wrapText="1"/>
      <protection locked="0"/>
    </xf>
    <xf numFmtId="0" fontId="35" fillId="0" borderId="16" xfId="0" applyFont="1" applyBorder="1" applyAlignment="1">
      <alignment horizontal="center" vertical="center" wrapText="1"/>
    </xf>
    <xf numFmtId="0" fontId="35" fillId="0" borderId="14" xfId="0" applyFont="1" applyBorder="1" applyAlignment="1">
      <alignment horizontal="center" vertical="center" wrapText="1"/>
    </xf>
    <xf numFmtId="165" fontId="3" fillId="6" borderId="59" xfId="0" applyNumberFormat="1" applyFont="1" applyFill="1" applyBorder="1" applyAlignment="1">
      <alignment horizontal="center" vertical="center"/>
    </xf>
    <xf numFmtId="165" fontId="3" fillId="6" borderId="45" xfId="0" applyNumberFormat="1" applyFont="1" applyFill="1" applyBorder="1" applyAlignment="1">
      <alignment horizontal="center" vertical="center"/>
    </xf>
    <xf numFmtId="165" fontId="19" fillId="6" borderId="13" xfId="0" applyNumberFormat="1" applyFont="1" applyFill="1" applyBorder="1" applyAlignment="1">
      <alignment horizontal="center" vertical="center"/>
    </xf>
    <xf numFmtId="165" fontId="19" fillId="6" borderId="22" xfId="0" applyNumberFormat="1" applyFont="1" applyFill="1" applyBorder="1" applyAlignment="1">
      <alignment horizontal="center" vertical="center"/>
    </xf>
    <xf numFmtId="0" fontId="16" fillId="0" borderId="42" xfId="0" applyFont="1" applyBorder="1" applyAlignment="1">
      <alignment horizontal="center" vertical="center" wrapText="1"/>
    </xf>
    <xf numFmtId="0" fontId="16" fillId="0" borderId="43" xfId="0" applyFont="1" applyBorder="1" applyAlignment="1">
      <alignment horizontal="center" vertical="center" wrapText="1"/>
    </xf>
    <xf numFmtId="0" fontId="16" fillId="0" borderId="39" xfId="0" applyFont="1" applyBorder="1" applyAlignment="1">
      <alignment horizontal="center" vertical="center" wrapText="1"/>
    </xf>
    <xf numFmtId="0" fontId="16" fillId="0" borderId="54" xfId="0" applyFont="1" applyBorder="1" applyAlignment="1">
      <alignment horizontal="center" vertical="center" wrapText="1"/>
    </xf>
    <xf numFmtId="0" fontId="15" fillId="0" borderId="57" xfId="0" applyFont="1" applyBorder="1" applyAlignment="1">
      <alignment horizontal="center" vertical="center" wrapText="1"/>
    </xf>
    <xf numFmtId="0" fontId="15" fillId="0" borderId="16" xfId="0" applyFont="1" applyBorder="1" applyAlignment="1">
      <alignment horizontal="center" vertical="center" wrapText="1"/>
    </xf>
    <xf numFmtId="0" fontId="15" fillId="0" borderId="58" xfId="0" applyFont="1" applyBorder="1" applyAlignment="1">
      <alignment horizontal="center" vertical="center" wrapText="1"/>
    </xf>
    <xf numFmtId="0" fontId="15" fillId="0" borderId="14" xfId="0" applyFont="1" applyBorder="1" applyAlignment="1">
      <alignment horizontal="center" vertical="center" wrapText="1"/>
    </xf>
    <xf numFmtId="0" fontId="28" fillId="0" borderId="46" xfId="0" applyFont="1" applyBorder="1" applyAlignment="1" applyProtection="1">
      <alignment horizontal="center" vertical="center" wrapText="1"/>
      <protection locked="0"/>
    </xf>
    <xf numFmtId="0" fontId="28" fillId="0" borderId="12" xfId="0" applyFont="1" applyBorder="1" applyAlignment="1" applyProtection="1">
      <alignment horizontal="center" vertical="center" wrapText="1"/>
      <protection locked="0"/>
    </xf>
    <xf numFmtId="0" fontId="28" fillId="0" borderId="57" xfId="0" applyFont="1" applyBorder="1" applyAlignment="1" applyProtection="1">
      <alignment horizontal="center" vertical="center" wrapText="1"/>
      <protection locked="0"/>
    </xf>
    <xf numFmtId="0" fontId="28" fillId="0" borderId="16" xfId="0" applyFont="1" applyBorder="1" applyAlignment="1" applyProtection="1">
      <alignment horizontal="center" vertical="center" wrapText="1"/>
      <protection locked="0"/>
    </xf>
    <xf numFmtId="0" fontId="16" fillId="0" borderId="55" xfId="0" applyFont="1" applyBorder="1" applyAlignment="1">
      <alignment horizontal="center" vertical="center"/>
    </xf>
    <xf numFmtId="0" fontId="16" fillId="0" borderId="48" xfId="0" applyFont="1" applyBorder="1" applyAlignment="1">
      <alignment horizontal="center" vertical="center"/>
    </xf>
    <xf numFmtId="0" fontId="15" fillId="0" borderId="55" xfId="0" applyFont="1" applyBorder="1" applyAlignment="1">
      <alignment horizontal="center" vertical="center" wrapText="1"/>
    </xf>
    <xf numFmtId="0" fontId="15" fillId="0" borderId="48" xfId="0" applyFont="1" applyBorder="1" applyAlignment="1">
      <alignment horizontal="center" vertical="center" wrapText="1"/>
    </xf>
    <xf numFmtId="0" fontId="20" fillId="0" borderId="0" xfId="0" applyFont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165" fontId="16" fillId="6" borderId="59" xfId="0" applyNumberFormat="1" applyFont="1" applyFill="1" applyBorder="1" applyAlignment="1">
      <alignment horizontal="center" vertical="center"/>
    </xf>
    <xf numFmtId="165" fontId="16" fillId="6" borderId="45" xfId="0" applyNumberFormat="1" applyFont="1" applyFill="1" applyBorder="1" applyAlignment="1">
      <alignment horizontal="center" vertical="center"/>
    </xf>
    <xf numFmtId="165" fontId="19" fillId="6" borderId="12" xfId="0" applyNumberFormat="1" applyFont="1" applyFill="1" applyBorder="1" applyAlignment="1">
      <alignment horizontal="center" vertical="center"/>
    </xf>
    <xf numFmtId="165" fontId="19" fillId="6" borderId="17" xfId="0" applyNumberFormat="1" applyFont="1" applyFill="1" applyBorder="1" applyAlignment="1">
      <alignment horizontal="center" vertical="center"/>
    </xf>
    <xf numFmtId="0" fontId="3" fillId="0" borderId="57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16" fillId="0" borderId="44" xfId="0" applyFont="1" applyBorder="1" applyAlignment="1">
      <alignment horizontal="center" vertical="center"/>
    </xf>
    <xf numFmtId="0" fontId="16" fillId="0" borderId="59" xfId="0" applyFont="1" applyBorder="1" applyAlignment="1">
      <alignment horizontal="center" vertical="center"/>
    </xf>
    <xf numFmtId="0" fontId="3" fillId="0" borderId="46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 wrapText="1"/>
    </xf>
    <xf numFmtId="0" fontId="3" fillId="0" borderId="55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29" fillId="0" borderId="0" xfId="0" applyFont="1" applyAlignment="1">
      <alignment horizontal="left" vertical="center"/>
    </xf>
    <xf numFmtId="0" fontId="29" fillId="3" borderId="0" xfId="0" applyFont="1" applyFill="1" applyAlignment="1">
      <alignment horizontal="left" vertical="center"/>
    </xf>
    <xf numFmtId="0" fontId="29" fillId="6" borderId="0" xfId="0" applyFont="1" applyFill="1" applyAlignment="1">
      <alignment horizontal="left" vertical="center"/>
    </xf>
    <xf numFmtId="0" fontId="13" fillId="0" borderId="0" xfId="0" applyFont="1" applyAlignment="1">
      <alignment horizontal="left" vertical="top"/>
    </xf>
    <xf numFmtId="0" fontId="21" fillId="6" borderId="0" xfId="0" applyFont="1" applyFill="1" applyAlignment="1">
      <alignment horizontal="left" vertical="center" wrapText="1"/>
    </xf>
    <xf numFmtId="0" fontId="21" fillId="6" borderId="0" xfId="0" applyFont="1" applyFill="1" applyAlignment="1">
      <alignment horizontal="left" vertical="center"/>
    </xf>
    <xf numFmtId="0" fontId="27" fillId="0" borderId="0" xfId="0" applyFont="1" applyAlignment="1">
      <alignment horizontal="center" wrapText="1"/>
    </xf>
    <xf numFmtId="0" fontId="27" fillId="0" borderId="0" xfId="0" applyFont="1" applyAlignment="1">
      <alignment horizontal="center"/>
    </xf>
    <xf numFmtId="0" fontId="46" fillId="0" borderId="0" xfId="0" applyFont="1" applyAlignment="1">
      <alignment horizontal="center" vertical="center" wrapText="1"/>
    </xf>
    <xf numFmtId="0" fontId="20" fillId="0" borderId="0" xfId="0" applyFont="1" applyAlignment="1">
      <alignment horizontal="center" wrapText="1"/>
    </xf>
    <xf numFmtId="0" fontId="16" fillId="0" borderId="0" xfId="0" applyFont="1" applyAlignment="1">
      <alignment horizontal="left" vertical="center" wrapText="1"/>
    </xf>
    <xf numFmtId="0" fontId="16" fillId="0" borderId="0" xfId="0" applyFont="1" applyAlignment="1">
      <alignment horizontal="left" vertical="center"/>
    </xf>
    <xf numFmtId="0" fontId="15" fillId="0" borderId="0" xfId="0" applyFont="1" applyAlignment="1">
      <alignment horizontal="center"/>
    </xf>
    <xf numFmtId="0" fontId="31" fillId="0" borderId="0" xfId="0" applyFont="1" applyAlignment="1">
      <alignment horizontal="center" vertical="center"/>
    </xf>
    <xf numFmtId="0" fontId="1" fillId="3" borderId="0" xfId="0" applyFont="1" applyFill="1" applyAlignment="1">
      <alignment horizontal="left" vertical="center"/>
    </xf>
    <xf numFmtId="0" fontId="17" fillId="0" borderId="0" xfId="0" applyFont="1" applyAlignment="1">
      <alignment horizontal="left" vertical="center"/>
    </xf>
    <xf numFmtId="0" fontId="19" fillId="0" borderId="0" xfId="0" applyFont="1" applyAlignment="1">
      <alignment horizontal="left" vertical="center"/>
    </xf>
    <xf numFmtId="0" fontId="19" fillId="7" borderId="25" xfId="0" applyFont="1" applyFill="1" applyBorder="1" applyAlignment="1">
      <alignment horizontal="center"/>
    </xf>
    <xf numFmtId="0" fontId="17" fillId="6" borderId="0" xfId="0" applyFont="1" applyFill="1" applyAlignment="1">
      <alignment horizontal="center" vertical="center"/>
    </xf>
    <xf numFmtId="0" fontId="17" fillId="0" borderId="0" xfId="0" applyFont="1" applyAlignment="1">
      <alignment horizontal="center" wrapText="1"/>
    </xf>
    <xf numFmtId="0" fontId="3" fillId="0" borderId="16" xfId="0" applyFont="1" applyBorder="1" applyAlignment="1">
      <alignment horizontal="center" vertical="center" wrapText="1"/>
    </xf>
    <xf numFmtId="0" fontId="3" fillId="0" borderId="55" xfId="0" applyFont="1" applyBorder="1" applyAlignment="1">
      <alignment horizontal="center" vertical="center" wrapText="1"/>
    </xf>
    <xf numFmtId="0" fontId="3" fillId="0" borderId="19" xfId="0" applyFont="1" applyBorder="1" applyAlignment="1">
      <alignment horizontal="center" vertical="center" wrapText="1"/>
    </xf>
    <xf numFmtId="0" fontId="3" fillId="0" borderId="20" xfId="0" applyFont="1" applyBorder="1" applyAlignment="1">
      <alignment horizontal="center" vertical="center" wrapText="1"/>
    </xf>
    <xf numFmtId="0" fontId="1" fillId="0" borderId="0" xfId="0" applyFont="1" applyAlignment="1">
      <alignment vertical="center"/>
    </xf>
    <xf numFmtId="0" fontId="32" fillId="0" borderId="0" xfId="0" applyFont="1" applyAlignment="1">
      <alignment horizontal="center" vertical="center"/>
    </xf>
    <xf numFmtId="0" fontId="31" fillId="0" borderId="0" xfId="0" applyFont="1" applyAlignment="1">
      <alignment horizontal="center" vertical="center" wrapText="1"/>
    </xf>
    <xf numFmtId="0" fontId="3" fillId="0" borderId="44" xfId="0" applyFont="1" applyBorder="1" applyAlignment="1">
      <alignment horizontal="center" vertical="center" wrapText="1"/>
    </xf>
    <xf numFmtId="0" fontId="3" fillId="0" borderId="59" xfId="0" applyFont="1" applyBorder="1" applyAlignment="1">
      <alignment horizontal="center" vertical="center" wrapText="1"/>
    </xf>
    <xf numFmtId="0" fontId="3" fillId="0" borderId="46" xfId="0" applyFont="1" applyBorder="1" applyAlignment="1">
      <alignment horizontal="center" vertical="center" wrapText="1"/>
    </xf>
    <xf numFmtId="0" fontId="3" fillId="0" borderId="12" xfId="0" applyFont="1" applyBorder="1" applyAlignment="1">
      <alignment horizontal="center" vertical="center" wrapText="1"/>
    </xf>
    <xf numFmtId="0" fontId="3" fillId="0" borderId="21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65" fontId="19" fillId="6" borderId="1" xfId="0" applyNumberFormat="1" applyFont="1" applyFill="1" applyBorder="1" applyAlignment="1">
      <alignment horizontal="center" vertical="center"/>
    </xf>
    <xf numFmtId="165" fontId="19" fillId="6" borderId="33" xfId="0" applyNumberFormat="1" applyFont="1" applyFill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58" xfId="0" applyFont="1" applyBorder="1" applyAlignment="1">
      <alignment horizontal="center" vertical="center" wrapText="1"/>
    </xf>
    <xf numFmtId="0" fontId="3" fillId="0" borderId="14" xfId="0" applyFont="1" applyBorder="1" applyAlignment="1">
      <alignment horizontal="center" vertical="center" wrapText="1"/>
    </xf>
    <xf numFmtId="0" fontId="24" fillId="0" borderId="6" xfId="0" applyFont="1" applyBorder="1" applyAlignment="1">
      <alignment horizontal="center" vertical="top"/>
    </xf>
    <xf numFmtId="0" fontId="19" fillId="0" borderId="0" xfId="0" applyFont="1" applyAlignment="1">
      <alignment horizontal="left"/>
    </xf>
    <xf numFmtId="0" fontId="19" fillId="6" borderId="0" xfId="0" applyFont="1" applyFill="1" applyAlignment="1">
      <alignment horizontal="left" vertical="center"/>
    </xf>
    <xf numFmtId="0" fontId="70" fillId="3" borderId="12" xfId="0" applyFont="1" applyFill="1" applyBorder="1" applyAlignment="1" applyProtection="1">
      <alignment horizontal="center" vertical="center"/>
      <protection locked="0"/>
    </xf>
    <xf numFmtId="0" fontId="70" fillId="3" borderId="17" xfId="0" applyFont="1" applyFill="1" applyBorder="1" applyAlignment="1" applyProtection="1">
      <alignment horizontal="center" vertical="center"/>
      <protection locked="0"/>
    </xf>
    <xf numFmtId="0" fontId="3" fillId="0" borderId="57" xfId="0" applyFont="1" applyBorder="1" applyAlignment="1">
      <alignment horizontal="center" vertical="center" wrapText="1"/>
    </xf>
    <xf numFmtId="0" fontId="21" fillId="3" borderId="12" xfId="0" applyFont="1" applyFill="1" applyBorder="1" applyAlignment="1" applyProtection="1">
      <alignment horizontal="center" vertical="center" wrapText="1"/>
      <protection locked="0"/>
    </xf>
    <xf numFmtId="0" fontId="3" fillId="0" borderId="17" xfId="0" applyFont="1" applyBorder="1" applyAlignment="1">
      <alignment horizontal="center" vertical="center"/>
    </xf>
    <xf numFmtId="49" fontId="74" fillId="0" borderId="0" xfId="0" applyNumberFormat="1" applyFont="1" applyAlignment="1">
      <alignment horizontal="left" wrapText="1"/>
    </xf>
    <xf numFmtId="0" fontId="43" fillId="0" borderId="0" xfId="0" applyFont="1" applyAlignment="1">
      <alignment horizontal="center"/>
    </xf>
    <xf numFmtId="0" fontId="73" fillId="0" borderId="0" xfId="0" applyFont="1" applyAlignment="1">
      <alignment horizontal="left"/>
    </xf>
    <xf numFmtId="0" fontId="19" fillId="0" borderId="10" xfId="0" applyFont="1" applyBorder="1" applyAlignment="1" applyProtection="1">
      <alignment horizontal="center"/>
      <protection locked="0"/>
    </xf>
    <xf numFmtId="0" fontId="71" fillId="0" borderId="12" xfId="0" applyFont="1" applyBorder="1" applyAlignment="1" applyProtection="1">
      <alignment horizontal="center" vertical="center" wrapText="1"/>
      <protection locked="0"/>
    </xf>
    <xf numFmtId="0" fontId="71" fillId="0" borderId="17" xfId="0" applyFont="1" applyBorder="1" applyAlignment="1" applyProtection="1">
      <alignment horizontal="center" vertical="center" wrapText="1"/>
      <protection locked="0"/>
    </xf>
    <xf numFmtId="165" fontId="19" fillId="6" borderId="12" xfId="0" applyNumberFormat="1" applyFont="1" applyFill="1" applyBorder="1" applyAlignment="1" applyProtection="1">
      <alignment horizontal="center" vertical="center" wrapText="1"/>
      <protection locked="0"/>
    </xf>
    <xf numFmtId="168" fontId="19" fillId="6" borderId="12" xfId="0" applyNumberFormat="1" applyFont="1" applyFill="1" applyBorder="1" applyAlignment="1" applyProtection="1">
      <alignment horizontal="center" vertical="center" wrapText="1"/>
      <protection locked="0"/>
    </xf>
    <xf numFmtId="2" fontId="17" fillId="6" borderId="12" xfId="0" applyNumberFormat="1" applyFont="1" applyFill="1" applyBorder="1" applyAlignment="1" applyProtection="1">
      <alignment horizontal="center" vertical="center" wrapText="1"/>
      <protection locked="0"/>
    </xf>
    <xf numFmtId="167" fontId="17" fillId="6" borderId="13" xfId="0" applyNumberFormat="1" applyFont="1" applyFill="1" applyBorder="1" applyAlignment="1" applyProtection="1">
      <alignment horizontal="center" vertical="center" wrapText="1"/>
      <protection locked="0"/>
    </xf>
    <xf numFmtId="0" fontId="35" fillId="0" borderId="55" xfId="0" applyFont="1" applyBorder="1" applyAlignment="1">
      <alignment horizontal="center" vertical="center" wrapText="1"/>
    </xf>
    <xf numFmtId="0" fontId="35" fillId="0" borderId="19" xfId="0" applyFont="1" applyBorder="1" applyAlignment="1">
      <alignment horizontal="center" vertical="center" wrapText="1"/>
    </xf>
    <xf numFmtId="0" fontId="35" fillId="0" borderId="20" xfId="0" applyFont="1" applyBorder="1" applyAlignment="1">
      <alignment horizontal="center" vertical="center" wrapText="1"/>
    </xf>
    <xf numFmtId="0" fontId="19" fillId="6" borderId="0" xfId="0" applyFont="1" applyFill="1" applyAlignment="1">
      <alignment horizontal="left" vertical="center" wrapText="1"/>
    </xf>
    <xf numFmtId="0" fontId="74" fillId="0" borderId="0" xfId="0" applyFont="1" applyAlignment="1">
      <alignment horizontal="left" vertical="center"/>
    </xf>
    <xf numFmtId="0" fontId="73" fillId="0" borderId="0" xfId="0" applyFont="1" applyAlignment="1">
      <alignment horizontal="left" vertical="center" wrapText="1"/>
    </xf>
    <xf numFmtId="0" fontId="17" fillId="0" borderId="12" xfId="0" applyFont="1" applyBorder="1" applyAlignment="1" applyProtection="1">
      <alignment horizontal="center" vertical="center" wrapText="1"/>
      <protection locked="0"/>
    </xf>
    <xf numFmtId="0" fontId="43" fillId="0" borderId="0" xfId="0" applyFont="1" applyAlignment="1">
      <alignment horizontal="left"/>
    </xf>
    <xf numFmtId="0" fontId="72" fillId="0" borderId="0" xfId="0" applyFont="1" applyAlignment="1">
      <alignment horizontal="left"/>
    </xf>
    <xf numFmtId="0" fontId="69" fillId="0" borderId="10" xfId="0" applyFont="1" applyBorder="1" applyAlignment="1" applyProtection="1">
      <alignment horizontal="center" wrapText="1"/>
      <protection locked="0"/>
    </xf>
    <xf numFmtId="49" fontId="19" fillId="0" borderId="0" xfId="0" applyNumberFormat="1" applyFont="1" applyAlignment="1" applyProtection="1">
      <alignment horizontal="center"/>
      <protection locked="0"/>
    </xf>
    <xf numFmtId="0" fontId="19" fillId="0" borderId="0" xfId="0" applyFont="1" applyAlignment="1" applyProtection="1">
      <alignment horizontal="center"/>
      <protection locked="0"/>
    </xf>
    <xf numFmtId="0" fontId="24" fillId="0" borderId="0" xfId="0" applyFont="1" applyAlignment="1">
      <alignment horizontal="center" vertical="top"/>
    </xf>
    <xf numFmtId="0" fontId="24" fillId="0" borderId="0" xfId="0" applyFont="1" applyAlignment="1">
      <alignment horizontal="center" vertical="top" wrapText="1"/>
    </xf>
    <xf numFmtId="0" fontId="19" fillId="0" borderId="0" xfId="0" applyFont="1" applyAlignment="1">
      <alignment horizontal="center" vertical="top"/>
    </xf>
    <xf numFmtId="49" fontId="19" fillId="0" borderId="0" xfId="0" applyNumberFormat="1" applyFont="1" applyAlignment="1" applyProtection="1">
      <alignment horizontal="left"/>
      <protection locked="0"/>
    </xf>
    <xf numFmtId="0" fontId="21" fillId="0" borderId="10" xfId="0" applyFont="1" applyBorder="1" applyAlignment="1" applyProtection="1">
      <alignment horizontal="center" wrapText="1"/>
      <protection locked="0"/>
    </xf>
    <xf numFmtId="0" fontId="19" fillId="0" borderId="10" xfId="0" applyFont="1" applyBorder="1" applyAlignment="1" applyProtection="1">
      <alignment horizontal="center" wrapText="1"/>
      <protection locked="0"/>
    </xf>
    <xf numFmtId="0" fontId="19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0" fontId="69" fillId="0" borderId="10" xfId="0" applyFont="1" applyBorder="1" applyAlignment="1">
      <alignment horizontal="center"/>
    </xf>
    <xf numFmtId="0" fontId="24" fillId="0" borderId="0" xfId="0" applyFont="1" applyAlignment="1" applyProtection="1">
      <alignment horizontal="center"/>
      <protection locked="0"/>
    </xf>
    <xf numFmtId="0" fontId="35" fillId="0" borderId="46" xfId="0" applyFont="1" applyBorder="1" applyAlignment="1" applyProtection="1">
      <alignment horizontal="center" vertical="center" wrapText="1"/>
      <protection locked="0"/>
    </xf>
    <xf numFmtId="0" fontId="35" fillId="0" borderId="12" xfId="0" applyFont="1" applyBorder="1" applyAlignment="1" applyProtection="1">
      <alignment horizontal="center" vertical="center" wrapText="1"/>
      <protection locked="0"/>
    </xf>
    <xf numFmtId="0" fontId="21" fillId="0" borderId="0" xfId="0" applyFont="1" applyAlignment="1">
      <alignment horizontal="right"/>
    </xf>
    <xf numFmtId="0" fontId="3" fillId="0" borderId="0" xfId="0" applyFont="1" applyAlignment="1">
      <alignment horizontal="left"/>
    </xf>
    <xf numFmtId="0" fontId="19" fillId="0" borderId="0" xfId="0" applyFont="1" applyAlignment="1">
      <alignment horizontal="right"/>
    </xf>
    <xf numFmtId="167" fontId="19" fillId="0" borderId="0" xfId="0" applyNumberFormat="1" applyFont="1" applyAlignment="1">
      <alignment horizontal="center"/>
    </xf>
    <xf numFmtId="2" fontId="17" fillId="6" borderId="19" xfId="0" applyNumberFormat="1" applyFont="1" applyFill="1" applyBorder="1" applyAlignment="1" applyProtection="1">
      <alignment horizontal="center" vertical="center" wrapText="1"/>
      <protection locked="0"/>
    </xf>
    <xf numFmtId="0" fontId="71" fillId="0" borderId="19" xfId="0" applyFont="1" applyBorder="1" applyAlignment="1" applyProtection="1">
      <alignment horizontal="center" vertical="center" wrapText="1"/>
      <protection locked="0"/>
    </xf>
    <xf numFmtId="0" fontId="71" fillId="0" borderId="20" xfId="0" applyFont="1" applyBorder="1" applyAlignment="1" applyProtection="1">
      <alignment horizontal="center" vertical="center" wrapText="1"/>
      <protection locked="0"/>
    </xf>
    <xf numFmtId="0" fontId="3" fillId="0" borderId="3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5" fillId="0" borderId="18" xfId="0" applyFont="1" applyBorder="1" applyAlignment="1" applyProtection="1">
      <alignment horizontal="center" vertical="center" wrapText="1"/>
      <protection locked="0"/>
    </xf>
    <xf numFmtId="0" fontId="35" fillId="0" borderId="19" xfId="0" applyFont="1" applyBorder="1" applyAlignment="1" applyProtection="1">
      <alignment horizontal="center" vertical="center" wrapText="1"/>
      <protection locked="0"/>
    </xf>
    <xf numFmtId="49" fontId="21" fillId="0" borderId="0" xfId="0" applyNumberFormat="1" applyFont="1" applyAlignment="1">
      <alignment horizontal="center"/>
    </xf>
    <xf numFmtId="0" fontId="19" fillId="8" borderId="0" xfId="0" applyFont="1" applyFill="1" applyAlignment="1">
      <alignment horizontal="center"/>
    </xf>
    <xf numFmtId="0" fontId="19" fillId="8" borderId="25" xfId="0" applyFont="1" applyFill="1" applyBorder="1" applyAlignment="1">
      <alignment horizontal="center"/>
    </xf>
    <xf numFmtId="0" fontId="19" fillId="0" borderId="0" xfId="0" applyFont="1" applyAlignment="1">
      <alignment horizontal="center" vertical="center"/>
    </xf>
    <xf numFmtId="0" fontId="21" fillId="8" borderId="25" xfId="0" applyFont="1" applyFill="1" applyBorder="1" applyAlignment="1">
      <alignment horizontal="center"/>
    </xf>
    <xf numFmtId="0" fontId="19" fillId="3" borderId="46" xfId="0" applyFont="1" applyFill="1" applyBorder="1" applyAlignment="1" applyProtection="1">
      <alignment horizontal="center" vertical="center" wrapText="1"/>
      <protection locked="0"/>
    </xf>
    <xf numFmtId="0" fontId="19" fillId="3" borderId="12" xfId="0" applyFont="1" applyFill="1" applyBorder="1" applyAlignment="1" applyProtection="1">
      <alignment horizontal="center" vertical="center" wrapText="1"/>
      <protection locked="0"/>
    </xf>
    <xf numFmtId="0" fontId="19" fillId="3" borderId="18" xfId="0" applyFont="1" applyFill="1" applyBorder="1" applyAlignment="1" applyProtection="1">
      <alignment horizontal="center" vertical="center" wrapText="1"/>
      <protection locked="0"/>
    </xf>
    <xf numFmtId="0" fontId="19" fillId="3" borderId="19" xfId="0" applyFont="1" applyFill="1" applyBorder="1" applyAlignment="1" applyProtection="1">
      <alignment horizontal="center" vertical="center" wrapText="1"/>
      <protection locked="0"/>
    </xf>
    <xf numFmtId="0" fontId="21" fillId="3" borderId="19" xfId="0" applyFont="1" applyFill="1" applyBorder="1" applyAlignment="1" applyProtection="1">
      <alignment horizontal="center" vertical="center" wrapText="1"/>
      <protection locked="0"/>
    </xf>
    <xf numFmtId="165" fontId="3" fillId="6" borderId="38" xfId="0" applyNumberFormat="1" applyFont="1" applyFill="1" applyBorder="1" applyAlignment="1" applyProtection="1">
      <alignment horizontal="center" vertical="center" wrapText="1"/>
      <protection locked="0"/>
    </xf>
    <xf numFmtId="165" fontId="3" fillId="6" borderId="52" xfId="0" applyNumberFormat="1" applyFont="1" applyFill="1" applyBorder="1" applyAlignment="1" applyProtection="1">
      <alignment horizontal="center" vertical="center" wrapText="1"/>
      <protection locked="0"/>
    </xf>
    <xf numFmtId="165" fontId="19" fillId="6" borderId="19" xfId="0" applyNumberFormat="1" applyFont="1" applyFill="1" applyBorder="1" applyAlignment="1" applyProtection="1">
      <alignment horizontal="center" vertical="center" wrapText="1"/>
      <protection locked="0"/>
    </xf>
    <xf numFmtId="168" fontId="3" fillId="6" borderId="53" xfId="0" applyNumberFormat="1" applyFont="1" applyFill="1" applyBorder="1" applyAlignment="1" applyProtection="1">
      <alignment horizontal="center" vertical="center" wrapText="1"/>
      <protection locked="0"/>
    </xf>
    <xf numFmtId="168" fontId="3" fillId="6" borderId="38" xfId="0" applyNumberFormat="1" applyFont="1" applyFill="1" applyBorder="1" applyAlignment="1" applyProtection="1">
      <alignment horizontal="center" vertical="center" wrapText="1"/>
      <protection locked="0"/>
    </xf>
    <xf numFmtId="0" fontId="70" fillId="3" borderId="1" xfId="0" applyFont="1" applyFill="1" applyBorder="1" applyAlignment="1" applyProtection="1">
      <alignment horizontal="center" vertical="center"/>
      <protection locked="0"/>
    </xf>
    <xf numFmtId="0" fontId="70" fillId="3" borderId="33" xfId="0" applyFont="1" applyFill="1" applyBorder="1" applyAlignment="1" applyProtection="1">
      <alignment horizontal="center" vertical="center"/>
      <protection locked="0"/>
    </xf>
    <xf numFmtId="0" fontId="21" fillId="3" borderId="1" xfId="0" applyFont="1" applyFill="1" applyBorder="1" applyAlignment="1" applyProtection="1">
      <alignment horizontal="center" vertical="center" wrapText="1"/>
      <protection locked="0"/>
    </xf>
    <xf numFmtId="0" fontId="21" fillId="3" borderId="2" xfId="0" applyFont="1" applyFill="1" applyBorder="1" applyAlignment="1" applyProtection="1">
      <alignment horizontal="center" vertical="center" wrapText="1"/>
      <protection locked="0"/>
    </xf>
    <xf numFmtId="0" fontId="21" fillId="3" borderId="3" xfId="0" applyFont="1" applyFill="1" applyBorder="1" applyAlignment="1" applyProtection="1">
      <alignment horizontal="center" vertical="center" wrapText="1"/>
      <protection locked="0"/>
    </xf>
    <xf numFmtId="165" fontId="19" fillId="6" borderId="1" xfId="0" applyNumberFormat="1" applyFont="1" applyFill="1" applyBorder="1" applyAlignment="1" applyProtection="1">
      <alignment horizontal="center" vertical="center" wrapText="1"/>
      <protection locked="0"/>
    </xf>
    <xf numFmtId="165" fontId="19" fillId="6" borderId="3" xfId="0" applyNumberFormat="1" applyFont="1" applyFill="1" applyBorder="1" applyAlignment="1" applyProtection="1">
      <alignment horizontal="center" vertical="center" wrapText="1"/>
      <protection locked="0"/>
    </xf>
    <xf numFmtId="0" fontId="19" fillId="3" borderId="1" xfId="0" applyFont="1" applyFill="1" applyBorder="1" applyAlignment="1" applyProtection="1">
      <alignment horizontal="center" vertical="center" wrapText="1"/>
      <protection locked="0"/>
    </xf>
    <xf numFmtId="0" fontId="19" fillId="3" borderId="3" xfId="0" applyFont="1" applyFill="1" applyBorder="1" applyAlignment="1" applyProtection="1">
      <alignment horizontal="center" vertical="center" wrapText="1"/>
      <protection locked="0"/>
    </xf>
    <xf numFmtId="0" fontId="19" fillId="3" borderId="32" xfId="0" applyFont="1" applyFill="1" applyBorder="1" applyAlignment="1" applyProtection="1">
      <alignment horizontal="center" vertical="center" wrapText="1"/>
      <protection locked="0"/>
    </xf>
    <xf numFmtId="0" fontId="35" fillId="0" borderId="57" xfId="0" applyFont="1" applyBorder="1" applyAlignment="1">
      <alignment horizontal="center" vertical="center" wrapText="1"/>
    </xf>
    <xf numFmtId="0" fontId="35" fillId="0" borderId="18" xfId="0" applyFont="1" applyBorder="1" applyAlignment="1">
      <alignment horizontal="center" vertical="center" wrapText="1"/>
    </xf>
    <xf numFmtId="0" fontId="71" fillId="0" borderId="13" xfId="0" applyFont="1" applyBorder="1" applyAlignment="1" applyProtection="1">
      <alignment horizontal="center" vertical="center" wrapText="1"/>
      <protection locked="0"/>
    </xf>
    <xf numFmtId="0" fontId="71" fillId="0" borderId="22" xfId="0" applyFont="1" applyBorder="1" applyAlignment="1" applyProtection="1">
      <alignment horizontal="center" vertical="center" wrapText="1"/>
      <protection locked="0"/>
    </xf>
    <xf numFmtId="0" fontId="35" fillId="0" borderId="21" xfId="0" applyFont="1" applyBorder="1" applyAlignment="1" applyProtection="1">
      <alignment horizontal="center" vertical="center" wrapText="1"/>
      <protection locked="0"/>
    </xf>
    <xf numFmtId="0" fontId="35" fillId="0" borderId="13" xfId="0" applyFont="1" applyBorder="1" applyAlignment="1" applyProtection="1">
      <alignment horizontal="center" vertical="center" wrapText="1"/>
      <protection locked="0"/>
    </xf>
    <xf numFmtId="0" fontId="17" fillId="0" borderId="13" xfId="0" applyFont="1" applyBorder="1" applyAlignment="1" applyProtection="1">
      <alignment horizontal="center" vertical="center" wrapText="1"/>
      <protection locked="0"/>
    </xf>
    <xf numFmtId="0" fontId="70" fillId="3" borderId="19" xfId="0" applyFont="1" applyFill="1" applyBorder="1" applyAlignment="1" applyProtection="1">
      <alignment horizontal="center" vertical="center" wrapText="1"/>
      <protection locked="0"/>
    </xf>
    <xf numFmtId="0" fontId="70" fillId="3" borderId="20" xfId="0" applyFont="1" applyFill="1" applyBorder="1" applyAlignment="1" applyProtection="1">
      <alignment horizontal="center" vertical="center" wrapText="1"/>
      <protection locked="0"/>
    </xf>
    <xf numFmtId="0" fontId="17" fillId="0" borderId="19" xfId="0" applyFont="1" applyBorder="1" applyAlignment="1" applyProtection="1">
      <alignment horizontal="center" vertical="center" wrapText="1"/>
      <protection locked="0"/>
    </xf>
    <xf numFmtId="49" fontId="19" fillId="0" borderId="0" xfId="0" applyNumberFormat="1" applyFont="1" applyAlignment="1">
      <alignment horizontal="left" wrapText="1"/>
    </xf>
    <xf numFmtId="0" fontId="3" fillId="0" borderId="58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165" fontId="19" fillId="6" borderId="14" xfId="0" applyNumberFormat="1" applyFont="1" applyFill="1" applyBorder="1" applyAlignment="1">
      <alignment horizontal="center" vertical="center"/>
    </xf>
    <xf numFmtId="165" fontId="19" fillId="6" borderId="48" xfId="0" applyNumberFormat="1" applyFont="1" applyFill="1" applyBorder="1" applyAlignment="1">
      <alignment horizontal="center" vertical="center"/>
    </xf>
    <xf numFmtId="0" fontId="3" fillId="0" borderId="44" xfId="0" applyFont="1" applyBorder="1" applyAlignment="1">
      <alignment horizontal="center" vertical="center"/>
    </xf>
    <xf numFmtId="0" fontId="3" fillId="0" borderId="59" xfId="0" applyFont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3" fillId="0" borderId="0" xfId="0" applyFont="1" applyAlignment="1">
      <alignment horizontal="right" vertical="center"/>
    </xf>
    <xf numFmtId="0" fontId="19" fillId="0" borderId="0" xfId="0" applyFont="1" applyAlignment="1">
      <alignment horizontal="right" vertical="center"/>
    </xf>
    <xf numFmtId="2" fontId="19" fillId="0" borderId="0" xfId="0" applyNumberFormat="1" applyFont="1" applyAlignment="1">
      <alignment horizontal="center"/>
    </xf>
    <xf numFmtId="49" fontId="3" fillId="0" borderId="0" xfId="0" applyNumberFormat="1" applyFont="1" applyAlignment="1">
      <alignment horizontal="left"/>
    </xf>
    <xf numFmtId="49" fontId="3" fillId="0" borderId="0" xfId="0" applyNumberFormat="1" applyFont="1" applyAlignment="1">
      <alignment horizontal="left" vertical="top" wrapText="1"/>
    </xf>
    <xf numFmtId="0" fontId="19" fillId="0" borderId="0" xfId="0" applyFont="1" applyAlignment="1" applyProtection="1">
      <alignment horizontal="center" vertical="center"/>
      <protection locked="0"/>
    </xf>
    <xf numFmtId="0" fontId="3" fillId="0" borderId="0" xfId="0" applyFont="1" applyAlignment="1">
      <alignment horizontal="left" vertical="center"/>
    </xf>
    <xf numFmtId="0" fontId="17" fillId="6" borderId="0" xfId="0" applyFont="1" applyFill="1" applyAlignment="1">
      <alignment horizontal="left" vertical="center"/>
    </xf>
    <xf numFmtId="0" fontId="17" fillId="3" borderId="0" xfId="0" applyFont="1" applyFill="1" applyAlignment="1">
      <alignment horizontal="left" vertical="center"/>
    </xf>
    <xf numFmtId="0" fontId="73" fillId="0" borderId="0" xfId="0" applyFont="1" applyAlignment="1">
      <alignment horizontal="left" vertical="center"/>
    </xf>
    <xf numFmtId="0" fontId="74" fillId="0" borderId="0" xfId="0" applyFont="1" applyAlignment="1">
      <alignment horizontal="left" vertical="center" wrapText="1"/>
    </xf>
    <xf numFmtId="49" fontId="73" fillId="0" borderId="0" xfId="0" applyNumberFormat="1" applyFont="1" applyAlignment="1">
      <alignment horizontal="left"/>
    </xf>
    <xf numFmtId="0" fontId="75" fillId="0" borderId="0" xfId="0" applyFont="1" applyAlignment="1">
      <alignment horizontal="left" vertical="center"/>
    </xf>
    <xf numFmtId="0" fontId="1" fillId="0" borderId="0" xfId="0" applyFont="1" applyAlignment="1">
      <alignment horizontal="center" vertical="center"/>
    </xf>
    <xf numFmtId="49" fontId="19" fillId="0" borderId="0" xfId="0" applyNumberFormat="1" applyFont="1" applyAlignment="1">
      <alignment horizontal="left" vertical="top" wrapText="1"/>
    </xf>
    <xf numFmtId="49" fontId="13" fillId="6" borderId="0" xfId="0" applyNumberFormat="1" applyFont="1" applyFill="1" applyAlignment="1">
      <alignment horizontal="center" vertical="center"/>
    </xf>
    <xf numFmtId="0" fontId="13" fillId="6" borderId="0" xfId="0" applyFont="1" applyFill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21" fillId="0" borderId="10" xfId="0" applyFont="1" applyBorder="1" applyAlignment="1" applyProtection="1">
      <alignment horizontal="center"/>
      <protection locked="0"/>
    </xf>
    <xf numFmtId="0" fontId="68" fillId="0" borderId="10" xfId="0" applyFont="1" applyBorder="1" applyAlignment="1" applyProtection="1">
      <alignment horizontal="center" wrapText="1"/>
      <protection locked="0"/>
    </xf>
    <xf numFmtId="0" fontId="19" fillId="0" borderId="10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52" fillId="2" borderId="0" xfId="0" applyFont="1" applyFill="1" applyAlignment="1">
      <alignment horizontal="center"/>
    </xf>
    <xf numFmtId="49" fontId="19" fillId="0" borderId="0" xfId="0" applyNumberFormat="1" applyFont="1" applyAlignment="1">
      <alignment horizontal="center"/>
    </xf>
    <xf numFmtId="0" fontId="19" fillId="0" borderId="0" xfId="0" applyFont="1"/>
    <xf numFmtId="0" fontId="20" fillId="0" borderId="0" xfId="0" applyFont="1" applyAlignment="1">
      <alignment horizontal="center"/>
    </xf>
    <xf numFmtId="164" fontId="19" fillId="0" borderId="0" xfId="0" applyNumberFormat="1" applyFont="1" applyAlignment="1">
      <alignment horizontal="center"/>
    </xf>
    <xf numFmtId="0" fontId="26" fillId="0" borderId="6" xfId="0" applyFont="1" applyBorder="1" applyAlignment="1">
      <alignment horizontal="center" vertical="top"/>
    </xf>
    <xf numFmtId="0" fontId="3" fillId="0" borderId="53" xfId="0" applyFont="1" applyBorder="1" applyAlignment="1">
      <alignment horizontal="center"/>
    </xf>
    <xf numFmtId="0" fontId="3" fillId="0" borderId="38" xfId="0" applyFont="1" applyBorder="1" applyAlignment="1">
      <alignment horizontal="center"/>
    </xf>
    <xf numFmtId="0" fontId="3" fillId="0" borderId="52" xfId="0" applyFont="1" applyBorder="1" applyAlignment="1">
      <alignment horizontal="center"/>
    </xf>
    <xf numFmtId="164" fontId="24" fillId="0" borderId="27" xfId="0" applyNumberFormat="1" applyFont="1" applyBorder="1" applyAlignment="1">
      <alignment horizontal="center"/>
    </xf>
    <xf numFmtId="164" fontId="24" fillId="0" borderId="15" xfId="0" applyNumberFormat="1" applyFont="1" applyBorder="1" applyAlignment="1">
      <alignment horizontal="center"/>
    </xf>
    <xf numFmtId="166" fontId="44" fillId="0" borderId="25" xfId="0" applyNumberFormat="1" applyFont="1" applyBorder="1" applyAlignment="1">
      <alignment horizontal="center"/>
    </xf>
    <xf numFmtId="166" fontId="44" fillId="0" borderId="24" xfId="0" applyNumberFormat="1" applyFont="1" applyBorder="1" applyAlignment="1">
      <alignment horizontal="center"/>
    </xf>
    <xf numFmtId="166" fontId="48" fillId="0" borderId="25" xfId="0" applyNumberFormat="1" applyFont="1" applyBorder="1" applyAlignment="1">
      <alignment horizontal="center"/>
    </xf>
    <xf numFmtId="166" fontId="48" fillId="0" borderId="24" xfId="0" applyNumberFormat="1" applyFont="1" applyBorder="1" applyAlignment="1">
      <alignment horizontal="center"/>
    </xf>
    <xf numFmtId="0" fontId="19" fillId="3" borderId="0" xfId="0" applyFont="1" applyFill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21" fillId="8" borderId="0" xfId="0" applyFont="1" applyFill="1" applyAlignment="1">
      <alignment horizontal="center"/>
    </xf>
    <xf numFmtId="49" fontId="19" fillId="0" borderId="0" xfId="0" applyNumberFormat="1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 wrapText="1"/>
    </xf>
    <xf numFmtId="0" fontId="0" fillId="8" borderId="0" xfId="0" applyFill="1" applyAlignment="1">
      <alignment horizontal="center"/>
    </xf>
    <xf numFmtId="0" fontId="0" fillId="8" borderId="25" xfId="0" applyFill="1" applyBorder="1" applyAlignment="1">
      <alignment horizontal="center"/>
    </xf>
    <xf numFmtId="0" fontId="0" fillId="0" borderId="27" xfId="0" applyBorder="1" applyAlignment="1">
      <alignment horizontal="center"/>
    </xf>
    <xf numFmtId="0" fontId="19" fillId="0" borderId="0" xfId="0" applyFont="1" applyAlignment="1">
      <alignment horizontal="left" vertical="center" wrapText="1"/>
    </xf>
    <xf numFmtId="0" fontId="19" fillId="3" borderId="9" xfId="0" applyFont="1" applyFill="1" applyBorder="1" applyAlignment="1">
      <alignment horizontal="center"/>
    </xf>
    <xf numFmtId="0" fontId="19" fillId="3" borderId="10" xfId="0" applyFont="1" applyFill="1" applyBorder="1" applyAlignment="1">
      <alignment horizontal="center"/>
    </xf>
    <xf numFmtId="0" fontId="19" fillId="3" borderId="11" xfId="0" applyFont="1" applyFill="1" applyBorder="1" applyAlignment="1">
      <alignment horizontal="center"/>
    </xf>
    <xf numFmtId="0" fontId="19" fillId="3" borderId="4" xfId="0" applyFont="1" applyFill="1" applyBorder="1" applyAlignment="1">
      <alignment horizontal="center" vertical="center"/>
    </xf>
    <xf numFmtId="0" fontId="19" fillId="3" borderId="10" xfId="0" applyFont="1" applyFill="1" applyBorder="1" applyAlignment="1">
      <alignment horizontal="center" vertical="center"/>
    </xf>
    <xf numFmtId="0" fontId="19" fillId="3" borderId="1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36" fillId="3" borderId="5" xfId="0" applyFont="1" applyFill="1" applyBorder="1" applyAlignment="1">
      <alignment horizontal="center" vertical="center"/>
    </xf>
    <xf numFmtId="0" fontId="36" fillId="3" borderId="7" xfId="0" applyFont="1" applyFill="1" applyBorder="1" applyAlignment="1">
      <alignment horizontal="center" vertical="center"/>
    </xf>
    <xf numFmtId="0" fontId="36" fillId="3" borderId="9" xfId="0" applyFont="1" applyFill="1" applyBorder="1" applyAlignment="1">
      <alignment horizontal="center" vertical="center"/>
    </xf>
    <xf numFmtId="0" fontId="36" fillId="3" borderId="11" xfId="0" applyFont="1" applyFill="1" applyBorder="1" applyAlignment="1">
      <alignment horizontal="center" vertical="center"/>
    </xf>
    <xf numFmtId="0" fontId="19" fillId="3" borderId="6" xfId="0" applyFont="1" applyFill="1" applyBorder="1" applyAlignment="1">
      <alignment horizontal="center"/>
    </xf>
    <xf numFmtId="0" fontId="19" fillId="3" borderId="7" xfId="0" applyFont="1" applyFill="1" applyBorder="1" applyAlignment="1">
      <alignment horizontal="center"/>
    </xf>
    <xf numFmtId="0" fontId="39" fillId="3" borderId="4" xfId="0" applyFont="1" applyFill="1" applyBorder="1" applyAlignment="1">
      <alignment horizontal="center" vertical="center"/>
    </xf>
    <xf numFmtId="0" fontId="39" fillId="3" borderId="0" xfId="0" applyFont="1" applyFill="1" applyAlignment="1">
      <alignment horizontal="center" vertical="center"/>
    </xf>
    <xf numFmtId="0" fontId="39" fillId="3" borderId="8" xfId="0" applyFont="1" applyFill="1" applyBorder="1" applyAlignment="1">
      <alignment horizontal="center" vertical="center"/>
    </xf>
    <xf numFmtId="0" fontId="19" fillId="3" borderId="4" xfId="0" applyFont="1" applyFill="1" applyBorder="1" applyAlignment="1">
      <alignment horizontal="center"/>
    </xf>
    <xf numFmtId="0" fontId="19" fillId="3" borderId="0" xfId="0" applyFont="1" applyFill="1" applyAlignment="1">
      <alignment horizontal="center"/>
    </xf>
    <xf numFmtId="0" fontId="19" fillId="3" borderId="8" xfId="0" applyFont="1" applyFill="1" applyBorder="1" applyAlignment="1">
      <alignment horizontal="center"/>
    </xf>
    <xf numFmtId="0" fontId="19" fillId="3" borderId="0" xfId="0" applyFont="1" applyFill="1" applyAlignment="1">
      <alignment horizontal="center" vertical="center"/>
    </xf>
    <xf numFmtId="0" fontId="19" fillId="3" borderId="8" xfId="0" applyFont="1" applyFill="1" applyBorder="1" applyAlignment="1">
      <alignment horizontal="center" vertical="center"/>
    </xf>
    <xf numFmtId="0" fontId="0" fillId="3" borderId="6" xfId="0" applyFill="1" applyBorder="1" applyAlignment="1">
      <alignment horizontal="left"/>
    </xf>
    <xf numFmtId="0" fontId="0" fillId="3" borderId="7" xfId="0" applyFill="1" applyBorder="1" applyAlignment="1">
      <alignment horizontal="left"/>
    </xf>
    <xf numFmtId="0" fontId="0" fillId="3" borderId="5" xfId="0" applyFill="1" applyBorder="1" applyAlignment="1">
      <alignment horizontal="left"/>
    </xf>
    <xf numFmtId="0" fontId="0" fillId="3" borderId="4" xfId="0" applyFill="1" applyBorder="1" applyAlignment="1">
      <alignment horizontal="left"/>
    </xf>
    <xf numFmtId="0" fontId="0" fillId="3" borderId="0" xfId="0" applyFill="1" applyAlignment="1">
      <alignment horizontal="left"/>
    </xf>
    <xf numFmtId="0" fontId="0" fillId="3" borderId="8" xfId="0" applyFill="1" applyBorder="1" applyAlignment="1">
      <alignment horizontal="left"/>
    </xf>
    <xf numFmtId="0" fontId="37" fillId="3" borderId="13" xfId="0" applyFont="1" applyFill="1" applyBorder="1" applyAlignment="1">
      <alignment horizontal="center" vertical="center"/>
    </xf>
    <xf numFmtId="0" fontId="37" fillId="3" borderId="12" xfId="0" applyFont="1" applyFill="1" applyBorder="1" applyAlignment="1">
      <alignment horizontal="center" vertical="center"/>
    </xf>
    <xf numFmtId="0" fontId="0" fillId="3" borderId="10" xfId="0" applyFill="1" applyBorder="1" applyAlignment="1">
      <alignment horizontal="center"/>
    </xf>
    <xf numFmtId="0" fontId="23" fillId="3" borderId="6" xfId="0" applyFont="1" applyFill="1" applyBorder="1" applyAlignment="1">
      <alignment horizontal="center" vertical="center" wrapText="1"/>
    </xf>
    <xf numFmtId="0" fontId="23" fillId="3" borderId="7" xfId="0" applyFont="1" applyFill="1" applyBorder="1" applyAlignment="1">
      <alignment horizontal="center" vertical="center" wrapText="1"/>
    </xf>
    <xf numFmtId="0" fontId="23" fillId="3" borderId="10" xfId="0" applyFont="1" applyFill="1" applyBorder="1" applyAlignment="1">
      <alignment horizontal="center" vertical="center" wrapText="1"/>
    </xf>
    <xf numFmtId="0" fontId="23" fillId="3" borderId="11" xfId="0" applyFont="1" applyFill="1" applyBorder="1" applyAlignment="1">
      <alignment horizontal="center" vertical="center" wrapText="1"/>
    </xf>
    <xf numFmtId="0" fontId="0" fillId="3" borderId="4" xfId="0" applyFill="1" applyBorder="1" applyAlignment="1">
      <alignment horizontal="left" vertical="top"/>
    </xf>
    <xf numFmtId="0" fontId="0" fillId="3" borderId="0" xfId="0" applyFill="1" applyAlignment="1">
      <alignment horizontal="left" vertical="top"/>
    </xf>
    <xf numFmtId="0" fontId="0" fillId="3" borderId="0" xfId="0" applyFill="1" applyAlignment="1">
      <alignment horizontal="left" vertical="top" wrapText="1"/>
    </xf>
    <xf numFmtId="0" fontId="0" fillId="3" borderId="8" xfId="0" applyFill="1" applyBorder="1" applyAlignment="1">
      <alignment horizontal="left" vertical="top" wrapText="1"/>
    </xf>
    <xf numFmtId="0" fontId="0" fillId="3" borderId="6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49" fontId="0" fillId="3" borderId="0" xfId="0" applyNumberFormat="1" applyFill="1" applyAlignment="1">
      <alignment horizontal="center"/>
    </xf>
    <xf numFmtId="49" fontId="0" fillId="3" borderId="8" xfId="0" applyNumberFormat="1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0" xfId="0" applyFill="1" applyAlignment="1">
      <alignment horizontal="center"/>
    </xf>
    <xf numFmtId="0" fontId="0" fillId="3" borderId="8" xfId="0" applyFill="1" applyBorder="1" applyAlignment="1">
      <alignment horizontal="center"/>
    </xf>
    <xf numFmtId="0" fontId="4" fillId="0" borderId="5" xfId="0" applyFont="1" applyBorder="1" applyAlignment="1">
      <alignment horizontal="left" vertical="center"/>
    </xf>
    <xf numFmtId="0" fontId="4" fillId="0" borderId="7" xfId="0" applyFont="1" applyBorder="1" applyAlignment="1">
      <alignment horizontal="left" vertical="center"/>
    </xf>
    <xf numFmtId="0" fontId="4" fillId="0" borderId="5" xfId="0" quotePrefix="1" applyFont="1" applyBorder="1" applyAlignment="1" applyProtection="1">
      <alignment horizontal="center" vertical="center"/>
      <protection locked="0"/>
    </xf>
    <xf numFmtId="0" fontId="4" fillId="0" borderId="7" xfId="0" quotePrefix="1" applyFont="1" applyBorder="1" applyAlignment="1" applyProtection="1">
      <alignment horizontal="center" vertical="center"/>
      <protection locked="0"/>
    </xf>
    <xf numFmtId="0" fontId="4" fillId="0" borderId="1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 wrapText="1"/>
    </xf>
    <xf numFmtId="0" fontId="4" fillId="0" borderId="1" xfId="0" applyFont="1" applyBorder="1" applyAlignment="1" applyProtection="1">
      <alignment horizontal="center"/>
      <protection locked="0"/>
    </xf>
    <xf numFmtId="0" fontId="4" fillId="0" borderId="3" xfId="0" applyFont="1" applyBorder="1" applyAlignment="1" applyProtection="1">
      <alignment horizontal="center"/>
      <protection locked="0"/>
    </xf>
    <xf numFmtId="0" fontId="4" fillId="0" borderId="12" xfId="0" applyFont="1" applyBorder="1" applyAlignment="1">
      <alignment horizontal="left"/>
    </xf>
    <xf numFmtId="0" fontId="4" fillId="0" borderId="1" xfId="0" quotePrefix="1" applyFont="1" applyBorder="1" applyAlignment="1" applyProtection="1">
      <alignment horizontal="center" vertical="center"/>
      <protection locked="0"/>
    </xf>
    <xf numFmtId="0" fontId="4" fillId="0" borderId="3" xfId="0" quotePrefix="1" applyFont="1" applyBorder="1" applyAlignment="1" applyProtection="1">
      <alignment horizontal="center" vertical="center"/>
      <protection locked="0"/>
    </xf>
    <xf numFmtId="0" fontId="4" fillId="0" borderId="1" xfId="0" quotePrefix="1" applyFont="1" applyBorder="1" applyAlignment="1" applyProtection="1">
      <alignment horizontal="center"/>
      <protection locked="0"/>
    </xf>
    <xf numFmtId="2" fontId="4" fillId="0" borderId="1" xfId="0" applyNumberFormat="1" applyFont="1" applyBorder="1" applyAlignment="1" applyProtection="1">
      <alignment horizontal="center"/>
      <protection locked="0"/>
    </xf>
    <xf numFmtId="2" fontId="4" fillId="0" borderId="3" xfId="0" applyNumberFormat="1" applyFont="1" applyBorder="1" applyAlignment="1" applyProtection="1">
      <alignment horizontal="center"/>
      <protection locked="0"/>
    </xf>
    <xf numFmtId="10" fontId="4" fillId="0" borderId="1" xfId="0" applyNumberFormat="1" applyFont="1" applyBorder="1" applyAlignment="1" applyProtection="1">
      <alignment horizontal="center"/>
      <protection locked="0"/>
    </xf>
    <xf numFmtId="10" fontId="4" fillId="0" borderId="3" xfId="0" applyNumberFormat="1" applyFont="1" applyBorder="1" applyAlignment="1" applyProtection="1">
      <alignment horizontal="center"/>
      <protection locked="0"/>
    </xf>
    <xf numFmtId="0" fontId="38" fillId="0" borderId="1" xfId="0" applyFont="1" applyBorder="1" applyAlignment="1">
      <alignment horizontal="center" vertical="center"/>
    </xf>
    <xf numFmtId="0" fontId="38" fillId="0" borderId="2" xfId="0" applyFont="1" applyBorder="1" applyAlignment="1">
      <alignment horizontal="center" vertical="center"/>
    </xf>
    <xf numFmtId="0" fontId="38" fillId="0" borderId="3" xfId="0" applyFont="1" applyBorder="1" applyAlignment="1">
      <alignment horizontal="center" vertical="center"/>
    </xf>
    <xf numFmtId="0" fontId="5" fillId="0" borderId="1" xfId="0" applyFont="1" applyBorder="1" applyAlignment="1">
      <alignment horizontal="left" vertical="center"/>
    </xf>
    <xf numFmtId="0" fontId="5" fillId="0" borderId="3" xfId="0" applyFont="1" applyBorder="1" applyAlignment="1">
      <alignment horizontal="left" vertical="center"/>
    </xf>
    <xf numFmtId="0" fontId="4" fillId="0" borderId="1" xfId="0" applyFont="1" applyBorder="1" applyAlignment="1">
      <alignment horizontal="left"/>
    </xf>
    <xf numFmtId="0" fontId="4" fillId="0" borderId="3" xfId="0" applyFont="1" applyBorder="1" applyAlignment="1">
      <alignment horizontal="left"/>
    </xf>
    <xf numFmtId="0" fontId="38" fillId="0" borderId="5" xfId="0" applyFont="1" applyBorder="1" applyAlignment="1">
      <alignment horizontal="center" vertical="center"/>
    </xf>
    <xf numFmtId="0" fontId="38" fillId="0" borderId="7" xfId="0" applyFont="1" applyBorder="1" applyAlignment="1">
      <alignment horizontal="center" vertical="center"/>
    </xf>
    <xf numFmtId="0" fontId="38" fillId="0" borderId="9" xfId="0" applyFont="1" applyBorder="1" applyAlignment="1">
      <alignment horizontal="center" vertical="center"/>
    </xf>
    <xf numFmtId="0" fontId="38" fillId="0" borderId="11" xfId="0" applyFont="1" applyBorder="1" applyAlignment="1">
      <alignment horizontal="center" vertical="center"/>
    </xf>
    <xf numFmtId="0" fontId="38" fillId="0" borderId="14" xfId="0" applyFont="1" applyBorder="1" applyAlignment="1">
      <alignment horizontal="center" vertical="center"/>
    </xf>
    <xf numFmtId="0" fontId="38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38" fillId="0" borderId="5" xfId="0" applyFont="1" applyBorder="1" applyAlignment="1">
      <alignment horizontal="center" vertical="center" wrapText="1"/>
    </xf>
    <xf numFmtId="0" fontId="38" fillId="0" borderId="7" xfId="0" applyFont="1" applyBorder="1" applyAlignment="1">
      <alignment horizontal="center" vertical="center" wrapText="1"/>
    </xf>
    <xf numFmtId="0" fontId="38" fillId="0" borderId="4" xfId="0" applyFont="1" applyBorder="1" applyAlignment="1">
      <alignment horizontal="center" vertical="center" wrapText="1"/>
    </xf>
    <xf numFmtId="0" fontId="38" fillId="0" borderId="8" xfId="0" applyFont="1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7" fillId="6" borderId="26" xfId="0" applyFont="1" applyFill="1" applyBorder="1" applyAlignment="1">
      <alignment horizontal="center"/>
    </xf>
    <xf numFmtId="0" fontId="7" fillId="6" borderId="27" xfId="0" applyFont="1" applyFill="1" applyBorder="1" applyAlignment="1">
      <alignment horizontal="center"/>
    </xf>
    <xf numFmtId="0" fontId="7" fillId="6" borderId="15" xfId="0" applyFont="1" applyFill="1" applyBorder="1" applyAlignment="1">
      <alignment horizontal="center"/>
    </xf>
    <xf numFmtId="0" fontId="7" fillId="6" borderId="28" xfId="0" applyFont="1" applyFill="1" applyBorder="1" applyAlignment="1">
      <alignment horizontal="center"/>
    </xf>
    <xf numFmtId="0" fontId="7" fillId="6" borderId="0" xfId="0" applyFont="1" applyFill="1" applyAlignment="1">
      <alignment horizontal="center"/>
    </xf>
    <xf numFmtId="0" fontId="7" fillId="6" borderId="29" xfId="0" applyFont="1" applyFill="1" applyBorder="1" applyAlignment="1">
      <alignment horizontal="center"/>
    </xf>
    <xf numFmtId="0" fontId="16" fillId="6" borderId="28" xfId="0" applyFont="1" applyFill="1" applyBorder="1" applyAlignment="1">
      <alignment horizontal="center"/>
    </xf>
    <xf numFmtId="0" fontId="16" fillId="6" borderId="0" xfId="0" applyFont="1" applyFill="1" applyAlignment="1">
      <alignment horizontal="center"/>
    </xf>
    <xf numFmtId="0" fontId="16" fillId="6" borderId="29" xfId="0" applyFont="1" applyFill="1" applyBorder="1" applyAlignment="1">
      <alignment horizontal="center"/>
    </xf>
    <xf numFmtId="0" fontId="0" fillId="6" borderId="30" xfId="0" applyFill="1" applyBorder="1"/>
    <xf numFmtId="0" fontId="0" fillId="6" borderId="25" xfId="0" applyFill="1" applyBorder="1"/>
    <xf numFmtId="0" fontId="0" fillId="6" borderId="24" xfId="0" applyFill="1" applyBorder="1"/>
    <xf numFmtId="0" fontId="2" fillId="6" borderId="1" xfId="0" applyFont="1" applyFill="1" applyBorder="1" applyAlignment="1">
      <alignment horizontal="left"/>
    </xf>
    <xf numFmtId="0" fontId="2" fillId="6" borderId="2" xfId="0" applyFont="1" applyFill="1" applyBorder="1" applyAlignment="1">
      <alignment horizontal="left"/>
    </xf>
    <xf numFmtId="0" fontId="2" fillId="6" borderId="3" xfId="0" applyFont="1" applyFill="1" applyBorder="1" applyAlignment="1">
      <alignment horizontal="left"/>
    </xf>
    <xf numFmtId="49" fontId="0" fillId="6" borderId="5" xfId="0" applyNumberFormat="1" applyFill="1" applyBorder="1" applyAlignment="1" applyProtection="1">
      <alignment horizontal="center" vertical="center" wrapText="1"/>
      <protection locked="0"/>
    </xf>
    <xf numFmtId="0" fontId="0" fillId="6" borderId="6" xfId="0" applyFill="1" applyBorder="1" applyAlignment="1" applyProtection="1">
      <alignment horizontal="center" vertical="center" wrapText="1"/>
      <protection locked="0"/>
    </xf>
    <xf numFmtId="0" fontId="0" fillId="6" borderId="7" xfId="0" applyFill="1" applyBorder="1" applyAlignment="1" applyProtection="1">
      <alignment horizontal="center" vertical="center" wrapText="1"/>
      <protection locked="0"/>
    </xf>
    <xf numFmtId="0" fontId="0" fillId="6" borderId="9" xfId="0" applyFill="1" applyBorder="1" applyAlignment="1" applyProtection="1">
      <alignment horizontal="center" vertical="center" wrapText="1"/>
      <protection locked="0"/>
    </xf>
    <xf numFmtId="0" fontId="0" fillId="6" borderId="10" xfId="0" applyFill="1" applyBorder="1" applyAlignment="1" applyProtection="1">
      <alignment horizontal="center" vertical="center" wrapText="1"/>
      <protection locked="0"/>
    </xf>
    <xf numFmtId="0" fontId="0" fillId="6" borderId="11" xfId="0" applyFill="1" applyBorder="1" applyAlignment="1" applyProtection="1">
      <alignment horizontal="center" vertical="center" wrapText="1"/>
      <protection locked="0"/>
    </xf>
    <xf numFmtId="0" fontId="5" fillId="0" borderId="5" xfId="0" applyFont="1" applyBorder="1"/>
    <xf numFmtId="0" fontId="5" fillId="0" borderId="6" xfId="0" applyFont="1" applyBorder="1"/>
    <xf numFmtId="0" fontId="5" fillId="0" borderId="4" xfId="0" applyFont="1" applyBorder="1" applyAlignment="1">
      <alignment horizontal="right"/>
    </xf>
    <xf numFmtId="0" fontId="5" fillId="0" borderId="1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3" fillId="6" borderId="1" xfId="0" applyFont="1" applyFill="1" applyBorder="1" applyAlignment="1">
      <alignment horizontal="left"/>
    </xf>
    <xf numFmtId="0" fontId="3" fillId="6" borderId="2" xfId="0" applyFont="1" applyFill="1" applyBorder="1" applyAlignment="1">
      <alignment horizontal="left"/>
    </xf>
    <xf numFmtId="0" fontId="3" fillId="6" borderId="3" xfId="0" applyFont="1" applyFill="1" applyBorder="1" applyAlignment="1">
      <alignment horizontal="left"/>
    </xf>
    <xf numFmtId="0" fontId="2" fillId="0" borderId="4" xfId="0" applyFont="1" applyBorder="1"/>
    <xf numFmtId="0" fontId="4" fillId="0" borderId="4" xfId="0" applyFont="1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4" xfId="0" applyBorder="1" applyAlignment="1">
      <alignment horizontal="left"/>
    </xf>
    <xf numFmtId="0" fontId="0" fillId="6" borderId="1" xfId="0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0" fontId="0" fillId="9" borderId="2" xfId="0" applyFill="1" applyBorder="1" applyAlignment="1">
      <alignment horizontal="center"/>
    </xf>
    <xf numFmtId="0" fontId="0" fillId="9" borderId="3" xfId="0" applyFill="1" applyBorder="1" applyAlignment="1">
      <alignment horizontal="center"/>
    </xf>
    <xf numFmtId="0" fontId="88" fillId="6" borderId="0" xfId="0" applyFont="1" applyFill="1" applyAlignment="1">
      <alignment horizontal="center" vertical="center"/>
    </xf>
    <xf numFmtId="0" fontId="88" fillId="0" borderId="0" xfId="0" applyFont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19" fillId="0" borderId="3" xfId="0" applyFont="1" applyBorder="1" applyAlignment="1" applyProtection="1">
      <alignment horizontal="left"/>
      <protection locked="0"/>
    </xf>
    <xf numFmtId="0" fontId="87" fillId="0" borderId="6" xfId="0" applyFont="1" applyBorder="1" applyAlignment="1">
      <alignment horizontal="right"/>
    </xf>
    <xf numFmtId="2" fontId="87" fillId="0" borderId="6" xfId="0" applyNumberFormat="1" applyFont="1" applyBorder="1"/>
    <xf numFmtId="2" fontId="87" fillId="11" borderId="6" xfId="0" applyNumberFormat="1" applyFont="1" applyFill="1" applyBorder="1"/>
    <xf numFmtId="0" fontId="91" fillId="0" borderId="2" xfId="0" applyFont="1" applyBorder="1" applyAlignment="1" applyProtection="1">
      <alignment horizontal="left"/>
      <protection locked="0"/>
    </xf>
    <xf numFmtId="0" fontId="92" fillId="0" borderId="1" xfId="0" applyFont="1" applyBorder="1" applyAlignment="1">
      <alignment horizontal="left"/>
    </xf>
    <xf numFmtId="0" fontId="92" fillId="0" borderId="2" xfId="0" applyFont="1" applyBorder="1" applyAlignment="1">
      <alignment horizontal="left"/>
    </xf>
    <xf numFmtId="0" fontId="92" fillId="0" borderId="3" xfId="0" applyFont="1" applyBorder="1" applyAlignment="1">
      <alignment horizontal="left"/>
    </xf>
    <xf numFmtId="0" fontId="87" fillId="6" borderId="2" xfId="0" applyFont="1" applyFill="1" applyBorder="1" applyAlignment="1">
      <alignment horizontal="center"/>
    </xf>
    <xf numFmtId="2" fontId="93" fillId="0" borderId="2" xfId="0" applyNumberFormat="1" applyFont="1" applyBorder="1" applyAlignment="1">
      <alignment horizontal="center"/>
    </xf>
    <xf numFmtId="0" fontId="93" fillId="0" borderId="2" xfId="0" applyFont="1" applyBorder="1" applyAlignment="1">
      <alignment horizontal="center"/>
    </xf>
    <xf numFmtId="0" fontId="0" fillId="0" borderId="2" xfId="0" applyBorder="1" applyAlignment="1" applyProtection="1">
      <alignment horizontal="left"/>
      <protection locked="0"/>
    </xf>
    <xf numFmtId="0" fontId="0" fillId="2" borderId="1" xfId="0" applyFill="1" applyBorder="1" applyAlignment="1" applyProtection="1">
      <alignment horizontal="center"/>
      <protection locked="0"/>
    </xf>
    <xf numFmtId="0" fontId="0" fillId="2" borderId="2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14" fontId="0" fillId="2" borderId="1" xfId="0" applyNumberFormat="1" applyFill="1" applyBorder="1" applyAlignment="1" applyProtection="1">
      <alignment horizontal="center"/>
      <protection locked="0"/>
    </xf>
    <xf numFmtId="0" fontId="0" fillId="0" borderId="10" xfId="0" applyBorder="1" applyAlignment="1">
      <alignment vertical="center"/>
    </xf>
    <xf numFmtId="0" fontId="2" fillId="0" borderId="6" xfId="0" applyFont="1" applyBorder="1" applyAlignment="1">
      <alignment vertical="center"/>
    </xf>
    <xf numFmtId="0" fontId="2" fillId="0" borderId="10" xfId="0" applyFont="1" applyBorder="1" applyAlignment="1">
      <alignment vertical="center"/>
    </xf>
    <xf numFmtId="0" fontId="2" fillId="0" borderId="10" xfId="0" applyFont="1" applyBorder="1"/>
    <xf numFmtId="0" fontId="94" fillId="2" borderId="0" xfId="0" applyFont="1" applyFill="1" applyAlignment="1">
      <alignment horizontal="center"/>
    </xf>
    <xf numFmtId="0" fontId="95" fillId="2" borderId="0" xfId="0" applyFont="1" applyFill="1" applyAlignment="1">
      <alignment horizontal="center"/>
    </xf>
    <xf numFmtId="0" fontId="95" fillId="0" borderId="12" xfId="0" applyFont="1" applyBorder="1" applyAlignment="1">
      <alignment horizontal="center" vertical="center"/>
    </xf>
    <xf numFmtId="0" fontId="96" fillId="0" borderId="12" xfId="0" applyFont="1" applyBorder="1" applyAlignment="1">
      <alignment horizontal="center" vertical="center"/>
    </xf>
    <xf numFmtId="0" fontId="95" fillId="0" borderId="1" xfId="0" applyFont="1" applyBorder="1" applyAlignment="1">
      <alignment horizontal="center" vertical="center"/>
    </xf>
    <xf numFmtId="0" fontId="95" fillId="0" borderId="2" xfId="0" applyFont="1" applyBorder="1" applyAlignment="1">
      <alignment horizontal="center" vertical="center"/>
    </xf>
    <xf numFmtId="0" fontId="95" fillId="0" borderId="3" xfId="0" applyFont="1" applyBorder="1" applyAlignment="1">
      <alignment horizontal="center" vertical="center"/>
    </xf>
    <xf numFmtId="0" fontId="0" fillId="0" borderId="0" xfId="0" applyBorder="1"/>
    <xf numFmtId="0" fontId="0" fillId="0" borderId="0" xfId="0" applyBorder="1" applyAlignment="1">
      <alignment horizontal="center"/>
    </xf>
    <xf numFmtId="0" fontId="0" fillId="0" borderId="0" xfId="0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0" xfId="0" applyBorder="1" applyProtection="1">
      <protection locked="0"/>
    </xf>
    <xf numFmtId="0" fontId="2" fillId="0" borderId="0" xfId="0" applyFont="1" applyBorder="1" applyAlignment="1">
      <alignment horizontal="left"/>
    </xf>
    <xf numFmtId="0" fontId="0" fillId="0" borderId="0" xfId="0" applyBorder="1" applyAlignment="1">
      <alignment horizontal="left" vertical="center"/>
    </xf>
    <xf numFmtId="0" fontId="2" fillId="0" borderId="0" xfId="0" applyFont="1" applyBorder="1" applyAlignment="1">
      <alignment vertical="center"/>
    </xf>
    <xf numFmtId="0" fontId="2" fillId="0" borderId="0" xfId="0" applyFont="1" applyBorder="1"/>
    <xf numFmtId="0" fontId="0" fillId="0" borderId="0" xfId="0" applyBorder="1" applyAlignment="1">
      <alignment vertical="center"/>
    </xf>
    <xf numFmtId="0" fontId="19" fillId="0" borderId="0" xfId="0" applyFont="1" applyBorder="1"/>
    <xf numFmtId="0" fontId="4" fillId="0" borderId="0" xfId="0" applyFont="1" applyBorder="1"/>
    <xf numFmtId="0" fontId="4" fillId="0" borderId="0" xfId="0" applyFont="1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center"/>
    </xf>
    <xf numFmtId="0" fontId="5" fillId="0" borderId="0" xfId="0" applyFont="1" applyBorder="1"/>
    <xf numFmtId="0" fontId="5" fillId="0" borderId="0" xfId="0" applyFont="1" applyBorder="1" applyAlignment="1">
      <alignment horizontal="left"/>
    </xf>
    <xf numFmtId="0" fontId="5" fillId="0" borderId="0" xfId="0" applyFont="1" applyBorder="1" applyAlignment="1">
      <alignment horizontal="right"/>
    </xf>
    <xf numFmtId="0" fontId="4" fillId="0" borderId="0" xfId="0" applyFont="1" applyBorder="1" applyAlignment="1">
      <alignment horizontal="left"/>
    </xf>
    <xf numFmtId="0" fontId="2" fillId="0" borderId="0" xfId="0" applyFont="1" applyBorder="1" applyAlignment="1">
      <alignment horizontal="left"/>
    </xf>
    <xf numFmtId="0" fontId="0" fillId="6" borderId="1" xfId="0" applyFill="1" applyBorder="1"/>
    <xf numFmtId="0" fontId="0" fillId="6" borderId="2" xfId="0" applyFill="1" applyBorder="1"/>
    <xf numFmtId="0" fontId="0" fillId="6" borderId="3" xfId="0" applyFill="1" applyBorder="1"/>
    <xf numFmtId="0" fontId="2" fillId="6" borderId="2" xfId="0" applyFont="1" applyFill="1" applyBorder="1" applyAlignment="1"/>
    <xf numFmtId="0" fontId="0" fillId="0" borderId="1" xfId="0" applyFill="1" applyBorder="1"/>
    <xf numFmtId="0" fontId="90" fillId="0" borderId="3" xfId="0" applyFont="1" applyFill="1" applyBorder="1" applyAlignment="1" applyProtection="1">
      <alignment horizontal="left"/>
      <protection locked="0"/>
    </xf>
    <xf numFmtId="0" fontId="89" fillId="0" borderId="12" xfId="0" applyFont="1" applyFill="1" applyBorder="1" applyAlignment="1" applyProtection="1">
      <alignment horizontal="left"/>
      <protection locked="0"/>
    </xf>
    <xf numFmtId="0" fontId="89" fillId="0" borderId="1" xfId="0" applyFont="1" applyFill="1" applyBorder="1" applyAlignment="1" applyProtection="1">
      <alignment horizontal="left"/>
      <protection locked="0"/>
    </xf>
    <xf numFmtId="0" fontId="0" fillId="0" borderId="3" xfId="0" applyFill="1" applyBorder="1"/>
    <xf numFmtId="0" fontId="48" fillId="0" borderId="2" xfId="0" applyFont="1" applyFill="1" applyBorder="1" applyAlignment="1" applyProtection="1">
      <alignment horizontal="left"/>
      <protection locked="0"/>
    </xf>
    <xf numFmtId="0" fontId="26" fillId="0" borderId="2" xfId="0" applyFont="1" applyFill="1" applyBorder="1" applyAlignment="1" applyProtection="1">
      <alignment horizontal="left"/>
      <protection locked="0"/>
    </xf>
    <xf numFmtId="0" fontId="48" fillId="0" borderId="2" xfId="0" applyFont="1" applyFill="1" applyBorder="1" applyAlignment="1" applyProtection="1">
      <alignment horizontal="left"/>
      <protection locked="0"/>
    </xf>
    <xf numFmtId="0" fontId="26" fillId="0" borderId="2" xfId="0" applyFont="1" applyFill="1" applyBorder="1" applyAlignment="1" applyProtection="1">
      <alignment horizontal="left"/>
      <protection locked="0"/>
    </xf>
    <xf numFmtId="0" fontId="44" fillId="0" borderId="2" xfId="0" applyFont="1" applyFill="1" applyBorder="1" applyAlignment="1" applyProtection="1">
      <alignment horizontal="left"/>
      <protection locked="0"/>
    </xf>
    <xf numFmtId="0" fontId="91" fillId="0" borderId="2" xfId="0" applyFont="1" applyFill="1" applyBorder="1" applyAlignment="1" applyProtection="1">
      <alignment horizontal="left"/>
      <protection locked="0"/>
    </xf>
    <xf numFmtId="0" fontId="91" fillId="0" borderId="2" xfId="0" applyFont="1" applyFill="1" applyBorder="1" applyAlignment="1" applyProtection="1">
      <alignment horizontal="left"/>
      <protection locked="0"/>
    </xf>
    <xf numFmtId="0" fontId="0" fillId="0" borderId="0" xfId="0" applyBorder="1"/>
    <xf numFmtId="0" fontId="2" fillId="6" borderId="12" xfId="0" applyFont="1" applyFill="1" applyBorder="1" applyAlignment="1">
      <alignment horizontal="left"/>
    </xf>
    <xf numFmtId="0" fontId="0" fillId="0" borderId="0" xfId="0" applyBorder="1" applyAlignment="1">
      <alignment horizontal="right"/>
    </xf>
    <xf numFmtId="0" fontId="2" fillId="0" borderId="0" xfId="0" applyFont="1" applyBorder="1" applyAlignment="1">
      <alignment vertical="center" wrapText="1"/>
    </xf>
    <xf numFmtId="0" fontId="2" fillId="0" borderId="2" xfId="0" applyFont="1" applyBorder="1" applyAlignment="1">
      <alignment horizontal="center" vertical="center"/>
    </xf>
    <xf numFmtId="0" fontId="4" fillId="0" borderId="0" xfId="0" applyFont="1" applyBorder="1" applyAlignment="1">
      <alignment vertical="center"/>
    </xf>
    <xf numFmtId="0" fontId="0" fillId="0" borderId="0" xfId="0" applyBorder="1" applyAlignment="1">
      <alignment horizontal="right" vertical="center"/>
    </xf>
    <xf numFmtId="0" fontId="0" fillId="6" borderId="1" xfId="0" applyFont="1" applyFill="1" applyBorder="1"/>
    <xf numFmtId="0" fontId="0" fillId="6" borderId="2" xfId="0" applyFont="1" applyFill="1" applyBorder="1"/>
    <xf numFmtId="0" fontId="0" fillId="6" borderId="3" xfId="0" applyFont="1" applyFill="1" applyBorder="1"/>
    <xf numFmtId="0" fontId="0" fillId="0" borderId="0" xfId="0" applyFont="1"/>
    <xf numFmtId="0" fontId="0" fillId="0" borderId="0" xfId="0" applyFont="1" applyBorder="1"/>
    <xf numFmtId="4" fontId="0" fillId="6" borderId="1" xfId="0" applyNumberFormat="1" applyFont="1" applyFill="1" applyBorder="1" applyAlignment="1" applyProtection="1">
      <alignment horizontal="center"/>
      <protection locked="0"/>
    </xf>
    <xf numFmtId="0" fontId="0" fillId="6" borderId="3" xfId="0" applyFont="1" applyFill="1" applyBorder="1" applyAlignment="1" applyProtection="1">
      <alignment horizontal="center"/>
      <protection locked="0"/>
    </xf>
    <xf numFmtId="0" fontId="0" fillId="0" borderId="4" xfId="0" applyFont="1" applyBorder="1" applyAlignment="1">
      <alignment horizontal="right"/>
    </xf>
    <xf numFmtId="0" fontId="0" fillId="0" borderId="0" xfId="0" applyFont="1" applyAlignment="1">
      <alignment horizontal="right"/>
    </xf>
    <xf numFmtId="164" fontId="4" fillId="6" borderId="1" xfId="0" applyNumberFormat="1" applyFont="1" applyFill="1" applyBorder="1" applyAlignment="1" applyProtection="1">
      <alignment horizontal="center"/>
      <protection locked="0"/>
    </xf>
    <xf numFmtId="164" fontId="4" fillId="6" borderId="2" xfId="0" applyNumberFormat="1" applyFont="1" applyFill="1" applyBorder="1" applyAlignment="1" applyProtection="1">
      <alignment horizontal="center"/>
      <protection locked="0"/>
    </xf>
    <xf numFmtId="164" fontId="4" fillId="6" borderId="3" xfId="0" applyNumberFormat="1" applyFont="1" applyFill="1" applyBorder="1" applyAlignment="1" applyProtection="1">
      <alignment horizontal="center"/>
      <protection locked="0"/>
    </xf>
    <xf numFmtId="0" fontId="0" fillId="0" borderId="1" xfId="0" applyFont="1" applyBorder="1"/>
    <xf numFmtId="0" fontId="0" fillId="3" borderId="2" xfId="0" applyFont="1" applyFill="1" applyBorder="1" applyAlignment="1" applyProtection="1">
      <alignment horizontal="center"/>
      <protection locked="0"/>
    </xf>
    <xf numFmtId="0" fontId="0" fillId="3" borderId="3" xfId="0" applyFont="1" applyFill="1" applyBorder="1" applyAlignment="1" applyProtection="1">
      <alignment horizontal="center"/>
      <protection locked="0"/>
    </xf>
    <xf numFmtId="2" fontId="0" fillId="3" borderId="1" xfId="0" applyNumberFormat="1" applyFont="1" applyFill="1" applyBorder="1" applyAlignment="1" applyProtection="1">
      <alignment horizontal="right"/>
      <protection locked="0"/>
    </xf>
    <xf numFmtId="0" fontId="0" fillId="6" borderId="7" xfId="0" applyFont="1" applyFill="1" applyBorder="1" applyAlignment="1" applyProtection="1">
      <alignment horizontal="left"/>
      <protection locked="0"/>
    </xf>
    <xf numFmtId="2" fontId="0" fillId="0" borderId="5" xfId="0" applyNumberFormat="1" applyFont="1" applyBorder="1" applyAlignment="1" applyProtection="1">
      <alignment horizontal="right"/>
      <protection locked="0"/>
    </xf>
    <xf numFmtId="0" fontId="0" fillId="3" borderId="10" xfId="0" applyFont="1" applyFill="1" applyBorder="1" applyProtection="1">
      <protection locked="0"/>
    </xf>
    <xf numFmtId="2" fontId="0" fillId="3" borderId="10" xfId="0" applyNumberFormat="1" applyFont="1" applyFill="1" applyBorder="1" applyAlignment="1" applyProtection="1">
      <alignment horizontal="right"/>
      <protection locked="0"/>
    </xf>
    <xf numFmtId="0" fontId="0" fillId="6" borderId="10" xfId="0" applyFont="1" applyFill="1" applyBorder="1" applyAlignment="1" applyProtection="1">
      <alignment horizontal="left"/>
      <protection locked="0"/>
    </xf>
    <xf numFmtId="0" fontId="0" fillId="0" borderId="2" xfId="0" applyFont="1" applyBorder="1"/>
    <xf numFmtId="0" fontId="0" fillId="0" borderId="3" xfId="0" applyFont="1" applyBorder="1"/>
    <xf numFmtId="2" fontId="0" fillId="0" borderId="1" xfId="0" applyNumberFormat="1" applyFont="1" applyBorder="1" applyAlignment="1" applyProtection="1">
      <alignment horizontal="right"/>
      <protection locked="0"/>
    </xf>
    <xf numFmtId="0" fontId="0" fillId="3" borderId="1" xfId="0" applyFont="1" applyFill="1" applyBorder="1" applyProtection="1">
      <protection locked="0"/>
    </xf>
    <xf numFmtId="2" fontId="0" fillId="3" borderId="2" xfId="0" applyNumberFormat="1" applyFont="1" applyFill="1" applyBorder="1" applyAlignment="1" applyProtection="1">
      <alignment horizontal="right"/>
      <protection locked="0"/>
    </xf>
    <xf numFmtId="0" fontId="0" fillId="6" borderId="2" xfId="0" applyFont="1" applyFill="1" applyBorder="1" applyAlignment="1" applyProtection="1">
      <alignment horizontal="left"/>
      <protection locked="0"/>
    </xf>
    <xf numFmtId="0" fontId="0" fillId="3" borderId="2" xfId="0" applyFont="1" applyFill="1" applyBorder="1" applyAlignment="1" applyProtection="1">
      <alignment horizontal="center"/>
      <protection locked="0"/>
    </xf>
    <xf numFmtId="0" fontId="0" fillId="3" borderId="3" xfId="0" applyFont="1" applyFill="1" applyBorder="1" applyAlignment="1" applyProtection="1">
      <alignment horizontal="center"/>
      <protection locked="0"/>
    </xf>
    <xf numFmtId="2" fontId="0" fillId="0" borderId="9" xfId="0" applyNumberFormat="1" applyFont="1" applyBorder="1" applyAlignment="1" applyProtection="1">
      <alignment horizontal="right"/>
      <protection locked="0"/>
    </xf>
    <xf numFmtId="0" fontId="0" fillId="3" borderId="3" xfId="0" applyFont="1" applyFill="1" applyBorder="1" applyAlignment="1" applyProtection="1">
      <alignment horizontal="left"/>
      <protection locked="0"/>
    </xf>
    <xf numFmtId="0" fontId="0" fillId="0" borderId="3" xfId="0" applyFont="1" applyBorder="1" applyAlignment="1" applyProtection="1">
      <alignment horizontal="left"/>
      <protection locked="0"/>
    </xf>
    <xf numFmtId="0" fontId="0" fillId="3" borderId="2" xfId="0" applyFont="1" applyFill="1" applyBorder="1" applyAlignment="1" applyProtection="1">
      <alignment horizontal="left"/>
      <protection locked="0"/>
    </xf>
    <xf numFmtId="0" fontId="0" fillId="3" borderId="32" xfId="0" applyFont="1" applyFill="1" applyBorder="1" applyProtection="1">
      <protection locked="0"/>
    </xf>
    <xf numFmtId="0" fontId="0" fillId="0" borderId="10" xfId="0" applyFont="1" applyBorder="1"/>
    <xf numFmtId="0" fontId="0" fillId="0" borderId="11" xfId="0" applyFont="1" applyBorder="1"/>
    <xf numFmtId="0" fontId="0" fillId="0" borderId="2" xfId="0" applyFont="1" applyBorder="1" applyAlignment="1">
      <alignment horizontal="center"/>
    </xf>
    <xf numFmtId="0" fontId="0" fillId="0" borderId="3" xfId="0" applyFont="1" applyBorder="1" applyAlignment="1">
      <alignment horizontal="center"/>
    </xf>
    <xf numFmtId="0" fontId="0" fillId="0" borderId="32" xfId="0" applyFont="1" applyBorder="1" applyAlignment="1">
      <alignment horizontal="center"/>
    </xf>
    <xf numFmtId="0" fontId="0" fillId="10" borderId="68" xfId="0" applyFont="1" applyFill="1" applyBorder="1" applyAlignment="1">
      <alignment horizontal="right"/>
    </xf>
    <xf numFmtId="0" fontId="0" fillId="10" borderId="34" xfId="0" applyFont="1" applyFill="1" applyBorder="1" applyAlignment="1">
      <alignment horizontal="right"/>
    </xf>
    <xf numFmtId="2" fontId="0" fillId="0" borderId="35" xfId="0" applyNumberFormat="1" applyFont="1" applyBorder="1"/>
    <xf numFmtId="2" fontId="0" fillId="10" borderId="64" xfId="0" applyNumberFormat="1" applyFont="1" applyFill="1" applyBorder="1"/>
    <xf numFmtId="0" fontId="0" fillId="0" borderId="50" xfId="0" applyFont="1" applyBorder="1" applyAlignment="1">
      <alignment horizontal="center"/>
    </xf>
    <xf numFmtId="0" fontId="0" fillId="0" borderId="6" xfId="0" applyFont="1" applyBorder="1" applyAlignment="1">
      <alignment horizontal="center"/>
    </xf>
    <xf numFmtId="0" fontId="86" fillId="10" borderId="67" xfId="0" applyFont="1" applyFill="1" applyBorder="1" applyAlignment="1" applyProtection="1">
      <alignment horizontal="right"/>
      <protection locked="0"/>
    </xf>
    <xf numFmtId="0" fontId="86" fillId="10" borderId="31" xfId="0" applyFont="1" applyFill="1" applyBorder="1" applyAlignment="1" applyProtection="1">
      <alignment horizontal="right"/>
      <protection locked="0"/>
    </xf>
    <xf numFmtId="2" fontId="86" fillId="10" borderId="32" xfId="0" applyNumberFormat="1" applyFont="1" applyFill="1" applyBorder="1" applyAlignment="1" applyProtection="1">
      <alignment horizontal="right"/>
      <protection locked="0"/>
    </xf>
    <xf numFmtId="0" fontId="86" fillId="10" borderId="3" xfId="0" applyFont="1" applyFill="1" applyBorder="1" applyAlignment="1" applyProtection="1">
      <alignment horizontal="right"/>
      <protection locked="0"/>
    </xf>
    <xf numFmtId="0" fontId="86" fillId="10" borderId="32" xfId="0" applyFont="1" applyFill="1" applyBorder="1" applyAlignment="1" applyProtection="1">
      <alignment horizontal="right"/>
      <protection locked="0"/>
    </xf>
    <xf numFmtId="2" fontId="86" fillId="0" borderId="37" xfId="0" applyNumberFormat="1" applyFont="1" applyBorder="1" applyProtection="1">
      <protection locked="0"/>
    </xf>
    <xf numFmtId="0" fontId="86" fillId="10" borderId="66" xfId="0" applyFont="1" applyFill="1" applyBorder="1" applyProtection="1">
      <protection locked="0"/>
    </xf>
    <xf numFmtId="2" fontId="86" fillId="0" borderId="1" xfId="0" applyNumberFormat="1" applyFont="1" applyBorder="1" applyProtection="1">
      <protection locked="0"/>
    </xf>
    <xf numFmtId="0" fontId="86" fillId="10" borderId="33" xfId="0" applyFont="1" applyFill="1" applyBorder="1" applyProtection="1">
      <protection locked="0"/>
    </xf>
    <xf numFmtId="0" fontId="0" fillId="0" borderId="1" xfId="0" applyFill="1" applyBorder="1" applyAlignment="1" applyProtection="1">
      <alignment horizontal="center" vertical="center"/>
      <protection locked="0"/>
    </xf>
    <xf numFmtId="0" fontId="0" fillId="0" borderId="2" xfId="0" applyFill="1" applyBorder="1" applyAlignment="1" applyProtection="1">
      <alignment horizontal="center" vertical="center"/>
      <protection locked="0"/>
    </xf>
    <xf numFmtId="0" fontId="0" fillId="0" borderId="3" xfId="0" applyFill="1" applyBorder="1" applyAlignment="1" applyProtection="1">
      <alignment horizontal="center" vertical="center"/>
      <protection locked="0"/>
    </xf>
    <xf numFmtId="0" fontId="87" fillId="0" borderId="2" xfId="0" applyFont="1" applyBorder="1" applyAlignment="1"/>
    <xf numFmtId="0" fontId="87" fillId="0" borderId="1" xfId="0" applyFont="1" applyBorder="1" applyAlignment="1"/>
    <xf numFmtId="0" fontId="5" fillId="0" borderId="0" xfId="0" applyFont="1"/>
    <xf numFmtId="0" fontId="97" fillId="0" borderId="0" xfId="0" applyFont="1" applyAlignment="1">
      <alignment vertical="center"/>
    </xf>
    <xf numFmtId="0" fontId="97" fillId="2" borderId="0" xfId="0" applyFont="1" applyFill="1" applyAlignment="1">
      <alignment horizontal="center" vertical="center"/>
    </xf>
    <xf numFmtId="0" fontId="16" fillId="2" borderId="0" xfId="0" applyFont="1" applyFill="1" applyAlignment="1">
      <alignment horizontal="center" vertical="center"/>
    </xf>
    <xf numFmtId="0" fontId="3" fillId="3" borderId="1" xfId="0" applyFont="1" applyFill="1" applyBorder="1" applyAlignment="1" applyProtection="1">
      <alignment horizontal="center"/>
      <protection locked="0"/>
    </xf>
    <xf numFmtId="0" fontId="3" fillId="3" borderId="2" xfId="0" applyFont="1" applyFill="1" applyBorder="1" applyAlignment="1" applyProtection="1">
      <alignment horizontal="center"/>
      <protection locked="0"/>
    </xf>
    <xf numFmtId="0" fontId="3" fillId="3" borderId="3" xfId="0" applyFont="1" applyFill="1" applyBorder="1" applyAlignment="1" applyProtection="1">
      <alignment horizontal="center"/>
      <protection locked="0"/>
    </xf>
    <xf numFmtId="0" fontId="3" fillId="0" borderId="1" xfId="0" applyFont="1" applyBorder="1" applyAlignment="1" applyProtection="1">
      <alignment horizontal="center"/>
      <protection locked="0"/>
    </xf>
    <xf numFmtId="0" fontId="3" fillId="0" borderId="2" xfId="0" applyFont="1" applyBorder="1" applyAlignment="1" applyProtection="1">
      <alignment horizontal="center"/>
      <protection locked="0"/>
    </xf>
    <xf numFmtId="0" fontId="3" fillId="0" borderId="3" xfId="0" applyFont="1" applyBorder="1" applyAlignment="1" applyProtection="1">
      <alignment horizontal="center"/>
      <protection locked="0"/>
    </xf>
    <xf numFmtId="0" fontId="19" fillId="0" borderId="1" xfId="0" applyFont="1" applyBorder="1" applyAlignment="1" applyProtection="1">
      <alignment horizontal="left"/>
      <protection locked="0"/>
    </xf>
    <xf numFmtId="0" fontId="19" fillId="0" borderId="2" xfId="0" applyFont="1" applyBorder="1" applyAlignment="1" applyProtection="1">
      <alignment horizontal="left"/>
      <protection locked="0"/>
    </xf>
    <xf numFmtId="0" fontId="19" fillId="0" borderId="3" xfId="0" applyFont="1" applyBorder="1" applyAlignment="1" applyProtection="1">
      <alignment horizontal="left"/>
      <protection locked="0"/>
    </xf>
    <xf numFmtId="0" fontId="19" fillId="0" borderId="1" xfId="0" applyFont="1" applyBorder="1" applyAlignment="1" applyProtection="1">
      <alignment horizontal="left" wrapText="1"/>
      <protection locked="0"/>
    </xf>
    <xf numFmtId="0" fontId="19" fillId="0" borderId="2" xfId="0" applyFont="1" applyBorder="1" applyAlignment="1" applyProtection="1">
      <alignment horizontal="left" wrapText="1"/>
      <protection locked="0"/>
    </xf>
    <xf numFmtId="0" fontId="19" fillId="0" borderId="3" xfId="0" applyFont="1" applyBorder="1" applyAlignment="1" applyProtection="1">
      <alignment horizontal="left" wrapText="1"/>
      <protection locked="0"/>
    </xf>
    <xf numFmtId="0" fontId="19" fillId="0" borderId="1" xfId="0" applyFont="1" applyBorder="1" applyAlignment="1" applyProtection="1">
      <alignment horizontal="center"/>
      <protection locked="0"/>
    </xf>
    <xf numFmtId="0" fontId="19" fillId="0" borderId="2" xfId="0" applyFont="1" applyBorder="1" applyAlignment="1" applyProtection="1">
      <alignment horizontal="center"/>
      <protection locked="0"/>
    </xf>
    <xf numFmtId="0" fontId="19" fillId="0" borderId="3" xfId="0" applyFont="1" applyBorder="1" applyAlignment="1" applyProtection="1">
      <alignment horizontal="center"/>
      <protection locked="0"/>
    </xf>
    <xf numFmtId="0" fontId="19" fillId="0" borderId="1" xfId="0" applyFont="1" applyBorder="1"/>
    <xf numFmtId="0" fontId="19" fillId="0" borderId="2" xfId="0" applyFont="1" applyBorder="1"/>
    <xf numFmtId="0" fontId="19" fillId="0" borderId="3" xfId="0" applyFont="1" applyBorder="1"/>
    <xf numFmtId="0" fontId="3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3" fillId="0" borderId="3" xfId="0" applyFont="1" applyBorder="1" applyAlignment="1">
      <alignment horizontal="left" vertical="center"/>
    </xf>
    <xf numFmtId="0" fontId="19" fillId="0" borderId="1" xfId="0" applyFont="1" applyBorder="1" applyAlignment="1">
      <alignment horizontal="left" vertical="center"/>
    </xf>
    <xf numFmtId="0" fontId="19" fillId="0" borderId="2" xfId="0" applyFont="1" applyBorder="1" applyAlignment="1">
      <alignment horizontal="left" vertical="center"/>
    </xf>
    <xf numFmtId="0" fontId="19" fillId="0" borderId="3" xfId="0" applyFont="1" applyBorder="1" applyAlignment="1">
      <alignment horizontal="left" vertical="center"/>
    </xf>
    <xf numFmtId="0" fontId="19" fillId="0" borderId="1" xfId="0" applyFont="1" applyBorder="1" applyAlignment="1">
      <alignment horizontal="left"/>
    </xf>
    <xf numFmtId="0" fontId="19" fillId="0" borderId="2" xfId="0" applyFont="1" applyBorder="1" applyAlignment="1">
      <alignment horizontal="left"/>
    </xf>
    <xf numFmtId="0" fontId="19" fillId="0" borderId="3" xfId="0" applyFont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19" fillId="0" borderId="2" xfId="0" applyFont="1" applyBorder="1" applyAlignment="1">
      <alignment horizontal="left"/>
    </xf>
    <xf numFmtId="0" fontId="19" fillId="0" borderId="3" xfId="0" applyFont="1" applyBorder="1" applyAlignment="1">
      <alignment horizontal="left"/>
    </xf>
    <xf numFmtId="0" fontId="3" fillId="0" borderId="12" xfId="0" applyFont="1" applyBorder="1" applyAlignment="1">
      <alignment horizontal="left" vertical="center"/>
    </xf>
    <xf numFmtId="0" fontId="3" fillId="0" borderId="1" xfId="0" applyFont="1" applyBorder="1" applyAlignment="1">
      <alignment horizontal="left"/>
    </xf>
    <xf numFmtId="0" fontId="3" fillId="0" borderId="2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1" fillId="0" borderId="5" xfId="0" applyFont="1" applyBorder="1" applyAlignment="1">
      <alignment horizontal="left"/>
    </xf>
    <xf numFmtId="0" fontId="1" fillId="0" borderId="6" xfId="0" applyFont="1" applyBorder="1" applyAlignment="1">
      <alignment horizontal="left"/>
    </xf>
    <xf numFmtId="0" fontId="1" fillId="0" borderId="7" xfId="0" applyFont="1" applyBorder="1" applyAlignment="1">
      <alignment horizontal="left"/>
    </xf>
    <xf numFmtId="0" fontId="1" fillId="0" borderId="4" xfId="0" applyFont="1" applyBorder="1" applyAlignment="1">
      <alignment horizontal="left"/>
    </xf>
    <xf numFmtId="0" fontId="1" fillId="0" borderId="0" xfId="0" applyFont="1" applyAlignment="1">
      <alignment horizontal="left"/>
    </xf>
    <xf numFmtId="0" fontId="1" fillId="0" borderId="8" xfId="0" applyFont="1" applyBorder="1" applyAlignment="1">
      <alignment horizontal="left"/>
    </xf>
    <xf numFmtId="0" fontId="1" fillId="0" borderId="4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8" xfId="0" applyFont="1" applyBorder="1" applyAlignment="1">
      <alignment horizontal="center"/>
    </xf>
    <xf numFmtId="0" fontId="1" fillId="0" borderId="4" xfId="0" applyFont="1" applyBorder="1"/>
    <xf numFmtId="0" fontId="1" fillId="0" borderId="25" xfId="0" applyFont="1" applyBorder="1"/>
    <xf numFmtId="0" fontId="1" fillId="0" borderId="8" xfId="0" applyFont="1" applyBorder="1"/>
    <xf numFmtId="0" fontId="1" fillId="0" borderId="8" xfId="0" applyFont="1" applyBorder="1" applyAlignment="1">
      <alignment horizontal="center"/>
    </xf>
    <xf numFmtId="49" fontId="1" fillId="0" borderId="0" xfId="0" applyNumberFormat="1" applyFont="1"/>
    <xf numFmtId="0" fontId="1" fillId="0" borderId="9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1" xfId="0" applyFont="1" applyBorder="1" applyProtection="1">
      <protection locked="0"/>
    </xf>
    <xf numFmtId="0" fontId="1" fillId="0" borderId="2" xfId="0" applyFont="1" applyBorder="1" applyProtection="1">
      <protection locked="0"/>
    </xf>
    <xf numFmtId="0" fontId="1" fillId="0" borderId="3" xfId="0" applyFont="1" applyBorder="1" applyProtection="1">
      <protection locked="0"/>
    </xf>
    <xf numFmtId="0" fontId="1" fillId="0" borderId="2" xfId="0" applyFont="1" applyBorder="1" applyAlignment="1" applyProtection="1">
      <alignment horizontal="center"/>
      <protection locked="0"/>
    </xf>
    <xf numFmtId="0" fontId="1" fillId="0" borderId="2" xfId="0" applyFont="1" applyBorder="1" applyAlignment="1" applyProtection="1">
      <alignment horizontal="center"/>
      <protection locked="0"/>
    </xf>
    <xf numFmtId="0" fontId="1" fillId="0" borderId="3" xfId="0" applyFont="1" applyBorder="1" applyAlignment="1" applyProtection="1">
      <alignment horizontal="center"/>
      <protection locked="0"/>
    </xf>
    <xf numFmtId="0" fontId="16" fillId="0" borderId="1" xfId="0" applyFont="1" applyBorder="1" applyProtection="1">
      <protection locked="0"/>
    </xf>
    <xf numFmtId="0" fontId="16" fillId="0" borderId="2" xfId="0" applyFont="1" applyBorder="1" applyProtection="1">
      <protection locked="0"/>
    </xf>
    <xf numFmtId="0" fontId="1" fillId="0" borderId="2" xfId="0" quotePrefix="1" applyFont="1" applyBorder="1" applyProtection="1">
      <protection locked="0"/>
    </xf>
    <xf numFmtId="0" fontId="1" fillId="0" borderId="1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1" xfId="0" applyFont="1" applyBorder="1"/>
    <xf numFmtId="0" fontId="1" fillId="0" borderId="2" xfId="0" applyFont="1" applyBorder="1"/>
    <xf numFmtId="0" fontId="1" fillId="0" borderId="13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3" xfId="0" applyFont="1" applyBorder="1"/>
    <xf numFmtId="0" fontId="1" fillId="0" borderId="2" xfId="0" quotePrefix="1" applyFont="1" applyBorder="1"/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</cellXfs>
  <cellStyles count="2">
    <cellStyle name="Comma" xfId="1" builtinId="3"/>
    <cellStyle name="Normal" xfId="0" builtinId="0"/>
  </cellStyles>
  <dxfs count="7">
    <dxf>
      <alignment horizontal="left" vertical="bottom" textRotation="0" wrapText="1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colors>
    <mruColors>
      <color rgb="FF75AD45"/>
      <color rgb="FFF5F5F5"/>
      <color rgb="FFEAEA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2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8</xdr:row>
          <xdr:rowOff>95250</xdr:rowOff>
        </xdr:from>
        <xdr:to>
          <xdr:col>6</xdr:col>
          <xdr:colOff>723900</xdr:colOff>
          <xdr:row>11</xdr:row>
          <xdr:rowOff>104775</xdr:rowOff>
        </xdr:to>
        <xdr:sp macro="" textlink="">
          <xdr:nvSpPr>
            <xdr:cNvPr id="5121" name="btnPDF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104775</xdr:colOff>
          <xdr:row>12</xdr:row>
          <xdr:rowOff>76200</xdr:rowOff>
        </xdr:from>
        <xdr:to>
          <xdr:col>6</xdr:col>
          <xdr:colOff>733425</xdr:colOff>
          <xdr:row>15</xdr:row>
          <xdr:rowOff>85725</xdr:rowOff>
        </xdr:to>
        <xdr:sp macro="" textlink="">
          <xdr:nvSpPr>
            <xdr:cNvPr id="5122" name="btnPDF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0</xdr:rowOff>
        </xdr:from>
        <xdr:to>
          <xdr:col>6</xdr:col>
          <xdr:colOff>752475</xdr:colOff>
          <xdr:row>5</xdr:row>
          <xdr:rowOff>171450</xdr:rowOff>
        </xdr:to>
        <xdr:sp macro="" textlink="">
          <xdr:nvSpPr>
            <xdr:cNvPr id="5123" name="btnForm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0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323850</xdr:colOff>
          <xdr:row>8</xdr:row>
          <xdr:rowOff>66675</xdr:rowOff>
        </xdr:from>
        <xdr:to>
          <xdr:col>9</xdr:col>
          <xdr:colOff>190500</xdr:colOff>
          <xdr:row>11</xdr:row>
          <xdr:rowOff>76200</xdr:rowOff>
        </xdr:to>
        <xdr:sp macro="" textlink="">
          <xdr:nvSpPr>
            <xdr:cNvPr id="5124" name="btnPDF3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0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323850</xdr:colOff>
          <xdr:row>12</xdr:row>
          <xdr:rowOff>76200</xdr:rowOff>
        </xdr:from>
        <xdr:to>
          <xdr:col>9</xdr:col>
          <xdr:colOff>190500</xdr:colOff>
          <xdr:row>15</xdr:row>
          <xdr:rowOff>85725</xdr:rowOff>
        </xdr:to>
        <xdr:sp macro="" textlink="">
          <xdr:nvSpPr>
            <xdr:cNvPr id="5125" name="btnAnexo4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0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1</xdr:row>
          <xdr:rowOff>85725</xdr:rowOff>
        </xdr:from>
        <xdr:to>
          <xdr:col>6</xdr:col>
          <xdr:colOff>752475</xdr:colOff>
          <xdr:row>3</xdr:row>
          <xdr:rowOff>57150</xdr:rowOff>
        </xdr:to>
        <xdr:sp macro="" textlink="">
          <xdr:nvSpPr>
            <xdr:cNvPr id="5126" name="btnNuevo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0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85725</xdr:colOff>
          <xdr:row>16</xdr:row>
          <xdr:rowOff>9525</xdr:rowOff>
        </xdr:from>
        <xdr:to>
          <xdr:col>6</xdr:col>
          <xdr:colOff>714375</xdr:colOff>
          <xdr:row>19</xdr:row>
          <xdr:rowOff>19050</xdr:rowOff>
        </xdr:to>
        <xdr:sp macro="" textlink="">
          <xdr:nvSpPr>
            <xdr:cNvPr id="5127" name="btnReglamento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0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286801</xdr:colOff>
      <xdr:row>17</xdr:row>
      <xdr:rowOff>26124</xdr:rowOff>
    </xdr:from>
    <xdr:to>
      <xdr:col>1</xdr:col>
      <xdr:colOff>529256</xdr:colOff>
      <xdr:row>18</xdr:row>
      <xdr:rowOff>26124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17FE7793-4047-4F37-BE91-99F4075933E3}"/>
            </a:ext>
          </a:extLst>
        </xdr:cNvPr>
        <xdr:cNvSpPr/>
      </xdr:nvSpPr>
      <xdr:spPr>
        <a:xfrm>
          <a:off x="553501" y="3397974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424547</xdr:colOff>
      <xdr:row>16</xdr:row>
      <xdr:rowOff>244663</xdr:rowOff>
    </xdr:from>
    <xdr:to>
      <xdr:col>2</xdr:col>
      <xdr:colOff>667002</xdr:colOff>
      <xdr:row>17</xdr:row>
      <xdr:rowOff>244663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D99B736F-1F89-46D1-AC1D-10F2D27B9D70}"/>
            </a:ext>
          </a:extLst>
        </xdr:cNvPr>
        <xdr:cNvSpPr/>
      </xdr:nvSpPr>
      <xdr:spPr>
        <a:xfrm>
          <a:off x="1434197" y="3368863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PE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X</a:t>
          </a:r>
        </a:p>
      </xdr:txBody>
    </xdr:sp>
    <xdr:clientData/>
  </xdr:twoCellAnchor>
  <xdr:twoCellAnchor>
    <xdr:from>
      <xdr:col>3</xdr:col>
      <xdr:colOff>239694</xdr:colOff>
      <xdr:row>17</xdr:row>
      <xdr:rowOff>0</xdr:rowOff>
    </xdr:from>
    <xdr:to>
      <xdr:col>3</xdr:col>
      <xdr:colOff>482149</xdr:colOff>
      <xdr:row>18</xdr:row>
      <xdr:rowOff>0</xdr:rowOff>
    </xdr:to>
    <xdr:sp macro="" textlink="">
      <xdr:nvSpPr>
        <xdr:cNvPr id="4" name="Rectángulo 3">
          <a:extLst>
            <a:ext uri="{FF2B5EF4-FFF2-40B4-BE49-F238E27FC236}">
              <a16:creationId xmlns:a16="http://schemas.microsoft.com/office/drawing/2014/main" id="{FF7652E7-F956-495A-8065-ED8811C59E06}"/>
            </a:ext>
          </a:extLst>
        </xdr:cNvPr>
        <xdr:cNvSpPr/>
      </xdr:nvSpPr>
      <xdr:spPr>
        <a:xfrm>
          <a:off x="2087544" y="3371850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16</xdr:row>
      <xdr:rowOff>259373</xdr:rowOff>
    </xdr:from>
    <xdr:to>
      <xdr:col>4</xdr:col>
      <xdr:colOff>567979</xdr:colOff>
      <xdr:row>17</xdr:row>
      <xdr:rowOff>259373</xdr:rowOff>
    </xdr:to>
    <xdr:sp macro="" textlink="">
      <xdr:nvSpPr>
        <xdr:cNvPr id="5" name="Rectángulo 4">
          <a:extLst>
            <a:ext uri="{FF2B5EF4-FFF2-40B4-BE49-F238E27FC236}">
              <a16:creationId xmlns:a16="http://schemas.microsoft.com/office/drawing/2014/main" id="{97512892-8AD5-4780-BC27-644C2ABC546E}"/>
            </a:ext>
          </a:extLst>
        </xdr:cNvPr>
        <xdr:cNvSpPr/>
      </xdr:nvSpPr>
      <xdr:spPr>
        <a:xfrm>
          <a:off x="3011574" y="3374048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571012</xdr:colOff>
      <xdr:row>23</xdr:row>
      <xdr:rowOff>1</xdr:rowOff>
    </xdr:from>
    <xdr:to>
      <xdr:col>3</xdr:col>
      <xdr:colOff>813467</xdr:colOff>
      <xdr:row>24</xdr:row>
      <xdr:rowOff>19844</xdr:rowOff>
    </xdr:to>
    <xdr:sp macro="" textlink="">
      <xdr:nvSpPr>
        <xdr:cNvPr id="6" name="Rectángulo 5">
          <a:extLst>
            <a:ext uri="{FF2B5EF4-FFF2-40B4-BE49-F238E27FC236}">
              <a16:creationId xmlns:a16="http://schemas.microsoft.com/office/drawing/2014/main" id="{F5F68380-C58F-4B3C-B4EC-1829CA5A0BB4}"/>
            </a:ext>
          </a:extLst>
        </xdr:cNvPr>
        <xdr:cNvSpPr/>
      </xdr:nvSpPr>
      <xdr:spPr>
        <a:xfrm>
          <a:off x="2418862" y="4514851"/>
          <a:ext cx="242455" cy="21034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560295</xdr:colOff>
      <xdr:row>23</xdr:row>
      <xdr:rowOff>0</xdr:rowOff>
    </xdr:from>
    <xdr:to>
      <xdr:col>4</xdr:col>
      <xdr:colOff>802750</xdr:colOff>
      <xdr:row>24</xdr:row>
      <xdr:rowOff>0</xdr:rowOff>
    </xdr:to>
    <xdr:sp macro="" textlink="">
      <xdr:nvSpPr>
        <xdr:cNvPr id="7" name="Rectángulo 6">
          <a:extLst>
            <a:ext uri="{FF2B5EF4-FFF2-40B4-BE49-F238E27FC236}">
              <a16:creationId xmlns:a16="http://schemas.microsoft.com/office/drawing/2014/main" id="{55192E60-A743-4603-993D-3FCD0D282425}"/>
            </a:ext>
          </a:extLst>
        </xdr:cNvPr>
        <xdr:cNvSpPr/>
      </xdr:nvSpPr>
      <xdr:spPr>
        <a:xfrm>
          <a:off x="3246345" y="4514850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5</xdr:col>
      <xdr:colOff>504265</xdr:colOff>
      <xdr:row>23</xdr:row>
      <xdr:rowOff>0</xdr:rowOff>
    </xdr:from>
    <xdr:to>
      <xdr:col>5</xdr:col>
      <xdr:colOff>746720</xdr:colOff>
      <xdr:row>24</xdr:row>
      <xdr:rowOff>0</xdr:rowOff>
    </xdr:to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5336466E-75DD-4DCE-86E2-53AC39DB3603}"/>
            </a:ext>
          </a:extLst>
        </xdr:cNvPr>
        <xdr:cNvSpPr/>
      </xdr:nvSpPr>
      <xdr:spPr>
        <a:xfrm>
          <a:off x="4028515" y="4514850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382851</xdr:colOff>
      <xdr:row>30</xdr:row>
      <xdr:rowOff>162994</xdr:rowOff>
    </xdr:from>
    <xdr:to>
      <xdr:col>1</xdr:col>
      <xdr:colOff>625306</xdr:colOff>
      <xdr:row>31</xdr:row>
      <xdr:rowOff>162995</xdr:rowOff>
    </xdr:to>
    <xdr:sp macro="" textlink="">
      <xdr:nvSpPr>
        <xdr:cNvPr id="9" name="Rectángulo 8">
          <a:extLst>
            <a:ext uri="{FF2B5EF4-FFF2-40B4-BE49-F238E27FC236}">
              <a16:creationId xmlns:a16="http://schemas.microsoft.com/office/drawing/2014/main" id="{472AF0C0-E112-4936-B645-F787D982BB7C}"/>
            </a:ext>
          </a:extLst>
        </xdr:cNvPr>
        <xdr:cNvSpPr/>
      </xdr:nvSpPr>
      <xdr:spPr>
        <a:xfrm>
          <a:off x="649551" y="6011344"/>
          <a:ext cx="242455" cy="190501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424547</xdr:colOff>
      <xdr:row>30</xdr:row>
      <xdr:rowOff>244663</xdr:rowOff>
    </xdr:from>
    <xdr:to>
      <xdr:col>2</xdr:col>
      <xdr:colOff>667002</xdr:colOff>
      <xdr:row>31</xdr:row>
      <xdr:rowOff>244663</xdr:rowOff>
    </xdr:to>
    <xdr:sp macro="" textlink="">
      <xdr:nvSpPr>
        <xdr:cNvPr id="10" name="Rectángulo 9">
          <a:extLst>
            <a:ext uri="{FF2B5EF4-FFF2-40B4-BE49-F238E27FC236}">
              <a16:creationId xmlns:a16="http://schemas.microsoft.com/office/drawing/2014/main" id="{9A483424-ED9C-42C2-A221-4DB30240948D}"/>
            </a:ext>
          </a:extLst>
        </xdr:cNvPr>
        <xdr:cNvSpPr/>
      </xdr:nvSpPr>
      <xdr:spPr>
        <a:xfrm>
          <a:off x="1434197" y="6035863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239694</xdr:colOff>
      <xdr:row>31</xdr:row>
      <xdr:rowOff>0</xdr:rowOff>
    </xdr:from>
    <xdr:to>
      <xdr:col>3</xdr:col>
      <xdr:colOff>482149</xdr:colOff>
      <xdr:row>32</xdr:row>
      <xdr:rowOff>0</xdr:rowOff>
    </xdr:to>
    <xdr:sp macro="" textlink="">
      <xdr:nvSpPr>
        <xdr:cNvPr id="11" name="Rectángulo 10">
          <a:extLst>
            <a:ext uri="{FF2B5EF4-FFF2-40B4-BE49-F238E27FC236}">
              <a16:creationId xmlns:a16="http://schemas.microsoft.com/office/drawing/2014/main" id="{C94BF745-84BD-41BD-B275-39C5073844FD}"/>
            </a:ext>
          </a:extLst>
        </xdr:cNvPr>
        <xdr:cNvSpPr/>
      </xdr:nvSpPr>
      <xdr:spPr>
        <a:xfrm>
          <a:off x="2087544" y="6038850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30</xdr:row>
      <xdr:rowOff>249848</xdr:rowOff>
    </xdr:from>
    <xdr:to>
      <xdr:col>4</xdr:col>
      <xdr:colOff>567979</xdr:colOff>
      <xdr:row>31</xdr:row>
      <xdr:rowOff>249848</xdr:rowOff>
    </xdr:to>
    <xdr:sp macro="" textlink="">
      <xdr:nvSpPr>
        <xdr:cNvPr id="12" name="Rectángulo 11">
          <a:extLst>
            <a:ext uri="{FF2B5EF4-FFF2-40B4-BE49-F238E27FC236}">
              <a16:creationId xmlns:a16="http://schemas.microsoft.com/office/drawing/2014/main" id="{3591479F-A213-4114-AB5D-1B2F029335FA}"/>
            </a:ext>
          </a:extLst>
        </xdr:cNvPr>
        <xdr:cNvSpPr/>
      </xdr:nvSpPr>
      <xdr:spPr>
        <a:xfrm>
          <a:off x="3011574" y="6041048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286801</xdr:colOff>
      <xdr:row>49</xdr:row>
      <xdr:rowOff>3711</xdr:rowOff>
    </xdr:from>
    <xdr:to>
      <xdr:col>1</xdr:col>
      <xdr:colOff>529256</xdr:colOff>
      <xdr:row>50</xdr:row>
      <xdr:rowOff>3711</xdr:rowOff>
    </xdr:to>
    <xdr:sp macro="" textlink="">
      <xdr:nvSpPr>
        <xdr:cNvPr id="13" name="Rectángulo 12">
          <a:extLst>
            <a:ext uri="{FF2B5EF4-FFF2-40B4-BE49-F238E27FC236}">
              <a16:creationId xmlns:a16="http://schemas.microsoft.com/office/drawing/2014/main" id="{39998F63-1FEA-43F3-BFA7-80D5059F5490}"/>
            </a:ext>
          </a:extLst>
        </xdr:cNvPr>
        <xdr:cNvSpPr/>
      </xdr:nvSpPr>
      <xdr:spPr>
        <a:xfrm>
          <a:off x="553501" y="9471561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424547</xdr:colOff>
      <xdr:row>48</xdr:row>
      <xdr:rowOff>254188</xdr:rowOff>
    </xdr:from>
    <xdr:to>
      <xdr:col>2</xdr:col>
      <xdr:colOff>667002</xdr:colOff>
      <xdr:row>49</xdr:row>
      <xdr:rowOff>254188</xdr:rowOff>
    </xdr:to>
    <xdr:sp macro="" textlink="">
      <xdr:nvSpPr>
        <xdr:cNvPr id="14" name="Rectángulo 13">
          <a:extLst>
            <a:ext uri="{FF2B5EF4-FFF2-40B4-BE49-F238E27FC236}">
              <a16:creationId xmlns:a16="http://schemas.microsoft.com/office/drawing/2014/main" id="{D938C08D-59DF-442C-BC94-080B6F8CFAE6}"/>
            </a:ext>
          </a:extLst>
        </xdr:cNvPr>
        <xdr:cNvSpPr/>
      </xdr:nvSpPr>
      <xdr:spPr>
        <a:xfrm>
          <a:off x="1434197" y="9464863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239694</xdr:colOff>
      <xdr:row>49</xdr:row>
      <xdr:rowOff>0</xdr:rowOff>
    </xdr:from>
    <xdr:to>
      <xdr:col>3</xdr:col>
      <xdr:colOff>482149</xdr:colOff>
      <xdr:row>50</xdr:row>
      <xdr:rowOff>0</xdr:rowOff>
    </xdr:to>
    <xdr:sp macro="" textlink="">
      <xdr:nvSpPr>
        <xdr:cNvPr id="15" name="Rectángulo 14">
          <a:extLst>
            <a:ext uri="{FF2B5EF4-FFF2-40B4-BE49-F238E27FC236}">
              <a16:creationId xmlns:a16="http://schemas.microsoft.com/office/drawing/2014/main" id="{B52290B4-59AD-434D-9757-66A2886A1F67}"/>
            </a:ext>
          </a:extLst>
        </xdr:cNvPr>
        <xdr:cNvSpPr/>
      </xdr:nvSpPr>
      <xdr:spPr>
        <a:xfrm>
          <a:off x="2087544" y="9467850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48</xdr:row>
      <xdr:rowOff>249848</xdr:rowOff>
    </xdr:from>
    <xdr:to>
      <xdr:col>4</xdr:col>
      <xdr:colOff>567979</xdr:colOff>
      <xdr:row>49</xdr:row>
      <xdr:rowOff>249848</xdr:rowOff>
    </xdr:to>
    <xdr:sp macro="" textlink="">
      <xdr:nvSpPr>
        <xdr:cNvPr id="16" name="Rectángulo 15">
          <a:extLst>
            <a:ext uri="{FF2B5EF4-FFF2-40B4-BE49-F238E27FC236}">
              <a16:creationId xmlns:a16="http://schemas.microsoft.com/office/drawing/2014/main" id="{20BA3A65-23BB-4E16-88C9-CE95C93393D9}"/>
            </a:ext>
          </a:extLst>
        </xdr:cNvPr>
        <xdr:cNvSpPr/>
      </xdr:nvSpPr>
      <xdr:spPr>
        <a:xfrm>
          <a:off x="3011574" y="9470048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 editAs="oneCell">
    <xdr:from>
      <xdr:col>0</xdr:col>
      <xdr:colOff>28575</xdr:colOff>
      <xdr:row>1</xdr:row>
      <xdr:rowOff>161926</xdr:rowOff>
    </xdr:from>
    <xdr:to>
      <xdr:col>3</xdr:col>
      <xdr:colOff>541303</xdr:colOff>
      <xdr:row>9</xdr:row>
      <xdr:rowOff>160985</xdr:rowOff>
    </xdr:to>
    <xdr:pic>
      <xdr:nvPicPr>
        <xdr:cNvPr id="17" name="Imagen 16">
          <a:extLst>
            <a:ext uri="{FF2B5EF4-FFF2-40B4-BE49-F238E27FC236}">
              <a16:creationId xmlns:a16="http://schemas.microsoft.com/office/drawing/2014/main" id="{A8ED3AD1-D86D-4BBA-9209-09531CC5C8A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848" t="10563" r="11934" b="11277"/>
        <a:stretch/>
      </xdr:blipFill>
      <xdr:spPr>
        <a:xfrm>
          <a:off x="28575" y="352426"/>
          <a:ext cx="2360578" cy="1656409"/>
        </a:xfrm>
        <a:prstGeom prst="rect">
          <a:avLst/>
        </a:prstGeom>
      </xdr:spPr>
    </xdr:pic>
    <xdr:clientData/>
  </xdr:twoCellAnchor>
  <xdr:twoCellAnchor>
    <xdr:from>
      <xdr:col>6</xdr:col>
      <xdr:colOff>734219</xdr:colOff>
      <xdr:row>22</xdr:row>
      <xdr:rowOff>168672</xdr:rowOff>
    </xdr:from>
    <xdr:to>
      <xdr:col>7</xdr:col>
      <xdr:colOff>118630</xdr:colOff>
      <xdr:row>24</xdr:row>
      <xdr:rowOff>1986</xdr:rowOff>
    </xdr:to>
    <xdr:sp macro="" textlink="">
      <xdr:nvSpPr>
        <xdr:cNvPr id="18" name="Rectángulo 17">
          <a:extLst>
            <a:ext uri="{FF2B5EF4-FFF2-40B4-BE49-F238E27FC236}">
              <a16:creationId xmlns:a16="http://schemas.microsoft.com/office/drawing/2014/main" id="{EF31D13C-AEE0-458D-9343-425212E0E641}"/>
            </a:ext>
          </a:extLst>
        </xdr:cNvPr>
        <xdr:cNvSpPr/>
      </xdr:nvSpPr>
      <xdr:spPr>
        <a:xfrm>
          <a:off x="5210969" y="4493022"/>
          <a:ext cx="222611" cy="214314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190500</xdr:colOff>
      <xdr:row>23</xdr:row>
      <xdr:rowOff>0</xdr:rowOff>
    </xdr:from>
    <xdr:to>
      <xdr:col>9</xdr:col>
      <xdr:colOff>404380</xdr:colOff>
      <xdr:row>24</xdr:row>
      <xdr:rowOff>0</xdr:rowOff>
    </xdr:to>
    <xdr:sp macro="" textlink="">
      <xdr:nvSpPr>
        <xdr:cNvPr id="19" name="Rectángulo 18">
          <a:extLst>
            <a:ext uri="{FF2B5EF4-FFF2-40B4-BE49-F238E27FC236}">
              <a16:creationId xmlns:a16="http://schemas.microsoft.com/office/drawing/2014/main" id="{A833AC9E-D42C-4491-A606-58FAD69590AB}"/>
            </a:ext>
          </a:extLst>
        </xdr:cNvPr>
        <xdr:cNvSpPr/>
      </xdr:nvSpPr>
      <xdr:spPr>
        <a:xfrm>
          <a:off x="7172325" y="4514850"/>
          <a:ext cx="213880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166150</xdr:colOff>
      <xdr:row>92</xdr:row>
      <xdr:rowOff>161138</xdr:rowOff>
    </xdr:from>
    <xdr:to>
      <xdr:col>9</xdr:col>
      <xdr:colOff>380030</xdr:colOff>
      <xdr:row>94</xdr:row>
      <xdr:rowOff>25068</xdr:rowOff>
    </xdr:to>
    <xdr:sp macro="" textlink="">
      <xdr:nvSpPr>
        <xdr:cNvPr id="20" name="Rectángulo 19">
          <a:extLst>
            <a:ext uri="{FF2B5EF4-FFF2-40B4-BE49-F238E27FC236}">
              <a16:creationId xmlns:a16="http://schemas.microsoft.com/office/drawing/2014/main" id="{EB8F45B5-DF8E-4F56-BDE0-C84DEE6C7181}"/>
            </a:ext>
          </a:extLst>
        </xdr:cNvPr>
        <xdr:cNvSpPr/>
      </xdr:nvSpPr>
      <xdr:spPr>
        <a:xfrm>
          <a:off x="7147975" y="17820488"/>
          <a:ext cx="213880" cy="24493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177298</xdr:colOff>
      <xdr:row>95</xdr:row>
      <xdr:rowOff>151826</xdr:rowOff>
    </xdr:from>
    <xdr:to>
      <xdr:col>9</xdr:col>
      <xdr:colOff>391178</xdr:colOff>
      <xdr:row>97</xdr:row>
      <xdr:rowOff>15755</xdr:rowOff>
    </xdr:to>
    <xdr:sp macro="" textlink="">
      <xdr:nvSpPr>
        <xdr:cNvPr id="21" name="Rectángulo 20">
          <a:extLst>
            <a:ext uri="{FF2B5EF4-FFF2-40B4-BE49-F238E27FC236}">
              <a16:creationId xmlns:a16="http://schemas.microsoft.com/office/drawing/2014/main" id="{2DEE094F-6F62-47CC-B751-99513100A50E}"/>
            </a:ext>
          </a:extLst>
        </xdr:cNvPr>
        <xdr:cNvSpPr/>
      </xdr:nvSpPr>
      <xdr:spPr>
        <a:xfrm>
          <a:off x="7159123" y="18382676"/>
          <a:ext cx="213880" cy="24492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179042</xdr:colOff>
      <xdr:row>98</xdr:row>
      <xdr:rowOff>9313</xdr:rowOff>
    </xdr:from>
    <xdr:to>
      <xdr:col>9</xdr:col>
      <xdr:colOff>392922</xdr:colOff>
      <xdr:row>99</xdr:row>
      <xdr:rowOff>77349</xdr:rowOff>
    </xdr:to>
    <xdr:sp macro="" textlink="">
      <xdr:nvSpPr>
        <xdr:cNvPr id="22" name="Rectángulo 21">
          <a:extLst>
            <a:ext uri="{FF2B5EF4-FFF2-40B4-BE49-F238E27FC236}">
              <a16:creationId xmlns:a16="http://schemas.microsoft.com/office/drawing/2014/main" id="{515678A1-E015-456B-9789-9761FCBC6908}"/>
            </a:ext>
          </a:extLst>
        </xdr:cNvPr>
        <xdr:cNvSpPr/>
      </xdr:nvSpPr>
      <xdr:spPr>
        <a:xfrm>
          <a:off x="7160867" y="18811663"/>
          <a:ext cx="213880" cy="258536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169015</xdr:colOff>
      <xdr:row>100</xdr:row>
      <xdr:rowOff>100987</xdr:rowOff>
    </xdr:from>
    <xdr:to>
      <xdr:col>9</xdr:col>
      <xdr:colOff>382895</xdr:colOff>
      <xdr:row>101</xdr:row>
      <xdr:rowOff>155416</xdr:rowOff>
    </xdr:to>
    <xdr:sp macro="" textlink="">
      <xdr:nvSpPr>
        <xdr:cNvPr id="23" name="Rectángulo 22">
          <a:extLst>
            <a:ext uri="{FF2B5EF4-FFF2-40B4-BE49-F238E27FC236}">
              <a16:creationId xmlns:a16="http://schemas.microsoft.com/office/drawing/2014/main" id="{CB0FB864-2C77-436F-A481-23FDF680C86F}"/>
            </a:ext>
          </a:extLst>
        </xdr:cNvPr>
        <xdr:cNvSpPr/>
      </xdr:nvSpPr>
      <xdr:spPr>
        <a:xfrm>
          <a:off x="7150840" y="19284337"/>
          <a:ext cx="213880" cy="24492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156030</xdr:colOff>
      <xdr:row>102</xdr:row>
      <xdr:rowOff>129627</xdr:rowOff>
    </xdr:from>
    <xdr:to>
      <xdr:col>9</xdr:col>
      <xdr:colOff>369910</xdr:colOff>
      <xdr:row>104</xdr:row>
      <xdr:rowOff>7163</xdr:rowOff>
    </xdr:to>
    <xdr:sp macro="" textlink="">
      <xdr:nvSpPr>
        <xdr:cNvPr id="24" name="Rectángulo 23">
          <a:extLst>
            <a:ext uri="{FF2B5EF4-FFF2-40B4-BE49-F238E27FC236}">
              <a16:creationId xmlns:a16="http://schemas.microsoft.com/office/drawing/2014/main" id="{31387E19-CF5A-4C96-A0F0-CD84463DA0C6}"/>
            </a:ext>
          </a:extLst>
        </xdr:cNvPr>
        <xdr:cNvSpPr/>
      </xdr:nvSpPr>
      <xdr:spPr>
        <a:xfrm>
          <a:off x="7137855" y="19693977"/>
          <a:ext cx="213880" cy="258536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537882</xdr:colOff>
      <xdr:row>160</xdr:row>
      <xdr:rowOff>168088</xdr:rowOff>
    </xdr:from>
    <xdr:to>
      <xdr:col>1</xdr:col>
      <xdr:colOff>751762</xdr:colOff>
      <xdr:row>162</xdr:row>
      <xdr:rowOff>801</xdr:rowOff>
    </xdr:to>
    <xdr:sp macro="" textlink="">
      <xdr:nvSpPr>
        <xdr:cNvPr id="25" name="Rectángulo 24">
          <a:extLst>
            <a:ext uri="{FF2B5EF4-FFF2-40B4-BE49-F238E27FC236}">
              <a16:creationId xmlns:a16="http://schemas.microsoft.com/office/drawing/2014/main" id="{0EEF9579-EFFB-434A-9DC3-8B0D0487A72F}"/>
            </a:ext>
          </a:extLst>
        </xdr:cNvPr>
        <xdr:cNvSpPr/>
      </xdr:nvSpPr>
      <xdr:spPr>
        <a:xfrm>
          <a:off x="804582" y="31733938"/>
          <a:ext cx="204355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537882</xdr:colOff>
      <xdr:row>163</xdr:row>
      <xdr:rowOff>11206</xdr:rowOff>
    </xdr:from>
    <xdr:to>
      <xdr:col>1</xdr:col>
      <xdr:colOff>751762</xdr:colOff>
      <xdr:row>164</xdr:row>
      <xdr:rowOff>34419</xdr:rowOff>
    </xdr:to>
    <xdr:sp macro="" textlink="">
      <xdr:nvSpPr>
        <xdr:cNvPr id="26" name="Rectángulo 25">
          <a:extLst>
            <a:ext uri="{FF2B5EF4-FFF2-40B4-BE49-F238E27FC236}">
              <a16:creationId xmlns:a16="http://schemas.microsoft.com/office/drawing/2014/main" id="{DBDB3C18-8B14-41AD-A56F-F9BF15B1FBD8}"/>
            </a:ext>
          </a:extLst>
        </xdr:cNvPr>
        <xdr:cNvSpPr/>
      </xdr:nvSpPr>
      <xdr:spPr>
        <a:xfrm>
          <a:off x="804582" y="32148556"/>
          <a:ext cx="204355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168088</xdr:colOff>
      <xdr:row>160</xdr:row>
      <xdr:rowOff>156882</xdr:rowOff>
    </xdr:from>
    <xdr:to>
      <xdr:col>4</xdr:col>
      <xdr:colOff>381968</xdr:colOff>
      <xdr:row>161</xdr:row>
      <xdr:rowOff>180095</xdr:rowOff>
    </xdr:to>
    <xdr:sp macro="" textlink="">
      <xdr:nvSpPr>
        <xdr:cNvPr id="27" name="Rectángulo 26">
          <a:extLst>
            <a:ext uri="{FF2B5EF4-FFF2-40B4-BE49-F238E27FC236}">
              <a16:creationId xmlns:a16="http://schemas.microsoft.com/office/drawing/2014/main" id="{9A9E9800-1741-4CE7-9E9C-CB92E7B73424}"/>
            </a:ext>
          </a:extLst>
        </xdr:cNvPr>
        <xdr:cNvSpPr/>
      </xdr:nvSpPr>
      <xdr:spPr>
        <a:xfrm>
          <a:off x="2854138" y="31722732"/>
          <a:ext cx="213880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179294</xdr:colOff>
      <xdr:row>163</xdr:row>
      <xdr:rowOff>0</xdr:rowOff>
    </xdr:from>
    <xdr:to>
      <xdr:col>4</xdr:col>
      <xdr:colOff>393174</xdr:colOff>
      <xdr:row>164</xdr:row>
      <xdr:rowOff>23213</xdr:rowOff>
    </xdr:to>
    <xdr:sp macro="" textlink="">
      <xdr:nvSpPr>
        <xdr:cNvPr id="28" name="Rectángulo 27">
          <a:extLst>
            <a:ext uri="{FF2B5EF4-FFF2-40B4-BE49-F238E27FC236}">
              <a16:creationId xmlns:a16="http://schemas.microsoft.com/office/drawing/2014/main" id="{C8A2865C-9110-4E6C-AFE7-3E1E655C1F51}"/>
            </a:ext>
          </a:extLst>
        </xdr:cNvPr>
        <xdr:cNvSpPr/>
      </xdr:nvSpPr>
      <xdr:spPr>
        <a:xfrm>
          <a:off x="2865344" y="32137350"/>
          <a:ext cx="213880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7</xdr:col>
      <xdr:colOff>268941</xdr:colOff>
      <xdr:row>161</xdr:row>
      <xdr:rowOff>0</xdr:rowOff>
    </xdr:from>
    <xdr:to>
      <xdr:col>7</xdr:col>
      <xdr:colOff>482821</xdr:colOff>
      <xdr:row>162</xdr:row>
      <xdr:rowOff>23213</xdr:rowOff>
    </xdr:to>
    <xdr:sp macro="" textlink="">
      <xdr:nvSpPr>
        <xdr:cNvPr id="29" name="Rectángulo 28">
          <a:extLst>
            <a:ext uri="{FF2B5EF4-FFF2-40B4-BE49-F238E27FC236}">
              <a16:creationId xmlns:a16="http://schemas.microsoft.com/office/drawing/2014/main" id="{71BA503A-BAC6-45AC-B4BD-6E3B1E5F4F3B}"/>
            </a:ext>
          </a:extLst>
        </xdr:cNvPr>
        <xdr:cNvSpPr/>
      </xdr:nvSpPr>
      <xdr:spPr>
        <a:xfrm>
          <a:off x="5583891" y="31756350"/>
          <a:ext cx="213880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7</xdr:col>
      <xdr:colOff>257735</xdr:colOff>
      <xdr:row>162</xdr:row>
      <xdr:rowOff>179294</xdr:rowOff>
    </xdr:from>
    <xdr:to>
      <xdr:col>7</xdr:col>
      <xdr:colOff>471615</xdr:colOff>
      <xdr:row>164</xdr:row>
      <xdr:rowOff>12007</xdr:rowOff>
    </xdr:to>
    <xdr:sp macro="" textlink="">
      <xdr:nvSpPr>
        <xdr:cNvPr id="30" name="Rectángulo 29">
          <a:extLst>
            <a:ext uri="{FF2B5EF4-FFF2-40B4-BE49-F238E27FC236}">
              <a16:creationId xmlns:a16="http://schemas.microsoft.com/office/drawing/2014/main" id="{349FBC44-24AE-4F2F-B2DF-8BD43497E8F5}"/>
            </a:ext>
          </a:extLst>
        </xdr:cNvPr>
        <xdr:cNvSpPr/>
      </xdr:nvSpPr>
      <xdr:spPr>
        <a:xfrm>
          <a:off x="5572685" y="32126144"/>
          <a:ext cx="213880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459441</xdr:colOff>
      <xdr:row>193</xdr:row>
      <xdr:rowOff>168089</xdr:rowOff>
    </xdr:from>
    <xdr:to>
      <xdr:col>9</xdr:col>
      <xdr:colOff>673321</xdr:colOff>
      <xdr:row>195</xdr:row>
      <xdr:rowOff>802</xdr:rowOff>
    </xdr:to>
    <xdr:sp macro="" textlink="">
      <xdr:nvSpPr>
        <xdr:cNvPr id="31" name="Rectángulo 30">
          <a:extLst>
            <a:ext uri="{FF2B5EF4-FFF2-40B4-BE49-F238E27FC236}">
              <a16:creationId xmlns:a16="http://schemas.microsoft.com/office/drawing/2014/main" id="{321D6106-304E-42B4-B5FA-BF3B1A82A635}"/>
            </a:ext>
          </a:extLst>
        </xdr:cNvPr>
        <xdr:cNvSpPr/>
      </xdr:nvSpPr>
      <xdr:spPr>
        <a:xfrm>
          <a:off x="7441266" y="38020439"/>
          <a:ext cx="213880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459442</xdr:colOff>
      <xdr:row>198</xdr:row>
      <xdr:rowOff>0</xdr:rowOff>
    </xdr:from>
    <xdr:to>
      <xdr:col>9</xdr:col>
      <xdr:colOff>673322</xdr:colOff>
      <xdr:row>199</xdr:row>
      <xdr:rowOff>23213</xdr:rowOff>
    </xdr:to>
    <xdr:sp macro="" textlink="">
      <xdr:nvSpPr>
        <xdr:cNvPr id="32" name="Rectángulo 31">
          <a:extLst>
            <a:ext uri="{FF2B5EF4-FFF2-40B4-BE49-F238E27FC236}">
              <a16:creationId xmlns:a16="http://schemas.microsoft.com/office/drawing/2014/main" id="{57C1875D-FEFE-4121-96BC-0EB32FDA65C6}"/>
            </a:ext>
          </a:extLst>
        </xdr:cNvPr>
        <xdr:cNvSpPr/>
      </xdr:nvSpPr>
      <xdr:spPr>
        <a:xfrm>
          <a:off x="7441267" y="38804850"/>
          <a:ext cx="213880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272143</xdr:colOff>
      <xdr:row>225</xdr:row>
      <xdr:rowOff>176893</xdr:rowOff>
    </xdr:from>
    <xdr:to>
      <xdr:col>9</xdr:col>
      <xdr:colOff>486023</xdr:colOff>
      <xdr:row>227</xdr:row>
      <xdr:rowOff>9606</xdr:rowOff>
    </xdr:to>
    <xdr:sp macro="" textlink="">
      <xdr:nvSpPr>
        <xdr:cNvPr id="33" name="Rectángulo 32">
          <a:extLst>
            <a:ext uri="{FF2B5EF4-FFF2-40B4-BE49-F238E27FC236}">
              <a16:creationId xmlns:a16="http://schemas.microsoft.com/office/drawing/2014/main" id="{B724B623-6A04-4251-853C-F282ECA9634D}"/>
            </a:ext>
          </a:extLst>
        </xdr:cNvPr>
        <xdr:cNvSpPr/>
      </xdr:nvSpPr>
      <xdr:spPr>
        <a:xfrm>
          <a:off x="7253968" y="44125243"/>
          <a:ext cx="213880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258537</xdr:colOff>
      <xdr:row>228</xdr:row>
      <xdr:rowOff>0</xdr:rowOff>
    </xdr:from>
    <xdr:to>
      <xdr:col>9</xdr:col>
      <xdr:colOff>472417</xdr:colOff>
      <xdr:row>229</xdr:row>
      <xdr:rowOff>23213</xdr:rowOff>
    </xdr:to>
    <xdr:sp macro="" textlink="">
      <xdr:nvSpPr>
        <xdr:cNvPr id="34" name="Rectángulo 33">
          <a:extLst>
            <a:ext uri="{FF2B5EF4-FFF2-40B4-BE49-F238E27FC236}">
              <a16:creationId xmlns:a16="http://schemas.microsoft.com/office/drawing/2014/main" id="{4D9EB3BD-8178-48F3-8A01-BD6620A86485}"/>
            </a:ext>
          </a:extLst>
        </xdr:cNvPr>
        <xdr:cNvSpPr/>
      </xdr:nvSpPr>
      <xdr:spPr>
        <a:xfrm>
          <a:off x="7240362" y="44519850"/>
          <a:ext cx="213880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585106</xdr:colOff>
      <xdr:row>276</xdr:row>
      <xdr:rowOff>13606</xdr:rowOff>
    </xdr:from>
    <xdr:to>
      <xdr:col>2</xdr:col>
      <xdr:colOff>798986</xdr:colOff>
      <xdr:row>276</xdr:row>
      <xdr:rowOff>227319</xdr:rowOff>
    </xdr:to>
    <xdr:sp macro="" textlink="">
      <xdr:nvSpPr>
        <xdr:cNvPr id="35" name="Rectángulo 34">
          <a:extLst>
            <a:ext uri="{FF2B5EF4-FFF2-40B4-BE49-F238E27FC236}">
              <a16:creationId xmlns:a16="http://schemas.microsoft.com/office/drawing/2014/main" id="{DC25CB2B-0F45-4A68-9D57-F013D26E4E32}"/>
            </a:ext>
          </a:extLst>
        </xdr:cNvPr>
        <xdr:cNvSpPr/>
      </xdr:nvSpPr>
      <xdr:spPr>
        <a:xfrm>
          <a:off x="1594756" y="58097056"/>
          <a:ext cx="213880" cy="1756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598714</xdr:colOff>
      <xdr:row>279</xdr:row>
      <xdr:rowOff>149679</xdr:rowOff>
    </xdr:from>
    <xdr:to>
      <xdr:col>2</xdr:col>
      <xdr:colOff>812594</xdr:colOff>
      <xdr:row>280</xdr:row>
      <xdr:rowOff>172892</xdr:rowOff>
    </xdr:to>
    <xdr:sp macro="" textlink="">
      <xdr:nvSpPr>
        <xdr:cNvPr id="36" name="Rectángulo 35">
          <a:extLst>
            <a:ext uri="{FF2B5EF4-FFF2-40B4-BE49-F238E27FC236}">
              <a16:creationId xmlns:a16="http://schemas.microsoft.com/office/drawing/2014/main" id="{87DDEC01-D08D-468B-9FEC-70A207B08CA6}"/>
            </a:ext>
          </a:extLst>
        </xdr:cNvPr>
        <xdr:cNvSpPr/>
      </xdr:nvSpPr>
      <xdr:spPr>
        <a:xfrm>
          <a:off x="1608364" y="58804629"/>
          <a:ext cx="213880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6</xdr:col>
      <xdr:colOff>625928</xdr:colOff>
      <xdr:row>275</xdr:row>
      <xdr:rowOff>27214</xdr:rowOff>
    </xdr:from>
    <xdr:to>
      <xdr:col>6</xdr:col>
      <xdr:colOff>839808</xdr:colOff>
      <xdr:row>275</xdr:row>
      <xdr:rowOff>240927</xdr:rowOff>
    </xdr:to>
    <xdr:sp macro="" textlink="">
      <xdr:nvSpPr>
        <xdr:cNvPr id="37" name="Rectángulo 36">
          <a:extLst>
            <a:ext uri="{FF2B5EF4-FFF2-40B4-BE49-F238E27FC236}">
              <a16:creationId xmlns:a16="http://schemas.microsoft.com/office/drawing/2014/main" id="{D2419CFC-839D-43C3-90F0-1EEADF8B68EE}"/>
            </a:ext>
          </a:extLst>
        </xdr:cNvPr>
        <xdr:cNvSpPr/>
      </xdr:nvSpPr>
      <xdr:spPr>
        <a:xfrm>
          <a:off x="5102678" y="57920164"/>
          <a:ext cx="213880" cy="166088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530678</xdr:colOff>
      <xdr:row>276</xdr:row>
      <xdr:rowOff>27214</xdr:rowOff>
    </xdr:from>
    <xdr:to>
      <xdr:col>9</xdr:col>
      <xdr:colOff>744558</xdr:colOff>
      <xdr:row>276</xdr:row>
      <xdr:rowOff>240927</xdr:rowOff>
    </xdr:to>
    <xdr:sp macro="" textlink="">
      <xdr:nvSpPr>
        <xdr:cNvPr id="38" name="Rectángulo 37">
          <a:extLst>
            <a:ext uri="{FF2B5EF4-FFF2-40B4-BE49-F238E27FC236}">
              <a16:creationId xmlns:a16="http://schemas.microsoft.com/office/drawing/2014/main" id="{180A5277-A0FB-4099-8268-9E14F8B10B3F}"/>
            </a:ext>
          </a:extLst>
        </xdr:cNvPr>
        <xdr:cNvSpPr/>
      </xdr:nvSpPr>
      <xdr:spPr>
        <a:xfrm>
          <a:off x="7512503" y="58110664"/>
          <a:ext cx="213880" cy="166088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PE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X</a:t>
          </a:r>
        </a:p>
      </xdr:txBody>
    </xdr:sp>
    <xdr:clientData/>
  </xdr:twoCellAnchor>
  <xdr:twoCellAnchor>
    <xdr:from>
      <xdr:col>9</xdr:col>
      <xdr:colOff>503464</xdr:colOff>
      <xdr:row>280</xdr:row>
      <xdr:rowOff>13607</xdr:rowOff>
    </xdr:from>
    <xdr:to>
      <xdr:col>9</xdr:col>
      <xdr:colOff>717344</xdr:colOff>
      <xdr:row>281</xdr:row>
      <xdr:rowOff>36820</xdr:rowOff>
    </xdr:to>
    <xdr:sp macro="" textlink="">
      <xdr:nvSpPr>
        <xdr:cNvPr id="39" name="Rectángulo 38">
          <a:extLst>
            <a:ext uri="{FF2B5EF4-FFF2-40B4-BE49-F238E27FC236}">
              <a16:creationId xmlns:a16="http://schemas.microsoft.com/office/drawing/2014/main" id="{C1E2ED51-1953-4A9C-BB64-69E7D939B4B1}"/>
            </a:ext>
          </a:extLst>
        </xdr:cNvPr>
        <xdr:cNvSpPr/>
      </xdr:nvSpPr>
      <xdr:spPr>
        <a:xfrm>
          <a:off x="7485289" y="58859057"/>
          <a:ext cx="213880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6</xdr:col>
      <xdr:colOff>625929</xdr:colOff>
      <xdr:row>277</xdr:row>
      <xdr:rowOff>0</xdr:rowOff>
    </xdr:from>
    <xdr:to>
      <xdr:col>6</xdr:col>
      <xdr:colOff>839809</xdr:colOff>
      <xdr:row>278</xdr:row>
      <xdr:rowOff>23213</xdr:rowOff>
    </xdr:to>
    <xdr:sp macro="" textlink="">
      <xdr:nvSpPr>
        <xdr:cNvPr id="40" name="Rectángulo 39">
          <a:extLst>
            <a:ext uri="{FF2B5EF4-FFF2-40B4-BE49-F238E27FC236}">
              <a16:creationId xmlns:a16="http://schemas.microsoft.com/office/drawing/2014/main" id="{F31E14EE-F71C-4C1D-8A93-B542E479F9CA}"/>
            </a:ext>
          </a:extLst>
        </xdr:cNvPr>
        <xdr:cNvSpPr/>
      </xdr:nvSpPr>
      <xdr:spPr>
        <a:xfrm>
          <a:off x="5102679" y="58273950"/>
          <a:ext cx="213880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6</xdr:col>
      <xdr:colOff>639534</xdr:colOff>
      <xdr:row>279</xdr:row>
      <xdr:rowOff>176893</xdr:rowOff>
    </xdr:from>
    <xdr:to>
      <xdr:col>6</xdr:col>
      <xdr:colOff>853414</xdr:colOff>
      <xdr:row>281</xdr:row>
      <xdr:rowOff>9606</xdr:rowOff>
    </xdr:to>
    <xdr:sp macro="" textlink="">
      <xdr:nvSpPr>
        <xdr:cNvPr id="41" name="Rectángulo 40">
          <a:extLst>
            <a:ext uri="{FF2B5EF4-FFF2-40B4-BE49-F238E27FC236}">
              <a16:creationId xmlns:a16="http://schemas.microsoft.com/office/drawing/2014/main" id="{C870825A-F836-4371-AECE-D2E906AE93F6}"/>
            </a:ext>
          </a:extLst>
        </xdr:cNvPr>
        <xdr:cNvSpPr/>
      </xdr:nvSpPr>
      <xdr:spPr>
        <a:xfrm>
          <a:off x="5116284" y="58831843"/>
          <a:ext cx="194830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5</xdr:col>
      <xdr:colOff>40822</xdr:colOff>
      <xdr:row>275</xdr:row>
      <xdr:rowOff>81643</xdr:rowOff>
    </xdr:from>
    <xdr:to>
      <xdr:col>5</xdr:col>
      <xdr:colOff>884465</xdr:colOff>
      <xdr:row>276</xdr:row>
      <xdr:rowOff>122464</xdr:rowOff>
    </xdr:to>
    <xdr:cxnSp macro="">
      <xdr:nvCxnSpPr>
        <xdr:cNvPr id="42" name="Conector recto 41">
          <a:extLst>
            <a:ext uri="{FF2B5EF4-FFF2-40B4-BE49-F238E27FC236}">
              <a16:creationId xmlns:a16="http://schemas.microsoft.com/office/drawing/2014/main" id="{9E783E88-7198-476C-B78C-D7AF4E467620}"/>
            </a:ext>
          </a:extLst>
        </xdr:cNvPr>
        <xdr:cNvCxnSpPr/>
      </xdr:nvCxnSpPr>
      <xdr:spPr>
        <a:xfrm flipH="1">
          <a:off x="3565072" y="57974593"/>
          <a:ext cx="843643" cy="23132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27215</xdr:colOff>
      <xdr:row>276</xdr:row>
      <xdr:rowOff>136071</xdr:rowOff>
    </xdr:from>
    <xdr:to>
      <xdr:col>5</xdr:col>
      <xdr:colOff>857250</xdr:colOff>
      <xdr:row>277</xdr:row>
      <xdr:rowOff>136072</xdr:rowOff>
    </xdr:to>
    <xdr:cxnSp macro="">
      <xdr:nvCxnSpPr>
        <xdr:cNvPr id="43" name="Conector recto 42">
          <a:extLst>
            <a:ext uri="{FF2B5EF4-FFF2-40B4-BE49-F238E27FC236}">
              <a16:creationId xmlns:a16="http://schemas.microsoft.com/office/drawing/2014/main" id="{A4BD890B-BF37-43D3-9622-466580347143}"/>
            </a:ext>
          </a:extLst>
        </xdr:cNvPr>
        <xdr:cNvCxnSpPr/>
      </xdr:nvCxnSpPr>
      <xdr:spPr>
        <a:xfrm>
          <a:off x="3551465" y="58219521"/>
          <a:ext cx="830035" cy="19050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334509</xdr:colOff>
      <xdr:row>364</xdr:row>
      <xdr:rowOff>179443</xdr:rowOff>
    </xdr:from>
    <xdr:to>
      <xdr:col>4</xdr:col>
      <xdr:colOff>545703</xdr:colOff>
      <xdr:row>366</xdr:row>
      <xdr:rowOff>9922</xdr:rowOff>
    </xdr:to>
    <xdr:sp macro="" textlink="">
      <xdr:nvSpPr>
        <xdr:cNvPr id="44" name="Rectángulo 43">
          <a:extLst>
            <a:ext uri="{FF2B5EF4-FFF2-40B4-BE49-F238E27FC236}">
              <a16:creationId xmlns:a16="http://schemas.microsoft.com/office/drawing/2014/main" id="{AA414E4F-2406-4486-8524-4DD9F10D1091}"/>
            </a:ext>
          </a:extLst>
        </xdr:cNvPr>
        <xdr:cNvSpPr/>
      </xdr:nvSpPr>
      <xdr:spPr>
        <a:xfrm>
          <a:off x="3020559" y="80332318"/>
          <a:ext cx="211194" cy="21147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334508</xdr:colOff>
      <xdr:row>369</xdr:row>
      <xdr:rowOff>0</xdr:rowOff>
    </xdr:from>
    <xdr:to>
      <xdr:col>4</xdr:col>
      <xdr:colOff>548388</xdr:colOff>
      <xdr:row>370</xdr:row>
      <xdr:rowOff>23213</xdr:rowOff>
    </xdr:to>
    <xdr:sp macro="" textlink="">
      <xdr:nvSpPr>
        <xdr:cNvPr id="45" name="Rectángulo 44">
          <a:extLst>
            <a:ext uri="{FF2B5EF4-FFF2-40B4-BE49-F238E27FC236}">
              <a16:creationId xmlns:a16="http://schemas.microsoft.com/office/drawing/2014/main" id="{0087283A-7BA4-44E9-A6E7-10AEE7EC2723}"/>
            </a:ext>
          </a:extLst>
        </xdr:cNvPr>
        <xdr:cNvSpPr/>
      </xdr:nvSpPr>
      <xdr:spPr>
        <a:xfrm>
          <a:off x="3020558" y="81105375"/>
          <a:ext cx="213880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340746</xdr:colOff>
      <xdr:row>373</xdr:row>
      <xdr:rowOff>166971</xdr:rowOff>
    </xdr:from>
    <xdr:to>
      <xdr:col>4</xdr:col>
      <xdr:colOff>554626</xdr:colOff>
      <xdr:row>374</xdr:row>
      <xdr:rowOff>188199</xdr:rowOff>
    </xdr:to>
    <xdr:sp macro="" textlink="">
      <xdr:nvSpPr>
        <xdr:cNvPr id="46" name="Rectángulo 45">
          <a:extLst>
            <a:ext uri="{FF2B5EF4-FFF2-40B4-BE49-F238E27FC236}">
              <a16:creationId xmlns:a16="http://schemas.microsoft.com/office/drawing/2014/main" id="{0DEC867C-E6F0-4C84-BFD6-274B964A0AED}"/>
            </a:ext>
          </a:extLst>
        </xdr:cNvPr>
        <xdr:cNvSpPr/>
      </xdr:nvSpPr>
      <xdr:spPr>
        <a:xfrm>
          <a:off x="3026796" y="82034346"/>
          <a:ext cx="213880" cy="211728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182621</xdr:colOff>
      <xdr:row>364</xdr:row>
      <xdr:rowOff>186815</xdr:rowOff>
    </xdr:from>
    <xdr:to>
      <xdr:col>9</xdr:col>
      <xdr:colOff>377031</xdr:colOff>
      <xdr:row>366</xdr:row>
      <xdr:rowOff>29766</xdr:rowOff>
    </xdr:to>
    <xdr:sp macro="" textlink="">
      <xdr:nvSpPr>
        <xdr:cNvPr id="47" name="Rectángulo 46">
          <a:extLst>
            <a:ext uri="{FF2B5EF4-FFF2-40B4-BE49-F238E27FC236}">
              <a16:creationId xmlns:a16="http://schemas.microsoft.com/office/drawing/2014/main" id="{16DE9344-6EF8-4A9A-A19D-057627E04011}"/>
            </a:ext>
          </a:extLst>
        </xdr:cNvPr>
        <xdr:cNvSpPr/>
      </xdr:nvSpPr>
      <xdr:spPr>
        <a:xfrm>
          <a:off x="7164446" y="80339690"/>
          <a:ext cx="194410" cy="223951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161584</xdr:colOff>
      <xdr:row>368</xdr:row>
      <xdr:rowOff>178594</xdr:rowOff>
    </xdr:from>
    <xdr:to>
      <xdr:col>9</xdr:col>
      <xdr:colOff>377031</xdr:colOff>
      <xdr:row>370</xdr:row>
      <xdr:rowOff>19845</xdr:rowOff>
    </xdr:to>
    <xdr:sp macro="" textlink="">
      <xdr:nvSpPr>
        <xdr:cNvPr id="48" name="Rectángulo 47">
          <a:extLst>
            <a:ext uri="{FF2B5EF4-FFF2-40B4-BE49-F238E27FC236}">
              <a16:creationId xmlns:a16="http://schemas.microsoft.com/office/drawing/2014/main" id="{DFCD77D3-997B-44DD-AC44-F52C4AE28EDA}"/>
            </a:ext>
          </a:extLst>
        </xdr:cNvPr>
        <xdr:cNvSpPr/>
      </xdr:nvSpPr>
      <xdr:spPr>
        <a:xfrm>
          <a:off x="7143409" y="81093469"/>
          <a:ext cx="215447" cy="222251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171506</xdr:colOff>
      <xdr:row>373</xdr:row>
      <xdr:rowOff>119062</xdr:rowOff>
    </xdr:from>
    <xdr:to>
      <xdr:col>9</xdr:col>
      <xdr:colOff>396874</xdr:colOff>
      <xdr:row>374</xdr:row>
      <xdr:rowOff>168671</xdr:rowOff>
    </xdr:to>
    <xdr:sp macro="" textlink="">
      <xdr:nvSpPr>
        <xdr:cNvPr id="49" name="Rectángulo 48">
          <a:extLst>
            <a:ext uri="{FF2B5EF4-FFF2-40B4-BE49-F238E27FC236}">
              <a16:creationId xmlns:a16="http://schemas.microsoft.com/office/drawing/2014/main" id="{E67DF107-4886-4A0E-97CE-D81820B7CC58}"/>
            </a:ext>
          </a:extLst>
        </xdr:cNvPr>
        <xdr:cNvSpPr/>
      </xdr:nvSpPr>
      <xdr:spPr>
        <a:xfrm>
          <a:off x="7153331" y="81986437"/>
          <a:ext cx="225368" cy="24010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191349</xdr:colOff>
      <xdr:row>377</xdr:row>
      <xdr:rowOff>162435</xdr:rowOff>
    </xdr:from>
    <xdr:to>
      <xdr:col>9</xdr:col>
      <xdr:colOff>426641</xdr:colOff>
      <xdr:row>379</xdr:row>
      <xdr:rowOff>29766</xdr:rowOff>
    </xdr:to>
    <xdr:sp macro="" textlink="">
      <xdr:nvSpPr>
        <xdr:cNvPr id="50" name="Rectángulo 49">
          <a:extLst>
            <a:ext uri="{FF2B5EF4-FFF2-40B4-BE49-F238E27FC236}">
              <a16:creationId xmlns:a16="http://schemas.microsoft.com/office/drawing/2014/main" id="{F51F5944-E76B-49A8-932E-B95C0CC7D23B}"/>
            </a:ext>
          </a:extLst>
        </xdr:cNvPr>
        <xdr:cNvSpPr/>
      </xdr:nvSpPr>
      <xdr:spPr>
        <a:xfrm>
          <a:off x="7173174" y="82791810"/>
          <a:ext cx="235292" cy="248331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95250</xdr:colOff>
      <xdr:row>394</xdr:row>
      <xdr:rowOff>95250</xdr:rowOff>
    </xdr:from>
    <xdr:to>
      <xdr:col>2</xdr:col>
      <xdr:colOff>884464</xdr:colOff>
      <xdr:row>395</xdr:row>
      <xdr:rowOff>122465</xdr:rowOff>
    </xdr:to>
    <xdr:cxnSp macro="">
      <xdr:nvCxnSpPr>
        <xdr:cNvPr id="51" name="Conector recto 69">
          <a:extLst>
            <a:ext uri="{FF2B5EF4-FFF2-40B4-BE49-F238E27FC236}">
              <a16:creationId xmlns:a16="http://schemas.microsoft.com/office/drawing/2014/main" id="{40E3120B-B4BF-4393-A8D3-28D4CA776279}"/>
            </a:ext>
          </a:extLst>
        </xdr:cNvPr>
        <xdr:cNvCxnSpPr/>
      </xdr:nvCxnSpPr>
      <xdr:spPr>
        <a:xfrm flipH="1">
          <a:off x="1104900" y="85963125"/>
          <a:ext cx="741589" cy="21771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108857</xdr:colOff>
      <xdr:row>395</xdr:row>
      <xdr:rowOff>136072</xdr:rowOff>
    </xdr:from>
    <xdr:to>
      <xdr:col>3</xdr:col>
      <xdr:colOff>13607</xdr:colOff>
      <xdr:row>397</xdr:row>
      <xdr:rowOff>95250</xdr:rowOff>
    </xdr:to>
    <xdr:cxnSp macro="">
      <xdr:nvCxnSpPr>
        <xdr:cNvPr id="52" name="Conector recto 70">
          <a:extLst>
            <a:ext uri="{FF2B5EF4-FFF2-40B4-BE49-F238E27FC236}">
              <a16:creationId xmlns:a16="http://schemas.microsoft.com/office/drawing/2014/main" id="{BC4DDE55-E0C6-4D5B-B046-2B12C5BC824E}"/>
            </a:ext>
          </a:extLst>
        </xdr:cNvPr>
        <xdr:cNvCxnSpPr/>
      </xdr:nvCxnSpPr>
      <xdr:spPr>
        <a:xfrm>
          <a:off x="1118507" y="86194447"/>
          <a:ext cx="742950" cy="34017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789215</xdr:colOff>
      <xdr:row>394</xdr:row>
      <xdr:rowOff>81643</xdr:rowOff>
    </xdr:from>
    <xdr:to>
      <xdr:col>5</xdr:col>
      <xdr:colOff>993322</xdr:colOff>
      <xdr:row>394</xdr:row>
      <xdr:rowOff>95250</xdr:rowOff>
    </xdr:to>
    <xdr:cxnSp macro="">
      <xdr:nvCxnSpPr>
        <xdr:cNvPr id="53" name="Conector recto de flecha 71">
          <a:extLst>
            <a:ext uri="{FF2B5EF4-FFF2-40B4-BE49-F238E27FC236}">
              <a16:creationId xmlns:a16="http://schemas.microsoft.com/office/drawing/2014/main" id="{9E38182A-5BC7-4331-BABF-6B49CEBF9190}"/>
            </a:ext>
          </a:extLst>
        </xdr:cNvPr>
        <xdr:cNvCxnSpPr/>
      </xdr:nvCxnSpPr>
      <xdr:spPr>
        <a:xfrm flipV="1">
          <a:off x="2637065" y="85949518"/>
          <a:ext cx="1842407" cy="13607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396</xdr:row>
      <xdr:rowOff>0</xdr:rowOff>
    </xdr:from>
    <xdr:to>
      <xdr:col>7</xdr:col>
      <xdr:colOff>213880</xdr:colOff>
      <xdr:row>397</xdr:row>
      <xdr:rowOff>23213</xdr:rowOff>
    </xdr:to>
    <xdr:sp macro="" textlink="">
      <xdr:nvSpPr>
        <xdr:cNvPr id="54" name="Rectángulo 72">
          <a:extLst>
            <a:ext uri="{FF2B5EF4-FFF2-40B4-BE49-F238E27FC236}">
              <a16:creationId xmlns:a16="http://schemas.microsoft.com/office/drawing/2014/main" id="{6CCC6BDF-692D-4A26-9725-958795E58625}"/>
            </a:ext>
          </a:extLst>
        </xdr:cNvPr>
        <xdr:cNvSpPr/>
      </xdr:nvSpPr>
      <xdr:spPr>
        <a:xfrm>
          <a:off x="5314950" y="86248875"/>
          <a:ext cx="213880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68035</xdr:colOff>
      <xdr:row>396</xdr:row>
      <xdr:rowOff>0</xdr:rowOff>
    </xdr:from>
    <xdr:to>
      <xdr:col>9</xdr:col>
      <xdr:colOff>281915</xdr:colOff>
      <xdr:row>397</xdr:row>
      <xdr:rowOff>23213</xdr:rowOff>
    </xdr:to>
    <xdr:sp macro="" textlink="">
      <xdr:nvSpPr>
        <xdr:cNvPr id="55" name="Rectángulo 73">
          <a:extLst>
            <a:ext uri="{FF2B5EF4-FFF2-40B4-BE49-F238E27FC236}">
              <a16:creationId xmlns:a16="http://schemas.microsoft.com/office/drawing/2014/main" id="{CBA4DDF2-045B-46D8-8B52-B564C01B207A}"/>
            </a:ext>
          </a:extLst>
        </xdr:cNvPr>
        <xdr:cNvSpPr/>
      </xdr:nvSpPr>
      <xdr:spPr>
        <a:xfrm>
          <a:off x="7049860" y="86248875"/>
          <a:ext cx="213880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PE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286801</xdr:colOff>
      <xdr:row>15</xdr:row>
      <xdr:rowOff>26124</xdr:rowOff>
    </xdr:from>
    <xdr:to>
      <xdr:col>1</xdr:col>
      <xdr:colOff>529256</xdr:colOff>
      <xdr:row>16</xdr:row>
      <xdr:rowOff>26124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467776" y="3207474"/>
          <a:ext cx="242455" cy="23812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424546</xdr:colOff>
      <xdr:row>14</xdr:row>
      <xdr:rowOff>235138</xdr:rowOff>
    </xdr:from>
    <xdr:to>
      <xdr:col>3</xdr:col>
      <xdr:colOff>104774</xdr:colOff>
      <xdr:row>15</xdr:row>
      <xdr:rowOff>235138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167496" y="3178363"/>
          <a:ext cx="308878" cy="23812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PE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X</a:t>
          </a:r>
        </a:p>
      </xdr:txBody>
    </xdr:sp>
    <xdr:clientData/>
  </xdr:twoCellAnchor>
  <xdr:twoCellAnchor>
    <xdr:from>
      <xdr:col>3</xdr:col>
      <xdr:colOff>449244</xdr:colOff>
      <xdr:row>15</xdr:row>
      <xdr:rowOff>9525</xdr:rowOff>
    </xdr:from>
    <xdr:to>
      <xdr:col>4</xdr:col>
      <xdr:colOff>53524</xdr:colOff>
      <xdr:row>16</xdr:row>
      <xdr:rowOff>9525</xdr:rowOff>
    </xdr:to>
    <xdr:sp macro="" textlink="">
      <xdr:nvSpPr>
        <xdr:cNvPr id="4" name="Rectángul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820844" y="3190875"/>
          <a:ext cx="242455" cy="23812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544599</xdr:colOff>
      <xdr:row>15</xdr:row>
      <xdr:rowOff>11723</xdr:rowOff>
    </xdr:from>
    <xdr:to>
      <xdr:col>5</xdr:col>
      <xdr:colOff>6004</xdr:colOff>
      <xdr:row>16</xdr:row>
      <xdr:rowOff>11723</xdr:rowOff>
    </xdr:to>
    <xdr:sp macro="" textlink="">
      <xdr:nvSpPr>
        <xdr:cNvPr id="5" name="Rectángulo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2554374" y="3193073"/>
          <a:ext cx="242455" cy="23812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400050</xdr:colOff>
      <xdr:row>20</xdr:row>
      <xdr:rowOff>0</xdr:rowOff>
    </xdr:from>
    <xdr:to>
      <xdr:col>4</xdr:col>
      <xdr:colOff>3842</xdr:colOff>
      <xdr:row>21</xdr:row>
      <xdr:rowOff>0</xdr:rowOff>
    </xdr:to>
    <xdr:sp macro="" textlink="">
      <xdr:nvSpPr>
        <xdr:cNvPr id="6" name="cbxEstado1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771650" y="4295775"/>
          <a:ext cx="241967" cy="23812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495301</xdr:colOff>
      <xdr:row>20</xdr:row>
      <xdr:rowOff>0</xdr:rowOff>
    </xdr:from>
    <xdr:to>
      <xdr:col>5</xdr:col>
      <xdr:colOff>2651</xdr:colOff>
      <xdr:row>21</xdr:row>
      <xdr:rowOff>0</xdr:rowOff>
    </xdr:to>
    <xdr:sp macro="" textlink="">
      <xdr:nvSpPr>
        <xdr:cNvPr id="7" name="cbxEstado2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2505076" y="4295775"/>
          <a:ext cx="288400" cy="23812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5</xdr:col>
      <xdr:colOff>504265</xdr:colOff>
      <xdr:row>20</xdr:row>
      <xdr:rowOff>0</xdr:rowOff>
    </xdr:from>
    <xdr:to>
      <xdr:col>5</xdr:col>
      <xdr:colOff>746720</xdr:colOff>
      <xdr:row>21</xdr:row>
      <xdr:rowOff>0</xdr:rowOff>
    </xdr:to>
    <xdr:sp macro="" textlink="">
      <xdr:nvSpPr>
        <xdr:cNvPr id="8" name="cbxEstado3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3295090" y="4295775"/>
          <a:ext cx="242455" cy="23812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297126</xdr:colOff>
      <xdr:row>29</xdr:row>
      <xdr:rowOff>10594</xdr:rowOff>
    </xdr:from>
    <xdr:to>
      <xdr:col>1</xdr:col>
      <xdr:colOff>472906</xdr:colOff>
      <xdr:row>30</xdr:row>
      <xdr:rowOff>10595</xdr:rowOff>
    </xdr:to>
    <xdr:sp macro="" textlink="">
      <xdr:nvSpPr>
        <xdr:cNvPr id="9" name="Rectángul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478101" y="6449494"/>
          <a:ext cx="175780" cy="238126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352425</xdr:colOff>
      <xdr:row>28</xdr:row>
      <xdr:rowOff>235138</xdr:rowOff>
    </xdr:from>
    <xdr:to>
      <xdr:col>3</xdr:col>
      <xdr:colOff>252</xdr:colOff>
      <xdr:row>29</xdr:row>
      <xdr:rowOff>235138</xdr:rowOff>
    </xdr:to>
    <xdr:sp macro="" textlink="">
      <xdr:nvSpPr>
        <xdr:cNvPr id="10" name="Rectángul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1095375" y="6435913"/>
          <a:ext cx="276477" cy="23812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239694</xdr:colOff>
      <xdr:row>29</xdr:row>
      <xdr:rowOff>0</xdr:rowOff>
    </xdr:from>
    <xdr:to>
      <xdr:col>3</xdr:col>
      <xdr:colOff>482149</xdr:colOff>
      <xdr:row>30</xdr:row>
      <xdr:rowOff>0</xdr:rowOff>
    </xdr:to>
    <xdr:sp macro="" textlink="">
      <xdr:nvSpPr>
        <xdr:cNvPr id="11" name="Rectángul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1611294" y="6438900"/>
          <a:ext cx="242455" cy="23812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28</xdr:row>
      <xdr:rowOff>249848</xdr:rowOff>
    </xdr:from>
    <xdr:to>
      <xdr:col>4</xdr:col>
      <xdr:colOff>567979</xdr:colOff>
      <xdr:row>29</xdr:row>
      <xdr:rowOff>249848</xdr:rowOff>
    </xdr:to>
    <xdr:sp macro="" textlink="">
      <xdr:nvSpPr>
        <xdr:cNvPr id="12" name="Rectángul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2335299" y="6441098"/>
          <a:ext cx="242455" cy="23812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286801</xdr:colOff>
      <xdr:row>41</xdr:row>
      <xdr:rowOff>3711</xdr:rowOff>
    </xdr:from>
    <xdr:to>
      <xdr:col>1</xdr:col>
      <xdr:colOff>529256</xdr:colOff>
      <xdr:row>42</xdr:row>
      <xdr:rowOff>3711</xdr:rowOff>
    </xdr:to>
    <xdr:sp macro="" textlink="">
      <xdr:nvSpPr>
        <xdr:cNvPr id="13" name="Rectángul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467776" y="9290586"/>
          <a:ext cx="242455" cy="23812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361949</xdr:colOff>
      <xdr:row>40</xdr:row>
      <xdr:rowOff>235138</xdr:rowOff>
    </xdr:from>
    <xdr:to>
      <xdr:col>3</xdr:col>
      <xdr:colOff>251</xdr:colOff>
      <xdr:row>41</xdr:row>
      <xdr:rowOff>235138</xdr:rowOff>
    </xdr:to>
    <xdr:sp macro="" textlink="">
      <xdr:nvSpPr>
        <xdr:cNvPr id="14" name="Rectángul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1104899" y="9283888"/>
          <a:ext cx="266952" cy="23812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239694</xdr:colOff>
      <xdr:row>41</xdr:row>
      <xdr:rowOff>0</xdr:rowOff>
    </xdr:from>
    <xdr:to>
      <xdr:col>3</xdr:col>
      <xdr:colOff>482149</xdr:colOff>
      <xdr:row>42</xdr:row>
      <xdr:rowOff>0</xdr:rowOff>
    </xdr:to>
    <xdr:sp macro="" textlink="">
      <xdr:nvSpPr>
        <xdr:cNvPr id="15" name="Rectángul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1611294" y="9286875"/>
          <a:ext cx="242455" cy="23812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40</xdr:row>
      <xdr:rowOff>249848</xdr:rowOff>
    </xdr:from>
    <xdr:to>
      <xdr:col>4</xdr:col>
      <xdr:colOff>567979</xdr:colOff>
      <xdr:row>41</xdr:row>
      <xdr:rowOff>249848</xdr:rowOff>
    </xdr:to>
    <xdr:sp macro="" textlink="">
      <xdr:nvSpPr>
        <xdr:cNvPr id="16" name="Rectángul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2335299" y="9289073"/>
          <a:ext cx="242455" cy="23812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7</xdr:col>
      <xdr:colOff>38100</xdr:colOff>
      <xdr:row>20</xdr:row>
      <xdr:rowOff>2</xdr:rowOff>
    </xdr:from>
    <xdr:to>
      <xdr:col>7</xdr:col>
      <xdr:colOff>271030</xdr:colOff>
      <xdr:row>21</xdr:row>
      <xdr:rowOff>2</xdr:rowOff>
    </xdr:to>
    <xdr:sp macro="" textlink="">
      <xdr:nvSpPr>
        <xdr:cNvPr id="18" name="cbxEstado4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4295775" y="4295777"/>
          <a:ext cx="232930" cy="23812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10</xdr:col>
      <xdr:colOff>257175</xdr:colOff>
      <xdr:row>20</xdr:row>
      <xdr:rowOff>9525</xdr:rowOff>
    </xdr:from>
    <xdr:to>
      <xdr:col>10</xdr:col>
      <xdr:colOff>471055</xdr:colOff>
      <xdr:row>21</xdr:row>
      <xdr:rowOff>9525</xdr:rowOff>
    </xdr:to>
    <xdr:sp macro="" textlink="">
      <xdr:nvSpPr>
        <xdr:cNvPr id="19" name="cbxEstado5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6496050" y="4305300"/>
          <a:ext cx="213880" cy="23812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459921</xdr:colOff>
      <xdr:row>83</xdr:row>
      <xdr:rowOff>114300</xdr:rowOff>
    </xdr:from>
    <xdr:to>
      <xdr:col>10</xdr:col>
      <xdr:colOff>161192</xdr:colOff>
      <xdr:row>84</xdr:row>
      <xdr:rowOff>114302</xdr:rowOff>
    </xdr:to>
    <xdr:sp macro="" textlink="">
      <xdr:nvSpPr>
        <xdr:cNvPr id="20" name="Rectángul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6127296" y="17811750"/>
          <a:ext cx="272771" cy="200027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450515</xdr:colOff>
      <xdr:row>86</xdr:row>
      <xdr:rowOff>76200</xdr:rowOff>
    </xdr:from>
    <xdr:to>
      <xdr:col>10</xdr:col>
      <xdr:colOff>149468</xdr:colOff>
      <xdr:row>87</xdr:row>
      <xdr:rowOff>107497</xdr:rowOff>
    </xdr:to>
    <xdr:sp macro="" textlink="">
      <xdr:nvSpPr>
        <xdr:cNvPr id="21" name="Rectángulo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6117890" y="18373725"/>
          <a:ext cx="270453" cy="231322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461282</xdr:colOff>
      <xdr:row>89</xdr:row>
      <xdr:rowOff>2197</xdr:rowOff>
    </xdr:from>
    <xdr:to>
      <xdr:col>10</xdr:col>
      <xdr:colOff>161192</xdr:colOff>
      <xdr:row>90</xdr:row>
      <xdr:rowOff>27217</xdr:rowOff>
    </xdr:to>
    <xdr:sp macro="" textlink="">
      <xdr:nvSpPr>
        <xdr:cNvPr id="22" name="Rectángulo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6128657" y="18899797"/>
          <a:ext cx="271410" cy="22504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451756</xdr:colOff>
      <xdr:row>90</xdr:row>
      <xdr:rowOff>180975</xdr:rowOff>
    </xdr:from>
    <xdr:to>
      <xdr:col>10</xdr:col>
      <xdr:colOff>161191</xdr:colOff>
      <xdr:row>92</xdr:row>
      <xdr:rowOff>0</xdr:rowOff>
    </xdr:to>
    <xdr:sp macro="" textlink="">
      <xdr:nvSpPr>
        <xdr:cNvPr id="23" name="Rectángulo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>
          <a:off x="6119131" y="19278600"/>
          <a:ext cx="280935" cy="21907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424619</xdr:colOff>
      <xdr:row>93</xdr:row>
      <xdr:rowOff>66674</xdr:rowOff>
    </xdr:from>
    <xdr:to>
      <xdr:col>10</xdr:col>
      <xdr:colOff>117962</xdr:colOff>
      <xdr:row>94</xdr:row>
      <xdr:rowOff>88028</xdr:rowOff>
    </xdr:to>
    <xdr:sp macro="" textlink="">
      <xdr:nvSpPr>
        <xdr:cNvPr id="24" name="Rectángulo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6091994" y="19764374"/>
          <a:ext cx="264843" cy="22137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537882</xdr:colOff>
      <xdr:row>138</xdr:row>
      <xdr:rowOff>168088</xdr:rowOff>
    </xdr:from>
    <xdr:to>
      <xdr:col>3</xdr:col>
      <xdr:colOff>200025</xdr:colOff>
      <xdr:row>140</xdr:row>
      <xdr:rowOff>801</xdr:rowOff>
    </xdr:to>
    <xdr:sp macro="" textlink="">
      <xdr:nvSpPr>
        <xdr:cNvPr id="25" name="Rectángulo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1280832" y="29076463"/>
          <a:ext cx="290793" cy="2518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537881</xdr:colOff>
      <xdr:row>141</xdr:row>
      <xdr:rowOff>11206</xdr:rowOff>
    </xdr:from>
    <xdr:to>
      <xdr:col>3</xdr:col>
      <xdr:colOff>190499</xdr:colOff>
      <xdr:row>142</xdr:row>
      <xdr:rowOff>34419</xdr:rowOff>
    </xdr:to>
    <xdr:sp macro="" textlink="">
      <xdr:nvSpPr>
        <xdr:cNvPr id="26" name="Rectángulo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>
          <a:off x="1280831" y="29548231"/>
          <a:ext cx="281268" cy="23276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5</xdr:col>
      <xdr:colOff>187138</xdr:colOff>
      <xdr:row>139</xdr:row>
      <xdr:rowOff>14007</xdr:rowOff>
    </xdr:from>
    <xdr:to>
      <xdr:col>5</xdr:col>
      <xdr:colOff>401018</xdr:colOff>
      <xdr:row>140</xdr:row>
      <xdr:rowOff>37220</xdr:rowOff>
    </xdr:to>
    <xdr:sp macro="" textlink="">
      <xdr:nvSpPr>
        <xdr:cNvPr id="27" name="Rectángulo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>
        <a:xfrm>
          <a:off x="2977963" y="29131932"/>
          <a:ext cx="213880" cy="23276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5</xdr:col>
      <xdr:colOff>179294</xdr:colOff>
      <xdr:row>141</xdr:row>
      <xdr:rowOff>0</xdr:rowOff>
    </xdr:from>
    <xdr:to>
      <xdr:col>5</xdr:col>
      <xdr:colOff>393174</xdr:colOff>
      <xdr:row>142</xdr:row>
      <xdr:rowOff>23213</xdr:rowOff>
    </xdr:to>
    <xdr:sp macro="" textlink="">
      <xdr:nvSpPr>
        <xdr:cNvPr id="28" name="Rectángulo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>
        <a:xfrm>
          <a:off x="2970119" y="29537025"/>
          <a:ext cx="213880" cy="23276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202266</xdr:colOff>
      <xdr:row>138</xdr:row>
      <xdr:rowOff>200025</xdr:rowOff>
    </xdr:from>
    <xdr:to>
      <xdr:col>9</xdr:col>
      <xdr:colOff>416146</xdr:colOff>
      <xdr:row>140</xdr:row>
      <xdr:rowOff>13688</xdr:rowOff>
    </xdr:to>
    <xdr:sp macro="" textlink="">
      <xdr:nvSpPr>
        <xdr:cNvPr id="29" name="Rectángulo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5869641" y="29108400"/>
          <a:ext cx="213880" cy="23276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172010</xdr:colOff>
      <xdr:row>141</xdr:row>
      <xdr:rowOff>17369</xdr:rowOff>
    </xdr:from>
    <xdr:to>
      <xdr:col>9</xdr:col>
      <xdr:colOff>385890</xdr:colOff>
      <xdr:row>142</xdr:row>
      <xdr:rowOff>59632</xdr:rowOff>
    </xdr:to>
    <xdr:sp macro="" textlink="">
      <xdr:nvSpPr>
        <xdr:cNvPr id="30" name="Rectángulo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>
        <a:xfrm>
          <a:off x="5839385" y="29554394"/>
          <a:ext cx="213880" cy="2518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459441</xdr:colOff>
      <xdr:row>162</xdr:row>
      <xdr:rowOff>0</xdr:rowOff>
    </xdr:from>
    <xdr:to>
      <xdr:col>10</xdr:col>
      <xdr:colOff>171450</xdr:colOff>
      <xdr:row>163</xdr:row>
      <xdr:rowOff>802</xdr:rowOff>
    </xdr:to>
    <xdr:sp macro="" textlink="">
      <xdr:nvSpPr>
        <xdr:cNvPr id="31" name="Rectángulo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>
        <a:xfrm>
          <a:off x="6126816" y="33937575"/>
          <a:ext cx="283509" cy="210352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459442</xdr:colOff>
      <xdr:row>166</xdr:row>
      <xdr:rowOff>0</xdr:rowOff>
    </xdr:from>
    <xdr:to>
      <xdr:col>10</xdr:col>
      <xdr:colOff>152400</xdr:colOff>
      <xdr:row>167</xdr:row>
      <xdr:rowOff>23213</xdr:rowOff>
    </xdr:to>
    <xdr:sp macro="" textlink="">
      <xdr:nvSpPr>
        <xdr:cNvPr id="32" name="Rectángulo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>
        <a:xfrm>
          <a:off x="6126817" y="34775775"/>
          <a:ext cx="264458" cy="23276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272143</xdr:colOff>
      <xdr:row>185</xdr:row>
      <xdr:rowOff>176893</xdr:rowOff>
    </xdr:from>
    <xdr:to>
      <xdr:col>9</xdr:col>
      <xdr:colOff>486023</xdr:colOff>
      <xdr:row>187</xdr:row>
      <xdr:rowOff>9606</xdr:rowOff>
    </xdr:to>
    <xdr:sp macro="" textlink="">
      <xdr:nvSpPr>
        <xdr:cNvPr id="33" name="Rectángulo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>
        <a:xfrm>
          <a:off x="5939518" y="39086518"/>
          <a:ext cx="213880" cy="2518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258537</xdr:colOff>
      <xdr:row>188</xdr:row>
      <xdr:rowOff>0</xdr:rowOff>
    </xdr:from>
    <xdr:to>
      <xdr:col>9</xdr:col>
      <xdr:colOff>472417</xdr:colOff>
      <xdr:row>189</xdr:row>
      <xdr:rowOff>23213</xdr:rowOff>
    </xdr:to>
    <xdr:sp macro="" textlink="">
      <xdr:nvSpPr>
        <xdr:cNvPr id="34" name="Rectángulo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>
        <a:xfrm>
          <a:off x="5925912" y="39538275"/>
          <a:ext cx="213880" cy="23276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6</xdr:col>
      <xdr:colOff>480391</xdr:colOff>
      <xdr:row>230</xdr:row>
      <xdr:rowOff>27214</xdr:rowOff>
    </xdr:from>
    <xdr:to>
      <xdr:col>7</xdr:col>
      <xdr:colOff>4562</xdr:colOff>
      <xdr:row>230</xdr:row>
      <xdr:rowOff>240927</xdr:rowOff>
    </xdr:to>
    <xdr:sp macro="" textlink="">
      <xdr:nvSpPr>
        <xdr:cNvPr id="35" name="Rectángulo 36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>
        <a:xfrm>
          <a:off x="4042741" y="48242764"/>
          <a:ext cx="219496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5</xdr:col>
      <xdr:colOff>40822</xdr:colOff>
      <xdr:row>230</xdr:row>
      <xdr:rowOff>81643</xdr:rowOff>
    </xdr:from>
    <xdr:to>
      <xdr:col>5</xdr:col>
      <xdr:colOff>884465</xdr:colOff>
      <xdr:row>231</xdr:row>
      <xdr:rowOff>122464</xdr:rowOff>
    </xdr:to>
    <xdr:cxnSp macro="">
      <xdr:nvCxnSpPr>
        <xdr:cNvPr id="36" name="Conector recto 41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CxnSpPr/>
      </xdr:nvCxnSpPr>
      <xdr:spPr>
        <a:xfrm flipH="1">
          <a:off x="2831647" y="48297193"/>
          <a:ext cx="729343" cy="28847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27215</xdr:colOff>
      <xdr:row>231</xdr:row>
      <xdr:rowOff>136071</xdr:rowOff>
    </xdr:from>
    <xdr:to>
      <xdr:col>5</xdr:col>
      <xdr:colOff>857250</xdr:colOff>
      <xdr:row>232</xdr:row>
      <xdr:rowOff>136072</xdr:rowOff>
    </xdr:to>
    <xdr:cxnSp macro="">
      <xdr:nvCxnSpPr>
        <xdr:cNvPr id="37" name="Conector recto 42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CxnSpPr/>
      </xdr:nvCxnSpPr>
      <xdr:spPr>
        <a:xfrm>
          <a:off x="2818040" y="48599271"/>
          <a:ext cx="744310" cy="24765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631372</xdr:colOff>
      <xdr:row>275</xdr:row>
      <xdr:rowOff>187778</xdr:rowOff>
    </xdr:from>
    <xdr:to>
      <xdr:col>5</xdr:col>
      <xdr:colOff>64202</xdr:colOff>
      <xdr:row>277</xdr:row>
      <xdr:rowOff>20491</xdr:rowOff>
    </xdr:to>
    <xdr:sp macro="" textlink="">
      <xdr:nvSpPr>
        <xdr:cNvPr id="38" name="Rectángulo 43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/>
      </xdr:nvSpPr>
      <xdr:spPr>
        <a:xfrm>
          <a:off x="2641147" y="57194903"/>
          <a:ext cx="213880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621846</xdr:colOff>
      <xdr:row>278</xdr:row>
      <xdr:rowOff>95250</xdr:rowOff>
    </xdr:from>
    <xdr:to>
      <xdr:col>5</xdr:col>
      <xdr:colOff>54676</xdr:colOff>
      <xdr:row>279</xdr:row>
      <xdr:rowOff>118463</xdr:rowOff>
    </xdr:to>
    <xdr:sp macro="" textlink="">
      <xdr:nvSpPr>
        <xdr:cNvPr id="39" name="Rectángulo 44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>
        <a:xfrm>
          <a:off x="2631621" y="57673875"/>
          <a:ext cx="213880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617764</xdr:colOff>
      <xdr:row>280</xdr:row>
      <xdr:rowOff>176893</xdr:rowOff>
    </xdr:from>
    <xdr:to>
      <xdr:col>5</xdr:col>
      <xdr:colOff>50594</xdr:colOff>
      <xdr:row>282</xdr:row>
      <xdr:rowOff>9606</xdr:rowOff>
    </xdr:to>
    <xdr:sp macro="" textlink="">
      <xdr:nvSpPr>
        <xdr:cNvPr id="40" name="Rectángulo 45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/>
      </xdr:nvSpPr>
      <xdr:spPr>
        <a:xfrm>
          <a:off x="2627539" y="58136518"/>
          <a:ext cx="213880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10</xdr:col>
      <xdr:colOff>140154</xdr:colOff>
      <xdr:row>276</xdr:row>
      <xdr:rowOff>5443</xdr:rowOff>
    </xdr:from>
    <xdr:to>
      <xdr:col>10</xdr:col>
      <xdr:colOff>329541</xdr:colOff>
      <xdr:row>277</xdr:row>
      <xdr:rowOff>28656</xdr:rowOff>
    </xdr:to>
    <xdr:sp macro="" textlink="">
      <xdr:nvSpPr>
        <xdr:cNvPr id="41" name="Rectángulo 46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>
        <a:xfrm>
          <a:off x="6379029" y="57203068"/>
          <a:ext cx="189387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10</xdr:col>
      <xdr:colOff>121104</xdr:colOff>
      <xdr:row>278</xdr:row>
      <xdr:rowOff>0</xdr:rowOff>
    </xdr:from>
    <xdr:to>
      <xdr:col>10</xdr:col>
      <xdr:colOff>310491</xdr:colOff>
      <xdr:row>279</xdr:row>
      <xdr:rowOff>23213</xdr:rowOff>
    </xdr:to>
    <xdr:sp macro="" textlink="">
      <xdr:nvSpPr>
        <xdr:cNvPr id="42" name="Rectángulo 47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/>
      </xdr:nvSpPr>
      <xdr:spPr>
        <a:xfrm>
          <a:off x="6359979" y="57578625"/>
          <a:ext cx="189387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10</xdr:col>
      <xdr:colOff>149679</xdr:colOff>
      <xdr:row>280</xdr:row>
      <xdr:rowOff>171450</xdr:rowOff>
    </xdr:from>
    <xdr:to>
      <xdr:col>10</xdr:col>
      <xdr:colOff>339066</xdr:colOff>
      <xdr:row>282</xdr:row>
      <xdr:rowOff>4163</xdr:rowOff>
    </xdr:to>
    <xdr:sp macro="" textlink="">
      <xdr:nvSpPr>
        <xdr:cNvPr id="43" name="Rectángulo 48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/>
      </xdr:nvSpPr>
      <xdr:spPr>
        <a:xfrm>
          <a:off x="6388554" y="58131075"/>
          <a:ext cx="189387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10</xdr:col>
      <xdr:colOff>140154</xdr:colOff>
      <xdr:row>282</xdr:row>
      <xdr:rowOff>166008</xdr:rowOff>
    </xdr:from>
    <xdr:to>
      <xdr:col>10</xdr:col>
      <xdr:colOff>329541</xdr:colOff>
      <xdr:row>283</xdr:row>
      <xdr:rowOff>189221</xdr:rowOff>
    </xdr:to>
    <xdr:sp macro="" textlink="">
      <xdr:nvSpPr>
        <xdr:cNvPr id="44" name="Rectángulo 49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/>
      </xdr:nvSpPr>
      <xdr:spPr>
        <a:xfrm>
          <a:off x="6379029" y="58506633"/>
          <a:ext cx="189387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372342</xdr:colOff>
      <xdr:row>572</xdr:row>
      <xdr:rowOff>0</xdr:rowOff>
    </xdr:from>
    <xdr:to>
      <xdr:col>10</xdr:col>
      <xdr:colOff>2970</xdr:colOff>
      <xdr:row>573</xdr:row>
      <xdr:rowOff>23213</xdr:rowOff>
    </xdr:to>
    <xdr:sp macro="" textlink="">
      <xdr:nvSpPr>
        <xdr:cNvPr id="45" name="Rectángulo 50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>
        <a:xfrm>
          <a:off x="6039717" y="119005350"/>
          <a:ext cx="202128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372341</xdr:colOff>
      <xdr:row>575</xdr:row>
      <xdr:rowOff>13607</xdr:rowOff>
    </xdr:from>
    <xdr:to>
      <xdr:col>10</xdr:col>
      <xdr:colOff>8658</xdr:colOff>
      <xdr:row>576</xdr:row>
      <xdr:rowOff>36820</xdr:rowOff>
    </xdr:to>
    <xdr:sp macro="" textlink="">
      <xdr:nvSpPr>
        <xdr:cNvPr id="46" name="Rectángulo 51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/>
      </xdr:nvSpPr>
      <xdr:spPr>
        <a:xfrm>
          <a:off x="6039716" y="119590457"/>
          <a:ext cx="207817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381000</xdr:colOff>
      <xdr:row>577</xdr:row>
      <xdr:rowOff>176893</xdr:rowOff>
    </xdr:from>
    <xdr:to>
      <xdr:col>9</xdr:col>
      <xdr:colOff>594880</xdr:colOff>
      <xdr:row>579</xdr:row>
      <xdr:rowOff>9606</xdr:rowOff>
    </xdr:to>
    <xdr:sp macro="" textlink="">
      <xdr:nvSpPr>
        <xdr:cNvPr id="47" name="Rectángulo 52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/>
      </xdr:nvSpPr>
      <xdr:spPr>
        <a:xfrm>
          <a:off x="6048375" y="120134743"/>
          <a:ext cx="194830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381000</xdr:colOff>
      <xdr:row>581</xdr:row>
      <xdr:rowOff>0</xdr:rowOff>
    </xdr:from>
    <xdr:to>
      <xdr:col>10</xdr:col>
      <xdr:colOff>2969</xdr:colOff>
      <xdr:row>582</xdr:row>
      <xdr:rowOff>23213</xdr:rowOff>
    </xdr:to>
    <xdr:sp macro="" textlink="">
      <xdr:nvSpPr>
        <xdr:cNvPr id="48" name="Rectángulo 53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/>
      </xdr:nvSpPr>
      <xdr:spPr>
        <a:xfrm>
          <a:off x="6048375" y="120719850"/>
          <a:ext cx="193469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95250</xdr:colOff>
      <xdr:row>628</xdr:row>
      <xdr:rowOff>95250</xdr:rowOff>
    </xdr:from>
    <xdr:to>
      <xdr:col>2</xdr:col>
      <xdr:colOff>884464</xdr:colOff>
      <xdr:row>629</xdr:row>
      <xdr:rowOff>122465</xdr:rowOff>
    </xdr:to>
    <xdr:cxnSp macro="">
      <xdr:nvCxnSpPr>
        <xdr:cNvPr id="49" name="Conector recto 54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CxnSpPr/>
      </xdr:nvCxnSpPr>
      <xdr:spPr>
        <a:xfrm flipH="1">
          <a:off x="838200" y="131606925"/>
          <a:ext cx="532039" cy="21771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108857</xdr:colOff>
      <xdr:row>629</xdr:row>
      <xdr:rowOff>136072</xdr:rowOff>
    </xdr:from>
    <xdr:to>
      <xdr:col>3</xdr:col>
      <xdr:colOff>13607</xdr:colOff>
      <xdr:row>631</xdr:row>
      <xdr:rowOff>95250</xdr:rowOff>
    </xdr:to>
    <xdr:cxnSp macro="">
      <xdr:nvCxnSpPr>
        <xdr:cNvPr id="50" name="Conector recto 55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CxnSpPr/>
      </xdr:nvCxnSpPr>
      <xdr:spPr>
        <a:xfrm>
          <a:off x="851807" y="131838247"/>
          <a:ext cx="533400" cy="34017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789215</xdr:colOff>
      <xdr:row>628</xdr:row>
      <xdr:rowOff>81643</xdr:rowOff>
    </xdr:from>
    <xdr:to>
      <xdr:col>5</xdr:col>
      <xdr:colOff>993322</xdr:colOff>
      <xdr:row>628</xdr:row>
      <xdr:rowOff>95250</xdr:rowOff>
    </xdr:to>
    <xdr:cxnSp macro="">
      <xdr:nvCxnSpPr>
        <xdr:cNvPr id="51" name="Conector recto de flecha 56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CxnSpPr/>
      </xdr:nvCxnSpPr>
      <xdr:spPr>
        <a:xfrm flipV="1">
          <a:off x="2008415" y="131593318"/>
          <a:ext cx="1556657" cy="13607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630</xdr:row>
      <xdr:rowOff>0</xdr:rowOff>
    </xdr:from>
    <xdr:to>
      <xdr:col>7</xdr:col>
      <xdr:colOff>213880</xdr:colOff>
      <xdr:row>631</xdr:row>
      <xdr:rowOff>23213</xdr:rowOff>
    </xdr:to>
    <xdr:sp macro="" textlink="">
      <xdr:nvSpPr>
        <xdr:cNvPr id="52" name="Rectángulo 57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/>
      </xdr:nvSpPr>
      <xdr:spPr>
        <a:xfrm>
          <a:off x="4257675" y="131892675"/>
          <a:ext cx="213880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68035</xdr:colOff>
      <xdr:row>630</xdr:row>
      <xdr:rowOff>0</xdr:rowOff>
    </xdr:from>
    <xdr:to>
      <xdr:col>9</xdr:col>
      <xdr:colOff>281915</xdr:colOff>
      <xdr:row>631</xdr:row>
      <xdr:rowOff>23213</xdr:rowOff>
    </xdr:to>
    <xdr:sp macro="" textlink="">
      <xdr:nvSpPr>
        <xdr:cNvPr id="53" name="Rectángulo 58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/>
      </xdr:nvSpPr>
      <xdr:spPr>
        <a:xfrm>
          <a:off x="5735410" y="131892675"/>
          <a:ext cx="213880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PE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X</a:t>
          </a:r>
        </a:p>
      </xdr:txBody>
    </xdr:sp>
    <xdr:clientData/>
  </xdr:twoCellAnchor>
  <xdr:twoCellAnchor>
    <xdr:from>
      <xdr:col>10</xdr:col>
      <xdr:colOff>205344</xdr:colOff>
      <xdr:row>696</xdr:row>
      <xdr:rowOff>34636</xdr:rowOff>
    </xdr:from>
    <xdr:to>
      <xdr:col>10</xdr:col>
      <xdr:colOff>419224</xdr:colOff>
      <xdr:row>697</xdr:row>
      <xdr:rowOff>51957</xdr:rowOff>
    </xdr:to>
    <xdr:sp macro="" textlink="">
      <xdr:nvSpPr>
        <xdr:cNvPr id="54" name="Rectángulo 59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/>
      </xdr:nvSpPr>
      <xdr:spPr>
        <a:xfrm>
          <a:off x="6444219" y="146843461"/>
          <a:ext cx="213880" cy="236396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10</xdr:col>
      <xdr:colOff>212391</xdr:colOff>
      <xdr:row>699</xdr:row>
      <xdr:rowOff>64324</xdr:rowOff>
    </xdr:from>
    <xdr:to>
      <xdr:col>10</xdr:col>
      <xdr:colOff>426271</xdr:colOff>
      <xdr:row>700</xdr:row>
      <xdr:rowOff>60613</xdr:rowOff>
    </xdr:to>
    <xdr:sp macro="" textlink="">
      <xdr:nvSpPr>
        <xdr:cNvPr id="55" name="Rectángulo 60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/>
      </xdr:nvSpPr>
      <xdr:spPr>
        <a:xfrm>
          <a:off x="6451266" y="147482749"/>
          <a:ext cx="213880" cy="215364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10</xdr:col>
      <xdr:colOff>204107</xdr:colOff>
      <xdr:row>701</xdr:row>
      <xdr:rowOff>149682</xdr:rowOff>
    </xdr:from>
    <xdr:to>
      <xdr:col>10</xdr:col>
      <xdr:colOff>417987</xdr:colOff>
      <xdr:row>703</xdr:row>
      <xdr:rowOff>27218</xdr:rowOff>
    </xdr:to>
    <xdr:sp macro="" textlink="">
      <xdr:nvSpPr>
        <xdr:cNvPr id="56" name="Rectángulo 61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/>
      </xdr:nvSpPr>
      <xdr:spPr>
        <a:xfrm>
          <a:off x="6442982" y="148006257"/>
          <a:ext cx="213880" cy="258536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10</xdr:col>
      <xdr:colOff>204106</xdr:colOff>
      <xdr:row>703</xdr:row>
      <xdr:rowOff>190499</xdr:rowOff>
    </xdr:from>
    <xdr:to>
      <xdr:col>10</xdr:col>
      <xdr:colOff>417986</xdr:colOff>
      <xdr:row>705</xdr:row>
      <xdr:rowOff>17326</xdr:rowOff>
    </xdr:to>
    <xdr:sp macro="" textlink="">
      <xdr:nvSpPr>
        <xdr:cNvPr id="57" name="Rectángulo 62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SpPr/>
      </xdr:nvSpPr>
      <xdr:spPr>
        <a:xfrm>
          <a:off x="6442981" y="148428074"/>
          <a:ext cx="213880" cy="264977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10</xdr:col>
      <xdr:colOff>201149</xdr:colOff>
      <xdr:row>706</xdr:row>
      <xdr:rowOff>97724</xdr:rowOff>
    </xdr:from>
    <xdr:to>
      <xdr:col>10</xdr:col>
      <xdr:colOff>415029</xdr:colOff>
      <xdr:row>707</xdr:row>
      <xdr:rowOff>86591</xdr:rowOff>
    </xdr:to>
    <xdr:sp macro="" textlink="">
      <xdr:nvSpPr>
        <xdr:cNvPr id="58" name="Rectángulo 63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>
        <a:xfrm>
          <a:off x="6440024" y="148992524"/>
          <a:ext cx="213880" cy="207942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314739</xdr:colOff>
      <xdr:row>231</xdr:row>
      <xdr:rowOff>11206</xdr:rowOff>
    </xdr:from>
    <xdr:to>
      <xdr:col>3</xdr:col>
      <xdr:colOff>287</xdr:colOff>
      <xdr:row>231</xdr:row>
      <xdr:rowOff>224919</xdr:rowOff>
    </xdr:to>
    <xdr:sp macro="" textlink="">
      <xdr:nvSpPr>
        <xdr:cNvPr id="59" name="Rectángulo 64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/>
      </xdr:nvSpPr>
      <xdr:spPr>
        <a:xfrm>
          <a:off x="1057689" y="48474406"/>
          <a:ext cx="314198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323021</xdr:colOff>
      <xdr:row>235</xdr:row>
      <xdr:rowOff>22412</xdr:rowOff>
    </xdr:from>
    <xdr:to>
      <xdr:col>3</xdr:col>
      <xdr:colOff>287</xdr:colOff>
      <xdr:row>235</xdr:row>
      <xdr:rowOff>236125</xdr:rowOff>
    </xdr:to>
    <xdr:sp macro="" textlink="">
      <xdr:nvSpPr>
        <xdr:cNvPr id="60" name="Rectángulo 65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/>
      </xdr:nvSpPr>
      <xdr:spPr>
        <a:xfrm>
          <a:off x="1065971" y="49333337"/>
          <a:ext cx="305916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6</xdr:col>
      <xdr:colOff>480391</xdr:colOff>
      <xdr:row>235</xdr:row>
      <xdr:rowOff>22411</xdr:rowOff>
    </xdr:from>
    <xdr:to>
      <xdr:col>7</xdr:col>
      <xdr:colOff>4068</xdr:colOff>
      <xdr:row>235</xdr:row>
      <xdr:rowOff>236124</xdr:rowOff>
    </xdr:to>
    <xdr:sp macro="" textlink="">
      <xdr:nvSpPr>
        <xdr:cNvPr id="61" name="Rectángulo 66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SpPr/>
      </xdr:nvSpPr>
      <xdr:spPr>
        <a:xfrm>
          <a:off x="4042741" y="49333336"/>
          <a:ext cx="219002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10</xdr:col>
      <xdr:colOff>0</xdr:colOff>
      <xdr:row>231</xdr:row>
      <xdr:rowOff>0</xdr:rowOff>
    </xdr:from>
    <xdr:to>
      <xdr:col>10</xdr:col>
      <xdr:colOff>213880</xdr:colOff>
      <xdr:row>231</xdr:row>
      <xdr:rowOff>213713</xdr:rowOff>
    </xdr:to>
    <xdr:sp macro="" textlink="">
      <xdr:nvSpPr>
        <xdr:cNvPr id="62" name="Rectángulo 67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SpPr/>
      </xdr:nvSpPr>
      <xdr:spPr>
        <a:xfrm>
          <a:off x="6238875" y="48463200"/>
          <a:ext cx="213880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PE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X</a:t>
          </a:r>
        </a:p>
      </xdr:txBody>
    </xdr:sp>
    <xdr:clientData/>
  </xdr:twoCellAnchor>
  <xdr:twoCellAnchor>
    <xdr:from>
      <xdr:col>10</xdr:col>
      <xdr:colOff>0</xdr:colOff>
      <xdr:row>235</xdr:row>
      <xdr:rowOff>0</xdr:rowOff>
    </xdr:from>
    <xdr:to>
      <xdr:col>10</xdr:col>
      <xdr:colOff>213880</xdr:colOff>
      <xdr:row>235</xdr:row>
      <xdr:rowOff>213713</xdr:rowOff>
    </xdr:to>
    <xdr:sp macro="" textlink="">
      <xdr:nvSpPr>
        <xdr:cNvPr id="63" name="Rectángulo 68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SpPr/>
      </xdr:nvSpPr>
      <xdr:spPr>
        <a:xfrm>
          <a:off x="6238875" y="49310925"/>
          <a:ext cx="213880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6</xdr:col>
      <xdr:colOff>488674</xdr:colOff>
      <xdr:row>232</xdr:row>
      <xdr:rowOff>22412</xdr:rowOff>
    </xdr:from>
    <xdr:to>
      <xdr:col>7</xdr:col>
      <xdr:colOff>968</xdr:colOff>
      <xdr:row>232</xdr:row>
      <xdr:rowOff>236125</xdr:rowOff>
    </xdr:to>
    <xdr:sp macro="" textlink="">
      <xdr:nvSpPr>
        <xdr:cNvPr id="64" name="Rectángulo 69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SpPr/>
      </xdr:nvSpPr>
      <xdr:spPr>
        <a:xfrm>
          <a:off x="4051024" y="48733262"/>
          <a:ext cx="207619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771525</xdr:colOff>
          <xdr:row>216</xdr:row>
          <xdr:rowOff>200025</xdr:rowOff>
        </xdr:from>
        <xdr:to>
          <xdr:col>14</xdr:col>
          <xdr:colOff>152400</xdr:colOff>
          <xdr:row>220</xdr:row>
          <xdr:rowOff>104775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1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352425</xdr:colOff>
          <xdr:row>315</xdr:row>
          <xdr:rowOff>0</xdr:rowOff>
        </xdr:from>
        <xdr:to>
          <xdr:col>13</xdr:col>
          <xdr:colOff>533400</xdr:colOff>
          <xdr:row>317</xdr:row>
          <xdr:rowOff>38100</xdr:rowOff>
        </xdr:to>
        <xdr:sp macro="" textlink="">
          <xdr:nvSpPr>
            <xdr:cNvPr id="12290" name="btnDepartamentos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1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352425</xdr:colOff>
          <xdr:row>365</xdr:row>
          <xdr:rowOff>0</xdr:rowOff>
        </xdr:from>
        <xdr:to>
          <xdr:col>13</xdr:col>
          <xdr:colOff>533400</xdr:colOff>
          <xdr:row>367</xdr:row>
          <xdr:rowOff>38100</xdr:rowOff>
        </xdr:to>
        <xdr:sp macro="" textlink="">
          <xdr:nvSpPr>
            <xdr:cNvPr id="12291" name="btnDepartamentos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1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3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</xdr:row>
      <xdr:rowOff>123826</xdr:rowOff>
    </xdr:from>
    <xdr:to>
      <xdr:col>4</xdr:col>
      <xdr:colOff>138979</xdr:colOff>
      <xdr:row>6</xdr:row>
      <xdr:rowOff>66675</xdr:rowOff>
    </xdr:to>
    <xdr:pic>
      <xdr:nvPicPr>
        <xdr:cNvPr id="66" name="Picture 65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95276"/>
          <a:ext cx="2148754" cy="10953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448237</xdr:colOff>
      <xdr:row>16</xdr:row>
      <xdr:rowOff>44822</xdr:rowOff>
    </xdr:from>
    <xdr:to>
      <xdr:col>6</xdr:col>
      <xdr:colOff>662117</xdr:colOff>
      <xdr:row>16</xdr:row>
      <xdr:rowOff>267341</xdr:rowOff>
    </xdr:to>
    <xdr:sp macro="" textlink="">
      <xdr:nvSpPr>
        <xdr:cNvPr id="67" name="Rectángulo 66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SpPr/>
      </xdr:nvSpPr>
      <xdr:spPr>
        <a:xfrm>
          <a:off x="5580531" y="3541057"/>
          <a:ext cx="213880" cy="22251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s-PE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X</a:t>
          </a:r>
        </a:p>
      </xdr:txBody>
    </xdr:sp>
    <xdr:clientData/>
  </xdr:twoCellAnchor>
  <xdr:twoCellAnchor>
    <xdr:from>
      <xdr:col>9</xdr:col>
      <xdr:colOff>347382</xdr:colOff>
      <xdr:row>16</xdr:row>
      <xdr:rowOff>44824</xdr:rowOff>
    </xdr:from>
    <xdr:to>
      <xdr:col>9</xdr:col>
      <xdr:colOff>561262</xdr:colOff>
      <xdr:row>16</xdr:row>
      <xdr:rowOff>267343</xdr:rowOff>
    </xdr:to>
    <xdr:sp macro="" textlink="">
      <xdr:nvSpPr>
        <xdr:cNvPr id="68" name="Rectángulo 67">
          <a:extLst>
            <a:ext uri="{FF2B5EF4-FFF2-40B4-BE49-F238E27FC236}">
              <a16:creationId xmlns:a16="http://schemas.microsoft.com/office/drawing/2014/main" id="{00000000-0008-0000-0200-000044000000}"/>
            </a:ext>
          </a:extLst>
        </xdr:cNvPr>
        <xdr:cNvSpPr/>
      </xdr:nvSpPr>
      <xdr:spPr>
        <a:xfrm>
          <a:off x="8157882" y="3541059"/>
          <a:ext cx="213880" cy="22251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6</xdr:col>
      <xdr:colOff>145676</xdr:colOff>
      <xdr:row>23</xdr:row>
      <xdr:rowOff>44823</xdr:rowOff>
    </xdr:from>
    <xdr:to>
      <xdr:col>6</xdr:col>
      <xdr:colOff>359556</xdr:colOff>
      <xdr:row>23</xdr:row>
      <xdr:rowOff>267342</xdr:rowOff>
    </xdr:to>
    <xdr:sp macro="" textlink="">
      <xdr:nvSpPr>
        <xdr:cNvPr id="69" name="Rectángulo 68">
          <a:extLst>
            <a:ext uri="{FF2B5EF4-FFF2-40B4-BE49-F238E27FC236}">
              <a16:creationId xmlns:a16="http://schemas.microsoft.com/office/drawing/2014/main" id="{00000000-0008-0000-0200-000045000000}"/>
            </a:ext>
          </a:extLst>
        </xdr:cNvPr>
        <xdr:cNvSpPr/>
      </xdr:nvSpPr>
      <xdr:spPr>
        <a:xfrm>
          <a:off x="5277970" y="5580529"/>
          <a:ext cx="213880" cy="22251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44821</xdr:colOff>
      <xdr:row>23</xdr:row>
      <xdr:rowOff>44825</xdr:rowOff>
    </xdr:from>
    <xdr:to>
      <xdr:col>9</xdr:col>
      <xdr:colOff>258701</xdr:colOff>
      <xdr:row>23</xdr:row>
      <xdr:rowOff>267344</xdr:rowOff>
    </xdr:to>
    <xdr:sp macro="" textlink="">
      <xdr:nvSpPr>
        <xdr:cNvPr id="70" name="Rectángulo 69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SpPr/>
      </xdr:nvSpPr>
      <xdr:spPr>
        <a:xfrm>
          <a:off x="7855321" y="5580531"/>
          <a:ext cx="213880" cy="22251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s-PE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X</a:t>
          </a:r>
        </a:p>
      </xdr:txBody>
    </xdr:sp>
    <xdr:clientData/>
  </xdr:twoCellAnchor>
  <xdr:twoCellAnchor>
    <xdr:from>
      <xdr:col>6</xdr:col>
      <xdr:colOff>862853</xdr:colOff>
      <xdr:row>29</xdr:row>
      <xdr:rowOff>56029</xdr:rowOff>
    </xdr:from>
    <xdr:to>
      <xdr:col>7</xdr:col>
      <xdr:colOff>180262</xdr:colOff>
      <xdr:row>29</xdr:row>
      <xdr:rowOff>278548</xdr:rowOff>
    </xdr:to>
    <xdr:sp macro="" textlink="">
      <xdr:nvSpPr>
        <xdr:cNvPr id="71" name="Rectángulo 70">
          <a:extLst>
            <a:ext uri="{FF2B5EF4-FFF2-40B4-BE49-F238E27FC236}">
              <a16:creationId xmlns:a16="http://schemas.microsoft.com/office/drawing/2014/main" id="{00000000-0008-0000-0200-000047000000}"/>
            </a:ext>
          </a:extLst>
        </xdr:cNvPr>
        <xdr:cNvSpPr/>
      </xdr:nvSpPr>
      <xdr:spPr>
        <a:xfrm>
          <a:off x="5995147" y="7339853"/>
          <a:ext cx="213880" cy="22251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s-PE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X</a:t>
          </a:r>
        </a:p>
      </xdr:txBody>
    </xdr:sp>
    <xdr:clientData/>
  </xdr:twoCellAnchor>
  <xdr:twoCellAnchor>
    <xdr:from>
      <xdr:col>8</xdr:col>
      <xdr:colOff>885263</xdr:colOff>
      <xdr:row>29</xdr:row>
      <xdr:rowOff>67237</xdr:rowOff>
    </xdr:from>
    <xdr:to>
      <xdr:col>9</xdr:col>
      <xdr:colOff>113025</xdr:colOff>
      <xdr:row>29</xdr:row>
      <xdr:rowOff>289756</xdr:rowOff>
    </xdr:to>
    <xdr:sp macro="" textlink="">
      <xdr:nvSpPr>
        <xdr:cNvPr id="72" name="Rectángulo 7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SpPr/>
      </xdr:nvSpPr>
      <xdr:spPr>
        <a:xfrm>
          <a:off x="7709645" y="7351061"/>
          <a:ext cx="213880" cy="22251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6</xdr:col>
      <xdr:colOff>414618</xdr:colOff>
      <xdr:row>34</xdr:row>
      <xdr:rowOff>33618</xdr:rowOff>
    </xdr:from>
    <xdr:to>
      <xdr:col>6</xdr:col>
      <xdr:colOff>628498</xdr:colOff>
      <xdr:row>34</xdr:row>
      <xdr:rowOff>256137</xdr:rowOff>
    </xdr:to>
    <xdr:sp macro="" textlink="">
      <xdr:nvSpPr>
        <xdr:cNvPr id="73" name="Rectángulo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SpPr/>
      </xdr:nvSpPr>
      <xdr:spPr>
        <a:xfrm>
          <a:off x="5546912" y="8897471"/>
          <a:ext cx="213880" cy="22251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382564</xdr:colOff>
      <xdr:row>34</xdr:row>
      <xdr:rowOff>23378</xdr:rowOff>
    </xdr:from>
    <xdr:to>
      <xdr:col>9</xdr:col>
      <xdr:colOff>596444</xdr:colOff>
      <xdr:row>34</xdr:row>
      <xdr:rowOff>245897</xdr:rowOff>
    </xdr:to>
    <xdr:sp macro="" textlink="">
      <xdr:nvSpPr>
        <xdr:cNvPr id="74" name="Rectángulo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/>
      </xdr:nvSpPr>
      <xdr:spPr>
        <a:xfrm>
          <a:off x="7695306" y="7080072"/>
          <a:ext cx="213880" cy="22251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s-PE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X</a:t>
          </a:r>
        </a:p>
      </xdr:txBody>
    </xdr:sp>
    <xdr:clientData/>
  </xdr:twoCellAnchor>
  <xdr:twoCellAnchor>
    <xdr:from>
      <xdr:col>6</xdr:col>
      <xdr:colOff>414618</xdr:colOff>
      <xdr:row>41</xdr:row>
      <xdr:rowOff>33618</xdr:rowOff>
    </xdr:from>
    <xdr:to>
      <xdr:col>6</xdr:col>
      <xdr:colOff>628498</xdr:colOff>
      <xdr:row>41</xdr:row>
      <xdr:rowOff>256137</xdr:rowOff>
    </xdr:to>
    <xdr:sp macro="" textlink="">
      <xdr:nvSpPr>
        <xdr:cNvPr id="75" name="Rectángulo 74">
          <a:extLst>
            <a:ext uri="{FF2B5EF4-FFF2-40B4-BE49-F238E27FC236}">
              <a16:creationId xmlns:a16="http://schemas.microsoft.com/office/drawing/2014/main" id="{00000000-0008-0000-0200-00004B000000}"/>
            </a:ext>
          </a:extLst>
        </xdr:cNvPr>
        <xdr:cNvSpPr/>
      </xdr:nvSpPr>
      <xdr:spPr>
        <a:xfrm>
          <a:off x="5546912" y="8897471"/>
          <a:ext cx="213880" cy="22251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413290</xdr:colOff>
      <xdr:row>41</xdr:row>
      <xdr:rowOff>33620</xdr:rowOff>
    </xdr:from>
    <xdr:to>
      <xdr:col>9</xdr:col>
      <xdr:colOff>627170</xdr:colOff>
      <xdr:row>41</xdr:row>
      <xdr:rowOff>256139</xdr:rowOff>
    </xdr:to>
    <xdr:sp macro="" textlink="">
      <xdr:nvSpPr>
        <xdr:cNvPr id="76" name="Rectángulo 75">
          <a:extLs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SpPr/>
      </xdr:nvSpPr>
      <xdr:spPr>
        <a:xfrm>
          <a:off x="7726032" y="8503701"/>
          <a:ext cx="213880" cy="22251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s-PE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X</a:t>
          </a:r>
        </a:p>
      </xdr:txBody>
    </xdr:sp>
    <xdr:clientData/>
  </xdr:twoCellAnchor>
  <xdr:twoCellAnchor>
    <xdr:from>
      <xdr:col>5</xdr:col>
      <xdr:colOff>414618</xdr:colOff>
      <xdr:row>57</xdr:row>
      <xdr:rowOff>33618</xdr:rowOff>
    </xdr:from>
    <xdr:to>
      <xdr:col>5</xdr:col>
      <xdr:colOff>628498</xdr:colOff>
      <xdr:row>57</xdr:row>
      <xdr:rowOff>256137</xdr:rowOff>
    </xdr:to>
    <xdr:sp macro="" textlink="">
      <xdr:nvSpPr>
        <xdr:cNvPr id="79" name="Rectángulo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/>
      </xdr:nvSpPr>
      <xdr:spPr>
        <a:xfrm>
          <a:off x="5546912" y="8449236"/>
          <a:ext cx="213880" cy="22251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8</xdr:col>
      <xdr:colOff>280145</xdr:colOff>
      <xdr:row>57</xdr:row>
      <xdr:rowOff>33620</xdr:rowOff>
    </xdr:from>
    <xdr:to>
      <xdr:col>8</xdr:col>
      <xdr:colOff>494025</xdr:colOff>
      <xdr:row>57</xdr:row>
      <xdr:rowOff>256139</xdr:rowOff>
    </xdr:to>
    <xdr:sp macro="" textlink="">
      <xdr:nvSpPr>
        <xdr:cNvPr id="80" name="Rectángulo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/>
      </xdr:nvSpPr>
      <xdr:spPr>
        <a:xfrm>
          <a:off x="8090645" y="8449238"/>
          <a:ext cx="213880" cy="22251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PE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X</a:t>
          </a:r>
        </a:p>
      </xdr:txBody>
    </xdr:sp>
    <xdr:clientData/>
  </xdr:twoCellAnchor>
  <xdr:twoCellAnchor>
    <xdr:from>
      <xdr:col>5</xdr:col>
      <xdr:colOff>414618</xdr:colOff>
      <xdr:row>75</xdr:row>
      <xdr:rowOff>33618</xdr:rowOff>
    </xdr:from>
    <xdr:to>
      <xdr:col>5</xdr:col>
      <xdr:colOff>628498</xdr:colOff>
      <xdr:row>75</xdr:row>
      <xdr:rowOff>256137</xdr:rowOff>
    </xdr:to>
    <xdr:sp macro="" textlink="">
      <xdr:nvSpPr>
        <xdr:cNvPr id="81" name="Rectángulo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SpPr/>
      </xdr:nvSpPr>
      <xdr:spPr>
        <a:xfrm>
          <a:off x="5546912" y="13166912"/>
          <a:ext cx="213880" cy="174894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8</xdr:col>
      <xdr:colOff>382564</xdr:colOff>
      <xdr:row>75</xdr:row>
      <xdr:rowOff>2894</xdr:rowOff>
    </xdr:from>
    <xdr:to>
      <xdr:col>8</xdr:col>
      <xdr:colOff>596444</xdr:colOff>
      <xdr:row>75</xdr:row>
      <xdr:rowOff>177788</xdr:rowOff>
    </xdr:to>
    <xdr:sp macro="" textlink="">
      <xdr:nvSpPr>
        <xdr:cNvPr id="82" name="Rectángulo 8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/>
      </xdr:nvSpPr>
      <xdr:spPr>
        <a:xfrm>
          <a:off x="7695306" y="17024991"/>
          <a:ext cx="213880" cy="174894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PE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X</a:t>
          </a:r>
        </a:p>
      </xdr:txBody>
    </xdr:sp>
    <xdr:clientData/>
  </xdr:twoCellAnchor>
  <xdr:twoCellAnchor>
    <xdr:from>
      <xdr:col>2</xdr:col>
      <xdr:colOff>127828</xdr:colOff>
      <xdr:row>94</xdr:row>
      <xdr:rowOff>11944</xdr:rowOff>
    </xdr:from>
    <xdr:to>
      <xdr:col>2</xdr:col>
      <xdr:colOff>345412</xdr:colOff>
      <xdr:row>95</xdr:row>
      <xdr:rowOff>10466</xdr:rowOff>
    </xdr:to>
    <xdr:sp macro="" textlink="">
      <xdr:nvSpPr>
        <xdr:cNvPr id="83" name="Rectángulo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/>
      </xdr:nvSpPr>
      <xdr:spPr>
        <a:xfrm>
          <a:off x="1310603" y="21071614"/>
          <a:ext cx="217584" cy="20786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 editAs="oneCell">
    <xdr:from>
      <xdr:col>2</xdr:col>
      <xdr:colOff>30078</xdr:colOff>
      <xdr:row>0</xdr:row>
      <xdr:rowOff>30079</xdr:rowOff>
    </xdr:from>
    <xdr:to>
      <xdr:col>4</xdr:col>
      <xdr:colOff>834690</xdr:colOff>
      <xdr:row>6</xdr:row>
      <xdr:rowOff>320842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255" t="11515" r="4036" b="21212"/>
        <a:stretch/>
      </xdr:blipFill>
      <xdr:spPr>
        <a:xfrm>
          <a:off x="1223210" y="30079"/>
          <a:ext cx="2489033" cy="1313447"/>
        </a:xfrm>
        <a:prstGeom prst="rect">
          <a:avLst/>
        </a:prstGeom>
      </xdr:spPr>
    </xdr:pic>
    <xdr:clientData/>
  </xdr:twoCellAnchor>
  <xdr:twoCellAnchor>
    <xdr:from>
      <xdr:col>2</xdr:col>
      <xdr:colOff>125604</xdr:colOff>
      <xdr:row>96</xdr:row>
      <xdr:rowOff>0</xdr:rowOff>
    </xdr:from>
    <xdr:to>
      <xdr:col>2</xdr:col>
      <xdr:colOff>343188</xdr:colOff>
      <xdr:row>96</xdr:row>
      <xdr:rowOff>207863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308379" y="21478352"/>
          <a:ext cx="217584" cy="20786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7</xdr:col>
      <xdr:colOff>1</xdr:colOff>
      <xdr:row>94</xdr:row>
      <xdr:rowOff>0</xdr:rowOff>
    </xdr:from>
    <xdr:to>
      <xdr:col>7</xdr:col>
      <xdr:colOff>217585</xdr:colOff>
      <xdr:row>94</xdr:row>
      <xdr:rowOff>207863</xdr:rowOff>
    </xdr:to>
    <xdr:sp macro="" textlink="">
      <xdr:nvSpPr>
        <xdr:cNvPr id="4" name="Rectángulo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5484726" y="21059670"/>
          <a:ext cx="217584" cy="20786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7</xdr:col>
      <xdr:colOff>0</xdr:colOff>
      <xdr:row>96</xdr:row>
      <xdr:rowOff>0</xdr:rowOff>
    </xdr:from>
    <xdr:to>
      <xdr:col>7</xdr:col>
      <xdr:colOff>217584</xdr:colOff>
      <xdr:row>96</xdr:row>
      <xdr:rowOff>207863</xdr:rowOff>
    </xdr:to>
    <xdr:sp macro="" textlink="">
      <xdr:nvSpPr>
        <xdr:cNvPr id="5" name="Rectángulo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5484725" y="21478352"/>
          <a:ext cx="217584" cy="20786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339137</xdr:colOff>
      <xdr:row>11</xdr:row>
      <xdr:rowOff>5190</xdr:rowOff>
    </xdr:from>
    <xdr:to>
      <xdr:col>1</xdr:col>
      <xdr:colOff>581592</xdr:colOff>
      <xdr:row>12</xdr:row>
      <xdr:rowOff>5190</xdr:rowOff>
    </xdr:to>
    <xdr:sp macro="" textlink="">
      <xdr:nvSpPr>
        <xdr:cNvPr id="2" name="Rectángulo 5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605837" y="2910315"/>
          <a:ext cx="242455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424547</xdr:colOff>
      <xdr:row>10</xdr:row>
      <xdr:rowOff>244663</xdr:rowOff>
    </xdr:from>
    <xdr:to>
      <xdr:col>2</xdr:col>
      <xdr:colOff>667002</xdr:colOff>
      <xdr:row>11</xdr:row>
      <xdr:rowOff>244663</xdr:rowOff>
    </xdr:to>
    <xdr:sp macro="" textlink="">
      <xdr:nvSpPr>
        <xdr:cNvPr id="3" name="Rectángulo 6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34197" y="2902138"/>
          <a:ext cx="242455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PE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X</a:t>
          </a:r>
        </a:p>
      </xdr:txBody>
    </xdr:sp>
    <xdr:clientData/>
  </xdr:twoCellAnchor>
  <xdr:twoCellAnchor>
    <xdr:from>
      <xdr:col>3</xdr:col>
      <xdr:colOff>239694</xdr:colOff>
      <xdr:row>11</xdr:row>
      <xdr:rowOff>0</xdr:rowOff>
    </xdr:from>
    <xdr:to>
      <xdr:col>3</xdr:col>
      <xdr:colOff>482149</xdr:colOff>
      <xdr:row>12</xdr:row>
      <xdr:rowOff>0</xdr:rowOff>
    </xdr:to>
    <xdr:sp macro="" textlink="">
      <xdr:nvSpPr>
        <xdr:cNvPr id="4" name="Rectángulo 7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2087544" y="2905125"/>
          <a:ext cx="242455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10</xdr:row>
      <xdr:rowOff>259373</xdr:rowOff>
    </xdr:from>
    <xdr:to>
      <xdr:col>4</xdr:col>
      <xdr:colOff>567979</xdr:colOff>
      <xdr:row>11</xdr:row>
      <xdr:rowOff>259373</xdr:rowOff>
    </xdr:to>
    <xdr:sp macro="" textlink="">
      <xdr:nvSpPr>
        <xdr:cNvPr id="5" name="Rectángulo 8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3011574" y="2907323"/>
          <a:ext cx="242455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537882</xdr:colOff>
      <xdr:row>16</xdr:row>
      <xdr:rowOff>0</xdr:rowOff>
    </xdr:from>
    <xdr:to>
      <xdr:col>3</xdr:col>
      <xdr:colOff>780337</xdr:colOff>
      <xdr:row>17</xdr:row>
      <xdr:rowOff>0</xdr:rowOff>
    </xdr:to>
    <xdr:sp macro="" textlink="">
      <xdr:nvSpPr>
        <xdr:cNvPr id="6" name="Rectángulo 9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2385732" y="3886200"/>
          <a:ext cx="242455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560295</xdr:colOff>
      <xdr:row>16</xdr:row>
      <xdr:rowOff>0</xdr:rowOff>
    </xdr:from>
    <xdr:to>
      <xdr:col>4</xdr:col>
      <xdr:colOff>802750</xdr:colOff>
      <xdr:row>17</xdr:row>
      <xdr:rowOff>0</xdr:rowOff>
    </xdr:to>
    <xdr:sp macro="" textlink="">
      <xdr:nvSpPr>
        <xdr:cNvPr id="7" name="Rectángulo 10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3246345" y="3886200"/>
          <a:ext cx="242455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5</xdr:col>
      <xdr:colOff>504265</xdr:colOff>
      <xdr:row>16</xdr:row>
      <xdr:rowOff>0</xdr:rowOff>
    </xdr:from>
    <xdr:to>
      <xdr:col>5</xdr:col>
      <xdr:colOff>746720</xdr:colOff>
      <xdr:row>17</xdr:row>
      <xdr:rowOff>0</xdr:rowOff>
    </xdr:to>
    <xdr:sp macro="" textlink="">
      <xdr:nvSpPr>
        <xdr:cNvPr id="8" name="Rectángulo 11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4028515" y="3886200"/>
          <a:ext cx="242455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382851</xdr:colOff>
      <xdr:row>23</xdr:row>
      <xdr:rowOff>162994</xdr:rowOff>
    </xdr:from>
    <xdr:to>
      <xdr:col>1</xdr:col>
      <xdr:colOff>625306</xdr:colOff>
      <xdr:row>24</xdr:row>
      <xdr:rowOff>162995</xdr:rowOff>
    </xdr:to>
    <xdr:sp macro="" textlink="">
      <xdr:nvSpPr>
        <xdr:cNvPr id="9" name="Rectángulo 14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649551" y="5544619"/>
          <a:ext cx="242455" cy="161926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424547</xdr:colOff>
      <xdr:row>23</xdr:row>
      <xdr:rowOff>244663</xdr:rowOff>
    </xdr:from>
    <xdr:to>
      <xdr:col>2</xdr:col>
      <xdr:colOff>667002</xdr:colOff>
      <xdr:row>24</xdr:row>
      <xdr:rowOff>244663</xdr:rowOff>
    </xdr:to>
    <xdr:sp macro="" textlink="">
      <xdr:nvSpPr>
        <xdr:cNvPr id="10" name="Rectángulo 15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1434197" y="5540563"/>
          <a:ext cx="242455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239694</xdr:colOff>
      <xdr:row>24</xdr:row>
      <xdr:rowOff>0</xdr:rowOff>
    </xdr:from>
    <xdr:to>
      <xdr:col>3</xdr:col>
      <xdr:colOff>482149</xdr:colOff>
      <xdr:row>25</xdr:row>
      <xdr:rowOff>0</xdr:rowOff>
    </xdr:to>
    <xdr:sp macro="" textlink="">
      <xdr:nvSpPr>
        <xdr:cNvPr id="11" name="Rectángulo 16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087544" y="5543550"/>
          <a:ext cx="242455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23</xdr:row>
      <xdr:rowOff>249848</xdr:rowOff>
    </xdr:from>
    <xdr:to>
      <xdr:col>4</xdr:col>
      <xdr:colOff>567979</xdr:colOff>
      <xdr:row>24</xdr:row>
      <xdr:rowOff>249848</xdr:rowOff>
    </xdr:to>
    <xdr:sp macro="" textlink="">
      <xdr:nvSpPr>
        <xdr:cNvPr id="12" name="Rectángulo 17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3011574" y="5545748"/>
          <a:ext cx="242455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7</xdr:col>
      <xdr:colOff>0</xdr:colOff>
      <xdr:row>16</xdr:row>
      <xdr:rowOff>2</xdr:rowOff>
    </xdr:from>
    <xdr:to>
      <xdr:col>7</xdr:col>
      <xdr:colOff>213880</xdr:colOff>
      <xdr:row>17</xdr:row>
      <xdr:rowOff>2</xdr:rowOff>
    </xdr:to>
    <xdr:sp macro="" textlink="">
      <xdr:nvSpPr>
        <xdr:cNvPr id="14" name="Rectángulo 30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>
        <a:xfrm>
          <a:off x="5314950" y="3886202"/>
          <a:ext cx="213880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190500</xdr:colOff>
      <xdr:row>16</xdr:row>
      <xdr:rowOff>0</xdr:rowOff>
    </xdr:from>
    <xdr:to>
      <xdr:col>9</xdr:col>
      <xdr:colOff>404380</xdr:colOff>
      <xdr:row>17</xdr:row>
      <xdr:rowOff>0</xdr:rowOff>
    </xdr:to>
    <xdr:sp macro="" textlink="">
      <xdr:nvSpPr>
        <xdr:cNvPr id="15" name="Rectángulo 31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>
        <a:xfrm>
          <a:off x="7172325" y="3886200"/>
          <a:ext cx="213880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286801</xdr:colOff>
      <xdr:row>33</xdr:row>
      <xdr:rowOff>26124</xdr:rowOff>
    </xdr:from>
    <xdr:to>
      <xdr:col>1</xdr:col>
      <xdr:colOff>529256</xdr:colOff>
      <xdr:row>34</xdr:row>
      <xdr:rowOff>26124</xdr:rowOff>
    </xdr:to>
    <xdr:sp macro="" textlink="">
      <xdr:nvSpPr>
        <xdr:cNvPr id="16" name="Rectángulo 64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/>
      </xdr:nvSpPr>
      <xdr:spPr>
        <a:xfrm>
          <a:off x="553501" y="7046049"/>
          <a:ext cx="242455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424547</xdr:colOff>
      <xdr:row>32</xdr:row>
      <xdr:rowOff>244663</xdr:rowOff>
    </xdr:from>
    <xdr:to>
      <xdr:col>2</xdr:col>
      <xdr:colOff>667002</xdr:colOff>
      <xdr:row>33</xdr:row>
      <xdr:rowOff>244663</xdr:rowOff>
    </xdr:to>
    <xdr:sp macro="" textlink="">
      <xdr:nvSpPr>
        <xdr:cNvPr id="17" name="Rectángulo 65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434197" y="7016938"/>
          <a:ext cx="242455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PE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X</a:t>
          </a:r>
        </a:p>
      </xdr:txBody>
    </xdr:sp>
    <xdr:clientData/>
  </xdr:twoCellAnchor>
  <xdr:twoCellAnchor>
    <xdr:from>
      <xdr:col>3</xdr:col>
      <xdr:colOff>239694</xdr:colOff>
      <xdr:row>33</xdr:row>
      <xdr:rowOff>0</xdr:rowOff>
    </xdr:from>
    <xdr:to>
      <xdr:col>3</xdr:col>
      <xdr:colOff>482149</xdr:colOff>
      <xdr:row>34</xdr:row>
      <xdr:rowOff>0</xdr:rowOff>
    </xdr:to>
    <xdr:sp macro="" textlink="">
      <xdr:nvSpPr>
        <xdr:cNvPr id="18" name="Rectángulo 71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SpPr/>
      </xdr:nvSpPr>
      <xdr:spPr>
        <a:xfrm>
          <a:off x="2087544" y="7019925"/>
          <a:ext cx="242455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32</xdr:row>
      <xdr:rowOff>259373</xdr:rowOff>
    </xdr:from>
    <xdr:to>
      <xdr:col>4</xdr:col>
      <xdr:colOff>567979</xdr:colOff>
      <xdr:row>33</xdr:row>
      <xdr:rowOff>259373</xdr:rowOff>
    </xdr:to>
    <xdr:sp macro="" textlink="">
      <xdr:nvSpPr>
        <xdr:cNvPr id="19" name="Rectángulo 72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SpPr/>
      </xdr:nvSpPr>
      <xdr:spPr>
        <a:xfrm>
          <a:off x="3011574" y="7022123"/>
          <a:ext cx="242455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575982</xdr:colOff>
      <xdr:row>37</xdr:row>
      <xdr:rowOff>152400</xdr:rowOff>
    </xdr:from>
    <xdr:to>
      <xdr:col>3</xdr:col>
      <xdr:colOff>818437</xdr:colOff>
      <xdr:row>38</xdr:row>
      <xdr:rowOff>161925</xdr:rowOff>
    </xdr:to>
    <xdr:sp macro="" textlink="">
      <xdr:nvSpPr>
        <xdr:cNvPr id="20" name="Rectángulo 73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SpPr/>
      </xdr:nvSpPr>
      <xdr:spPr>
        <a:xfrm>
          <a:off x="2423832" y="8134350"/>
          <a:ext cx="242455" cy="18097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560295</xdr:colOff>
      <xdr:row>38</xdr:row>
      <xdr:rowOff>0</xdr:rowOff>
    </xdr:from>
    <xdr:to>
      <xdr:col>4</xdr:col>
      <xdr:colOff>802750</xdr:colOff>
      <xdr:row>39</xdr:row>
      <xdr:rowOff>0</xdr:rowOff>
    </xdr:to>
    <xdr:sp macro="" textlink="">
      <xdr:nvSpPr>
        <xdr:cNvPr id="21" name="Rectángulo 74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SpPr/>
      </xdr:nvSpPr>
      <xdr:spPr>
        <a:xfrm>
          <a:off x="3246345" y="7848600"/>
          <a:ext cx="242455" cy="1714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5</xdr:col>
      <xdr:colOff>504265</xdr:colOff>
      <xdr:row>38</xdr:row>
      <xdr:rowOff>0</xdr:rowOff>
    </xdr:from>
    <xdr:to>
      <xdr:col>5</xdr:col>
      <xdr:colOff>746720</xdr:colOff>
      <xdr:row>39</xdr:row>
      <xdr:rowOff>0</xdr:rowOff>
    </xdr:to>
    <xdr:sp macro="" textlink="">
      <xdr:nvSpPr>
        <xdr:cNvPr id="22" name="Rectángulo 75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SpPr/>
      </xdr:nvSpPr>
      <xdr:spPr>
        <a:xfrm>
          <a:off x="4028515" y="7848600"/>
          <a:ext cx="242455" cy="1714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382851</xdr:colOff>
      <xdr:row>45</xdr:row>
      <xdr:rowOff>162994</xdr:rowOff>
    </xdr:from>
    <xdr:to>
      <xdr:col>1</xdr:col>
      <xdr:colOff>625306</xdr:colOff>
      <xdr:row>46</xdr:row>
      <xdr:rowOff>162995</xdr:rowOff>
    </xdr:to>
    <xdr:sp macro="" textlink="">
      <xdr:nvSpPr>
        <xdr:cNvPr id="23" name="Rectángulo 76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SpPr/>
      </xdr:nvSpPr>
      <xdr:spPr>
        <a:xfrm>
          <a:off x="649551" y="9202219"/>
          <a:ext cx="242455" cy="161926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424547</xdr:colOff>
      <xdr:row>45</xdr:row>
      <xdr:rowOff>244663</xdr:rowOff>
    </xdr:from>
    <xdr:to>
      <xdr:col>2</xdr:col>
      <xdr:colOff>667002</xdr:colOff>
      <xdr:row>46</xdr:row>
      <xdr:rowOff>244663</xdr:rowOff>
    </xdr:to>
    <xdr:sp macro="" textlink="">
      <xdr:nvSpPr>
        <xdr:cNvPr id="24" name="Rectángulo 77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SpPr/>
      </xdr:nvSpPr>
      <xdr:spPr>
        <a:xfrm>
          <a:off x="1434197" y="9198163"/>
          <a:ext cx="242455" cy="1714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239694</xdr:colOff>
      <xdr:row>46</xdr:row>
      <xdr:rowOff>0</xdr:rowOff>
    </xdr:from>
    <xdr:to>
      <xdr:col>3</xdr:col>
      <xdr:colOff>482149</xdr:colOff>
      <xdr:row>47</xdr:row>
      <xdr:rowOff>0</xdr:rowOff>
    </xdr:to>
    <xdr:sp macro="" textlink="">
      <xdr:nvSpPr>
        <xdr:cNvPr id="25" name="Rectángulo 78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SpPr/>
      </xdr:nvSpPr>
      <xdr:spPr>
        <a:xfrm>
          <a:off x="2087544" y="9201150"/>
          <a:ext cx="242455" cy="1714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45</xdr:row>
      <xdr:rowOff>249848</xdr:rowOff>
    </xdr:from>
    <xdr:to>
      <xdr:col>4</xdr:col>
      <xdr:colOff>567979</xdr:colOff>
      <xdr:row>46</xdr:row>
      <xdr:rowOff>249848</xdr:rowOff>
    </xdr:to>
    <xdr:sp macro="" textlink="">
      <xdr:nvSpPr>
        <xdr:cNvPr id="26" name="Rectángulo 79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SpPr/>
      </xdr:nvSpPr>
      <xdr:spPr>
        <a:xfrm>
          <a:off x="3011574" y="9203348"/>
          <a:ext cx="242455" cy="1714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7</xdr:col>
      <xdr:colOff>0</xdr:colOff>
      <xdr:row>38</xdr:row>
      <xdr:rowOff>2</xdr:rowOff>
    </xdr:from>
    <xdr:to>
      <xdr:col>7</xdr:col>
      <xdr:colOff>213880</xdr:colOff>
      <xdr:row>39</xdr:row>
      <xdr:rowOff>2</xdr:rowOff>
    </xdr:to>
    <xdr:sp macro="" textlink="">
      <xdr:nvSpPr>
        <xdr:cNvPr id="27" name="Rectángulo 80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/>
      </xdr:nvSpPr>
      <xdr:spPr>
        <a:xfrm>
          <a:off x="5314950" y="7848602"/>
          <a:ext cx="213880" cy="1714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190500</xdr:colOff>
      <xdr:row>38</xdr:row>
      <xdr:rowOff>0</xdr:rowOff>
    </xdr:from>
    <xdr:to>
      <xdr:col>9</xdr:col>
      <xdr:colOff>404380</xdr:colOff>
      <xdr:row>39</xdr:row>
      <xdr:rowOff>0</xdr:rowOff>
    </xdr:to>
    <xdr:sp macro="" textlink="">
      <xdr:nvSpPr>
        <xdr:cNvPr id="28" name="Rectángulo 81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SpPr/>
      </xdr:nvSpPr>
      <xdr:spPr>
        <a:xfrm>
          <a:off x="7172325" y="7848600"/>
          <a:ext cx="213880" cy="1714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286801</xdr:colOff>
      <xdr:row>54</xdr:row>
      <xdr:rowOff>26124</xdr:rowOff>
    </xdr:from>
    <xdr:to>
      <xdr:col>1</xdr:col>
      <xdr:colOff>529256</xdr:colOff>
      <xdr:row>55</xdr:row>
      <xdr:rowOff>26124</xdr:rowOff>
    </xdr:to>
    <xdr:sp macro="" textlink="">
      <xdr:nvSpPr>
        <xdr:cNvPr id="29" name="Rectángulo 64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/>
      </xdr:nvSpPr>
      <xdr:spPr>
        <a:xfrm>
          <a:off x="553501" y="10656024"/>
          <a:ext cx="242455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424547</xdr:colOff>
      <xdr:row>53</xdr:row>
      <xdr:rowOff>244663</xdr:rowOff>
    </xdr:from>
    <xdr:to>
      <xdr:col>2</xdr:col>
      <xdr:colOff>667002</xdr:colOff>
      <xdr:row>54</xdr:row>
      <xdr:rowOff>244663</xdr:rowOff>
    </xdr:to>
    <xdr:sp macro="" textlink="">
      <xdr:nvSpPr>
        <xdr:cNvPr id="30" name="Rectángulo 65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SpPr/>
      </xdr:nvSpPr>
      <xdr:spPr>
        <a:xfrm>
          <a:off x="1434197" y="10626913"/>
          <a:ext cx="242455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239694</xdr:colOff>
      <xdr:row>54</xdr:row>
      <xdr:rowOff>0</xdr:rowOff>
    </xdr:from>
    <xdr:to>
      <xdr:col>3</xdr:col>
      <xdr:colOff>482149</xdr:colOff>
      <xdr:row>55</xdr:row>
      <xdr:rowOff>0</xdr:rowOff>
    </xdr:to>
    <xdr:sp macro="" textlink="">
      <xdr:nvSpPr>
        <xdr:cNvPr id="31" name="Rectángulo 71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/>
      </xdr:nvSpPr>
      <xdr:spPr>
        <a:xfrm>
          <a:off x="2087544" y="10629900"/>
          <a:ext cx="242455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53</xdr:row>
      <xdr:rowOff>259373</xdr:rowOff>
    </xdr:from>
    <xdr:to>
      <xdr:col>4</xdr:col>
      <xdr:colOff>567979</xdr:colOff>
      <xdr:row>54</xdr:row>
      <xdr:rowOff>259373</xdr:rowOff>
    </xdr:to>
    <xdr:sp macro="" textlink="">
      <xdr:nvSpPr>
        <xdr:cNvPr id="32" name="Rectángulo 72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SpPr/>
      </xdr:nvSpPr>
      <xdr:spPr>
        <a:xfrm>
          <a:off x="3011574" y="10632098"/>
          <a:ext cx="242455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575982</xdr:colOff>
      <xdr:row>59</xdr:row>
      <xdr:rowOff>19049</xdr:rowOff>
    </xdr:from>
    <xdr:to>
      <xdr:col>3</xdr:col>
      <xdr:colOff>818437</xdr:colOff>
      <xdr:row>59</xdr:row>
      <xdr:rowOff>161924</xdr:rowOff>
    </xdr:to>
    <xdr:sp macro="" textlink="">
      <xdr:nvSpPr>
        <xdr:cNvPr id="33" name="Rectángulo 73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/>
      </xdr:nvSpPr>
      <xdr:spPr>
        <a:xfrm>
          <a:off x="2423832" y="11963399"/>
          <a:ext cx="242455" cy="14287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560295</xdr:colOff>
      <xdr:row>59</xdr:row>
      <xdr:rowOff>0</xdr:rowOff>
    </xdr:from>
    <xdr:to>
      <xdr:col>4</xdr:col>
      <xdr:colOff>802750</xdr:colOff>
      <xdr:row>60</xdr:row>
      <xdr:rowOff>0</xdr:rowOff>
    </xdr:to>
    <xdr:sp macro="" textlink="">
      <xdr:nvSpPr>
        <xdr:cNvPr id="34" name="Rectángulo 74">
          <a:extLst>
            <a:ext uri="{FF2B5EF4-FFF2-40B4-BE49-F238E27FC236}">
              <a16:creationId xmlns:a16="http://schemas.microsoft.com/office/drawing/2014/main" id="{00000000-0008-0000-0300-000022000000}"/>
            </a:ext>
          </a:extLst>
        </xdr:cNvPr>
        <xdr:cNvSpPr/>
      </xdr:nvSpPr>
      <xdr:spPr>
        <a:xfrm>
          <a:off x="3246345" y="11477625"/>
          <a:ext cx="242455" cy="1714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5</xdr:col>
      <xdr:colOff>504265</xdr:colOff>
      <xdr:row>59</xdr:row>
      <xdr:rowOff>0</xdr:rowOff>
    </xdr:from>
    <xdr:to>
      <xdr:col>5</xdr:col>
      <xdr:colOff>746720</xdr:colOff>
      <xdr:row>60</xdr:row>
      <xdr:rowOff>0</xdr:rowOff>
    </xdr:to>
    <xdr:sp macro="" textlink="">
      <xdr:nvSpPr>
        <xdr:cNvPr id="35" name="Rectángulo 75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/>
      </xdr:nvSpPr>
      <xdr:spPr>
        <a:xfrm>
          <a:off x="4028515" y="11477625"/>
          <a:ext cx="242455" cy="1714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382851</xdr:colOff>
      <xdr:row>66</xdr:row>
      <xdr:rowOff>162994</xdr:rowOff>
    </xdr:from>
    <xdr:to>
      <xdr:col>1</xdr:col>
      <xdr:colOff>625306</xdr:colOff>
      <xdr:row>67</xdr:row>
      <xdr:rowOff>162995</xdr:rowOff>
    </xdr:to>
    <xdr:sp macro="" textlink="">
      <xdr:nvSpPr>
        <xdr:cNvPr id="36" name="Rectángulo 76">
          <a:extLst>
            <a:ext uri="{FF2B5EF4-FFF2-40B4-BE49-F238E27FC236}">
              <a16:creationId xmlns:a16="http://schemas.microsoft.com/office/drawing/2014/main" id="{00000000-0008-0000-0300-000024000000}"/>
            </a:ext>
          </a:extLst>
        </xdr:cNvPr>
        <xdr:cNvSpPr/>
      </xdr:nvSpPr>
      <xdr:spPr>
        <a:xfrm>
          <a:off x="649551" y="12859819"/>
          <a:ext cx="242455" cy="161926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424547</xdr:colOff>
      <xdr:row>66</xdr:row>
      <xdr:rowOff>244663</xdr:rowOff>
    </xdr:from>
    <xdr:to>
      <xdr:col>2</xdr:col>
      <xdr:colOff>667002</xdr:colOff>
      <xdr:row>67</xdr:row>
      <xdr:rowOff>244663</xdr:rowOff>
    </xdr:to>
    <xdr:sp macro="" textlink="">
      <xdr:nvSpPr>
        <xdr:cNvPr id="37" name="Rectángulo 77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/>
      </xdr:nvSpPr>
      <xdr:spPr>
        <a:xfrm>
          <a:off x="1434197" y="12855763"/>
          <a:ext cx="242455" cy="1714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239694</xdr:colOff>
      <xdr:row>67</xdr:row>
      <xdr:rowOff>0</xdr:rowOff>
    </xdr:from>
    <xdr:to>
      <xdr:col>3</xdr:col>
      <xdr:colOff>482149</xdr:colOff>
      <xdr:row>68</xdr:row>
      <xdr:rowOff>0</xdr:rowOff>
    </xdr:to>
    <xdr:sp macro="" textlink="">
      <xdr:nvSpPr>
        <xdr:cNvPr id="38" name="Rectángulo 78">
          <a:extLst>
            <a:ext uri="{FF2B5EF4-FFF2-40B4-BE49-F238E27FC236}">
              <a16:creationId xmlns:a16="http://schemas.microsoft.com/office/drawing/2014/main" id="{00000000-0008-0000-0300-000026000000}"/>
            </a:ext>
          </a:extLst>
        </xdr:cNvPr>
        <xdr:cNvSpPr/>
      </xdr:nvSpPr>
      <xdr:spPr>
        <a:xfrm>
          <a:off x="2087544" y="12858750"/>
          <a:ext cx="242455" cy="1714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66</xdr:row>
      <xdr:rowOff>249848</xdr:rowOff>
    </xdr:from>
    <xdr:to>
      <xdr:col>4</xdr:col>
      <xdr:colOff>567979</xdr:colOff>
      <xdr:row>67</xdr:row>
      <xdr:rowOff>249848</xdr:rowOff>
    </xdr:to>
    <xdr:sp macro="" textlink="">
      <xdr:nvSpPr>
        <xdr:cNvPr id="39" name="Rectángulo 79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SpPr/>
      </xdr:nvSpPr>
      <xdr:spPr>
        <a:xfrm>
          <a:off x="3011574" y="12860948"/>
          <a:ext cx="242455" cy="1714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7</xdr:col>
      <xdr:colOff>0</xdr:colOff>
      <xdr:row>59</xdr:row>
      <xdr:rowOff>2</xdr:rowOff>
    </xdr:from>
    <xdr:to>
      <xdr:col>7</xdr:col>
      <xdr:colOff>213880</xdr:colOff>
      <xdr:row>60</xdr:row>
      <xdr:rowOff>2</xdr:rowOff>
    </xdr:to>
    <xdr:sp macro="" textlink="">
      <xdr:nvSpPr>
        <xdr:cNvPr id="40" name="Rectángulo 80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/>
      </xdr:nvSpPr>
      <xdr:spPr>
        <a:xfrm>
          <a:off x="5314950" y="11477627"/>
          <a:ext cx="213880" cy="1714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190500</xdr:colOff>
      <xdr:row>59</xdr:row>
      <xdr:rowOff>0</xdr:rowOff>
    </xdr:from>
    <xdr:to>
      <xdr:col>9</xdr:col>
      <xdr:colOff>404380</xdr:colOff>
      <xdr:row>60</xdr:row>
      <xdr:rowOff>0</xdr:rowOff>
    </xdr:to>
    <xdr:sp macro="" textlink="">
      <xdr:nvSpPr>
        <xdr:cNvPr id="41" name="Rectángulo 81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/>
      </xdr:nvSpPr>
      <xdr:spPr>
        <a:xfrm>
          <a:off x="7172325" y="11477625"/>
          <a:ext cx="213880" cy="1714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 editAs="oneCell">
    <xdr:from>
      <xdr:col>0</xdr:col>
      <xdr:colOff>0</xdr:colOff>
      <xdr:row>1</xdr:row>
      <xdr:rowOff>13447</xdr:rowOff>
    </xdr:from>
    <xdr:to>
      <xdr:col>3</xdr:col>
      <xdr:colOff>819150</xdr:colOff>
      <xdr:row>5</xdr:row>
      <xdr:rowOff>35366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1535"/>
          <a:ext cx="2668121" cy="135541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286801</xdr:colOff>
      <xdr:row>75</xdr:row>
      <xdr:rowOff>26124</xdr:rowOff>
    </xdr:from>
    <xdr:to>
      <xdr:col>1</xdr:col>
      <xdr:colOff>529256</xdr:colOff>
      <xdr:row>76</xdr:row>
      <xdr:rowOff>26124</xdr:rowOff>
    </xdr:to>
    <xdr:sp macro="" textlink="">
      <xdr:nvSpPr>
        <xdr:cNvPr id="68" name="Rectángulo 64">
          <a:extLst>
            <a:ext uri="{FF2B5EF4-FFF2-40B4-BE49-F238E27FC236}">
              <a16:creationId xmlns:a16="http://schemas.microsoft.com/office/drawing/2014/main" id="{00000000-0008-0000-0300-000044000000}"/>
            </a:ext>
          </a:extLst>
        </xdr:cNvPr>
        <xdr:cNvSpPr/>
      </xdr:nvSpPr>
      <xdr:spPr>
        <a:xfrm>
          <a:off x="553501" y="10960824"/>
          <a:ext cx="242455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424547</xdr:colOff>
      <xdr:row>74</xdr:row>
      <xdr:rowOff>244663</xdr:rowOff>
    </xdr:from>
    <xdr:to>
      <xdr:col>2</xdr:col>
      <xdr:colOff>667002</xdr:colOff>
      <xdr:row>75</xdr:row>
      <xdr:rowOff>244663</xdr:rowOff>
    </xdr:to>
    <xdr:sp macro="" textlink="">
      <xdr:nvSpPr>
        <xdr:cNvPr id="69" name="Rectángulo 65">
          <a:extLst>
            <a:ext uri="{FF2B5EF4-FFF2-40B4-BE49-F238E27FC236}">
              <a16:creationId xmlns:a16="http://schemas.microsoft.com/office/drawing/2014/main" id="{00000000-0008-0000-0300-000045000000}"/>
            </a:ext>
          </a:extLst>
        </xdr:cNvPr>
        <xdr:cNvSpPr/>
      </xdr:nvSpPr>
      <xdr:spPr>
        <a:xfrm>
          <a:off x="1434197" y="10931713"/>
          <a:ext cx="242455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239694</xdr:colOff>
      <xdr:row>75</xdr:row>
      <xdr:rowOff>0</xdr:rowOff>
    </xdr:from>
    <xdr:to>
      <xdr:col>3</xdr:col>
      <xdr:colOff>482149</xdr:colOff>
      <xdr:row>76</xdr:row>
      <xdr:rowOff>0</xdr:rowOff>
    </xdr:to>
    <xdr:sp macro="" textlink="">
      <xdr:nvSpPr>
        <xdr:cNvPr id="70" name="Rectángulo 71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/>
      </xdr:nvSpPr>
      <xdr:spPr>
        <a:xfrm>
          <a:off x="2087544" y="10934700"/>
          <a:ext cx="242455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74</xdr:row>
      <xdr:rowOff>259373</xdr:rowOff>
    </xdr:from>
    <xdr:to>
      <xdr:col>4</xdr:col>
      <xdr:colOff>567979</xdr:colOff>
      <xdr:row>75</xdr:row>
      <xdr:rowOff>259373</xdr:rowOff>
    </xdr:to>
    <xdr:sp macro="" textlink="">
      <xdr:nvSpPr>
        <xdr:cNvPr id="71" name="Rectángulo 72">
          <a:extLst>
            <a:ext uri="{FF2B5EF4-FFF2-40B4-BE49-F238E27FC236}">
              <a16:creationId xmlns:a16="http://schemas.microsoft.com/office/drawing/2014/main" id="{00000000-0008-0000-0300-000047000000}"/>
            </a:ext>
          </a:extLst>
        </xdr:cNvPr>
        <xdr:cNvSpPr/>
      </xdr:nvSpPr>
      <xdr:spPr>
        <a:xfrm>
          <a:off x="3011574" y="10936898"/>
          <a:ext cx="242455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575982</xdr:colOff>
      <xdr:row>80</xdr:row>
      <xdr:rowOff>19049</xdr:rowOff>
    </xdr:from>
    <xdr:to>
      <xdr:col>3</xdr:col>
      <xdr:colOff>818437</xdr:colOff>
      <xdr:row>80</xdr:row>
      <xdr:rowOff>161924</xdr:rowOff>
    </xdr:to>
    <xdr:sp macro="" textlink="">
      <xdr:nvSpPr>
        <xdr:cNvPr id="72" name="Rectángulo 73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SpPr/>
      </xdr:nvSpPr>
      <xdr:spPr>
        <a:xfrm>
          <a:off x="2423832" y="11963399"/>
          <a:ext cx="242455" cy="14287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560295</xdr:colOff>
      <xdr:row>80</xdr:row>
      <xdr:rowOff>0</xdr:rowOff>
    </xdr:from>
    <xdr:to>
      <xdr:col>4</xdr:col>
      <xdr:colOff>802750</xdr:colOff>
      <xdr:row>81</xdr:row>
      <xdr:rowOff>0</xdr:rowOff>
    </xdr:to>
    <xdr:sp macro="" textlink="">
      <xdr:nvSpPr>
        <xdr:cNvPr id="73" name="Rectángulo 74">
          <a:extLst>
            <a:ext uri="{FF2B5EF4-FFF2-40B4-BE49-F238E27FC236}">
              <a16:creationId xmlns:a16="http://schemas.microsoft.com/office/drawing/2014/main" id="{00000000-0008-0000-0300-000049000000}"/>
            </a:ext>
          </a:extLst>
        </xdr:cNvPr>
        <xdr:cNvSpPr/>
      </xdr:nvSpPr>
      <xdr:spPr>
        <a:xfrm>
          <a:off x="3265395" y="16459200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5</xdr:col>
      <xdr:colOff>504265</xdr:colOff>
      <xdr:row>80</xdr:row>
      <xdr:rowOff>0</xdr:rowOff>
    </xdr:from>
    <xdr:to>
      <xdr:col>5</xdr:col>
      <xdr:colOff>746720</xdr:colOff>
      <xdr:row>81</xdr:row>
      <xdr:rowOff>0</xdr:rowOff>
    </xdr:to>
    <xdr:sp macro="" textlink="">
      <xdr:nvSpPr>
        <xdr:cNvPr id="74" name="Rectángulo 75">
          <a:extLst>
            <a:ext uri="{FF2B5EF4-FFF2-40B4-BE49-F238E27FC236}">
              <a16:creationId xmlns:a16="http://schemas.microsoft.com/office/drawing/2014/main" id="{00000000-0008-0000-0300-00004A000000}"/>
            </a:ext>
          </a:extLst>
        </xdr:cNvPr>
        <xdr:cNvSpPr/>
      </xdr:nvSpPr>
      <xdr:spPr>
        <a:xfrm>
          <a:off x="4028515" y="11944350"/>
          <a:ext cx="242455" cy="1714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382851</xdr:colOff>
      <xdr:row>87</xdr:row>
      <xdr:rowOff>162994</xdr:rowOff>
    </xdr:from>
    <xdr:to>
      <xdr:col>1</xdr:col>
      <xdr:colOff>625306</xdr:colOff>
      <xdr:row>88</xdr:row>
      <xdr:rowOff>162995</xdr:rowOff>
    </xdr:to>
    <xdr:sp macro="" textlink="">
      <xdr:nvSpPr>
        <xdr:cNvPr id="75" name="Rectángulo 76">
          <a:extLst>
            <a:ext uri="{FF2B5EF4-FFF2-40B4-BE49-F238E27FC236}">
              <a16:creationId xmlns:a16="http://schemas.microsoft.com/office/drawing/2014/main" id="{00000000-0008-0000-0300-00004B000000}"/>
            </a:ext>
          </a:extLst>
        </xdr:cNvPr>
        <xdr:cNvSpPr/>
      </xdr:nvSpPr>
      <xdr:spPr>
        <a:xfrm>
          <a:off x="649551" y="13326544"/>
          <a:ext cx="242455" cy="161926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424547</xdr:colOff>
      <xdr:row>87</xdr:row>
      <xdr:rowOff>244663</xdr:rowOff>
    </xdr:from>
    <xdr:to>
      <xdr:col>2</xdr:col>
      <xdr:colOff>667002</xdr:colOff>
      <xdr:row>88</xdr:row>
      <xdr:rowOff>244663</xdr:rowOff>
    </xdr:to>
    <xdr:sp macro="" textlink="">
      <xdr:nvSpPr>
        <xdr:cNvPr id="76" name="Rectángulo 77">
          <a:extLst>
            <a:ext uri="{FF2B5EF4-FFF2-40B4-BE49-F238E27FC236}">
              <a16:creationId xmlns:a16="http://schemas.microsoft.com/office/drawing/2014/main" id="{00000000-0008-0000-0300-00004C000000}"/>
            </a:ext>
          </a:extLst>
        </xdr:cNvPr>
        <xdr:cNvSpPr/>
      </xdr:nvSpPr>
      <xdr:spPr>
        <a:xfrm>
          <a:off x="1434197" y="13322488"/>
          <a:ext cx="242455" cy="1714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239694</xdr:colOff>
      <xdr:row>88</xdr:row>
      <xdr:rowOff>0</xdr:rowOff>
    </xdr:from>
    <xdr:to>
      <xdr:col>3</xdr:col>
      <xdr:colOff>482149</xdr:colOff>
      <xdr:row>89</xdr:row>
      <xdr:rowOff>0</xdr:rowOff>
    </xdr:to>
    <xdr:sp macro="" textlink="">
      <xdr:nvSpPr>
        <xdr:cNvPr id="77" name="Rectángulo 78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/>
      </xdr:nvSpPr>
      <xdr:spPr>
        <a:xfrm>
          <a:off x="2087544" y="13325475"/>
          <a:ext cx="242455" cy="1714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87</xdr:row>
      <xdr:rowOff>249848</xdr:rowOff>
    </xdr:from>
    <xdr:to>
      <xdr:col>4</xdr:col>
      <xdr:colOff>567979</xdr:colOff>
      <xdr:row>88</xdr:row>
      <xdr:rowOff>249848</xdr:rowOff>
    </xdr:to>
    <xdr:sp macro="" textlink="">
      <xdr:nvSpPr>
        <xdr:cNvPr id="78" name="Rectángulo 79">
          <a:extLst>
            <a:ext uri="{FF2B5EF4-FFF2-40B4-BE49-F238E27FC236}">
              <a16:creationId xmlns:a16="http://schemas.microsoft.com/office/drawing/2014/main" id="{00000000-0008-0000-0300-00004E000000}"/>
            </a:ext>
          </a:extLst>
        </xdr:cNvPr>
        <xdr:cNvSpPr/>
      </xdr:nvSpPr>
      <xdr:spPr>
        <a:xfrm>
          <a:off x="3011574" y="13327673"/>
          <a:ext cx="242455" cy="1714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7</xdr:col>
      <xdr:colOff>0</xdr:colOff>
      <xdr:row>80</xdr:row>
      <xdr:rowOff>2</xdr:rowOff>
    </xdr:from>
    <xdr:to>
      <xdr:col>7</xdr:col>
      <xdr:colOff>213880</xdr:colOff>
      <xdr:row>81</xdr:row>
      <xdr:rowOff>2</xdr:rowOff>
    </xdr:to>
    <xdr:sp macro="" textlink="">
      <xdr:nvSpPr>
        <xdr:cNvPr id="79" name="Rectángulo 80">
          <a:extLst>
            <a:ext uri="{FF2B5EF4-FFF2-40B4-BE49-F238E27FC236}">
              <a16:creationId xmlns:a16="http://schemas.microsoft.com/office/drawing/2014/main" id="{00000000-0008-0000-0300-00004F000000}"/>
            </a:ext>
          </a:extLst>
        </xdr:cNvPr>
        <xdr:cNvSpPr/>
      </xdr:nvSpPr>
      <xdr:spPr>
        <a:xfrm>
          <a:off x="5314950" y="11944352"/>
          <a:ext cx="213880" cy="1714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190500</xdr:colOff>
      <xdr:row>80</xdr:row>
      <xdr:rowOff>0</xdr:rowOff>
    </xdr:from>
    <xdr:to>
      <xdr:col>9</xdr:col>
      <xdr:colOff>404380</xdr:colOff>
      <xdr:row>81</xdr:row>
      <xdr:rowOff>0</xdr:rowOff>
    </xdr:to>
    <xdr:sp macro="" textlink="">
      <xdr:nvSpPr>
        <xdr:cNvPr id="80" name="Rectángulo 81">
          <a:extLst>
            <a:ext uri="{FF2B5EF4-FFF2-40B4-BE49-F238E27FC236}">
              <a16:creationId xmlns:a16="http://schemas.microsoft.com/office/drawing/2014/main" id="{00000000-0008-0000-0300-000050000000}"/>
            </a:ext>
          </a:extLst>
        </xdr:cNvPr>
        <xdr:cNvSpPr/>
      </xdr:nvSpPr>
      <xdr:spPr>
        <a:xfrm>
          <a:off x="7172325" y="11944350"/>
          <a:ext cx="213880" cy="1714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286801</xdr:colOff>
      <xdr:row>96</xdr:row>
      <xdr:rowOff>26124</xdr:rowOff>
    </xdr:from>
    <xdr:to>
      <xdr:col>1</xdr:col>
      <xdr:colOff>529256</xdr:colOff>
      <xdr:row>97</xdr:row>
      <xdr:rowOff>26124</xdr:rowOff>
    </xdr:to>
    <xdr:sp macro="" textlink="">
      <xdr:nvSpPr>
        <xdr:cNvPr id="81" name="Rectángulo 64">
          <a:extLst>
            <a:ext uri="{FF2B5EF4-FFF2-40B4-BE49-F238E27FC236}">
              <a16:creationId xmlns:a16="http://schemas.microsoft.com/office/drawing/2014/main" id="{00000000-0008-0000-0300-000051000000}"/>
            </a:ext>
          </a:extLst>
        </xdr:cNvPr>
        <xdr:cNvSpPr/>
      </xdr:nvSpPr>
      <xdr:spPr>
        <a:xfrm>
          <a:off x="553501" y="10960824"/>
          <a:ext cx="242455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424547</xdr:colOff>
      <xdr:row>95</xdr:row>
      <xdr:rowOff>244663</xdr:rowOff>
    </xdr:from>
    <xdr:to>
      <xdr:col>2</xdr:col>
      <xdr:colOff>667002</xdr:colOff>
      <xdr:row>96</xdr:row>
      <xdr:rowOff>244663</xdr:rowOff>
    </xdr:to>
    <xdr:sp macro="" textlink="">
      <xdr:nvSpPr>
        <xdr:cNvPr id="82" name="Rectángulo 65">
          <a:extLst>
            <a:ext uri="{FF2B5EF4-FFF2-40B4-BE49-F238E27FC236}">
              <a16:creationId xmlns:a16="http://schemas.microsoft.com/office/drawing/2014/main" id="{00000000-0008-0000-0300-000052000000}"/>
            </a:ext>
          </a:extLst>
        </xdr:cNvPr>
        <xdr:cNvSpPr/>
      </xdr:nvSpPr>
      <xdr:spPr>
        <a:xfrm>
          <a:off x="1434197" y="10931713"/>
          <a:ext cx="242455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239694</xdr:colOff>
      <xdr:row>96</xdr:row>
      <xdr:rowOff>0</xdr:rowOff>
    </xdr:from>
    <xdr:to>
      <xdr:col>3</xdr:col>
      <xdr:colOff>482149</xdr:colOff>
      <xdr:row>97</xdr:row>
      <xdr:rowOff>0</xdr:rowOff>
    </xdr:to>
    <xdr:sp macro="" textlink="">
      <xdr:nvSpPr>
        <xdr:cNvPr id="83" name="Rectángulo 71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/>
      </xdr:nvSpPr>
      <xdr:spPr>
        <a:xfrm>
          <a:off x="2087544" y="10934700"/>
          <a:ext cx="242455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95</xdr:row>
      <xdr:rowOff>259373</xdr:rowOff>
    </xdr:from>
    <xdr:to>
      <xdr:col>4</xdr:col>
      <xdr:colOff>567979</xdr:colOff>
      <xdr:row>96</xdr:row>
      <xdr:rowOff>259373</xdr:rowOff>
    </xdr:to>
    <xdr:sp macro="" textlink="">
      <xdr:nvSpPr>
        <xdr:cNvPr id="84" name="Rectángulo 72">
          <a:extLst>
            <a:ext uri="{FF2B5EF4-FFF2-40B4-BE49-F238E27FC236}">
              <a16:creationId xmlns:a16="http://schemas.microsoft.com/office/drawing/2014/main" id="{00000000-0008-0000-0300-000054000000}"/>
            </a:ext>
          </a:extLst>
        </xdr:cNvPr>
        <xdr:cNvSpPr/>
      </xdr:nvSpPr>
      <xdr:spPr>
        <a:xfrm>
          <a:off x="3011574" y="10936898"/>
          <a:ext cx="242455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575982</xdr:colOff>
      <xdr:row>101</xdr:row>
      <xdr:rowOff>19049</xdr:rowOff>
    </xdr:from>
    <xdr:to>
      <xdr:col>3</xdr:col>
      <xdr:colOff>818437</xdr:colOff>
      <xdr:row>101</xdr:row>
      <xdr:rowOff>161924</xdr:rowOff>
    </xdr:to>
    <xdr:sp macro="" textlink="">
      <xdr:nvSpPr>
        <xdr:cNvPr id="85" name="Rectángulo 73">
          <a:extLst>
            <a:ext uri="{FF2B5EF4-FFF2-40B4-BE49-F238E27FC236}">
              <a16:creationId xmlns:a16="http://schemas.microsoft.com/office/drawing/2014/main" id="{00000000-0008-0000-0300-000055000000}"/>
            </a:ext>
          </a:extLst>
        </xdr:cNvPr>
        <xdr:cNvSpPr/>
      </xdr:nvSpPr>
      <xdr:spPr>
        <a:xfrm>
          <a:off x="2423832" y="11963399"/>
          <a:ext cx="242455" cy="14287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560295</xdr:colOff>
      <xdr:row>101</xdr:row>
      <xdr:rowOff>0</xdr:rowOff>
    </xdr:from>
    <xdr:to>
      <xdr:col>4</xdr:col>
      <xdr:colOff>802750</xdr:colOff>
      <xdr:row>102</xdr:row>
      <xdr:rowOff>0</xdr:rowOff>
    </xdr:to>
    <xdr:sp macro="" textlink="">
      <xdr:nvSpPr>
        <xdr:cNvPr id="86" name="Rectángulo 74">
          <a:extLst>
            <a:ext uri="{FF2B5EF4-FFF2-40B4-BE49-F238E27FC236}">
              <a16:creationId xmlns:a16="http://schemas.microsoft.com/office/drawing/2014/main" id="{00000000-0008-0000-0300-000056000000}"/>
            </a:ext>
          </a:extLst>
        </xdr:cNvPr>
        <xdr:cNvSpPr/>
      </xdr:nvSpPr>
      <xdr:spPr>
        <a:xfrm>
          <a:off x="3246345" y="11944350"/>
          <a:ext cx="242455" cy="1714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5</xdr:col>
      <xdr:colOff>504265</xdr:colOff>
      <xdr:row>101</xdr:row>
      <xdr:rowOff>0</xdr:rowOff>
    </xdr:from>
    <xdr:to>
      <xdr:col>5</xdr:col>
      <xdr:colOff>746720</xdr:colOff>
      <xdr:row>102</xdr:row>
      <xdr:rowOff>0</xdr:rowOff>
    </xdr:to>
    <xdr:sp macro="" textlink="">
      <xdr:nvSpPr>
        <xdr:cNvPr id="87" name="Rectángulo 75">
          <a:extLst>
            <a:ext uri="{FF2B5EF4-FFF2-40B4-BE49-F238E27FC236}">
              <a16:creationId xmlns:a16="http://schemas.microsoft.com/office/drawing/2014/main" id="{00000000-0008-0000-0300-000057000000}"/>
            </a:ext>
          </a:extLst>
        </xdr:cNvPr>
        <xdr:cNvSpPr/>
      </xdr:nvSpPr>
      <xdr:spPr>
        <a:xfrm>
          <a:off x="4028515" y="11944350"/>
          <a:ext cx="242455" cy="1714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382851</xdr:colOff>
      <xdr:row>108</xdr:row>
      <xdr:rowOff>162994</xdr:rowOff>
    </xdr:from>
    <xdr:to>
      <xdr:col>1</xdr:col>
      <xdr:colOff>625306</xdr:colOff>
      <xdr:row>109</xdr:row>
      <xdr:rowOff>162995</xdr:rowOff>
    </xdr:to>
    <xdr:sp macro="" textlink="">
      <xdr:nvSpPr>
        <xdr:cNvPr id="88" name="Rectángulo 76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/>
      </xdr:nvSpPr>
      <xdr:spPr>
        <a:xfrm>
          <a:off x="649551" y="13326544"/>
          <a:ext cx="242455" cy="161926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424547</xdr:colOff>
      <xdr:row>108</xdr:row>
      <xdr:rowOff>244663</xdr:rowOff>
    </xdr:from>
    <xdr:to>
      <xdr:col>2</xdr:col>
      <xdr:colOff>667002</xdr:colOff>
      <xdr:row>109</xdr:row>
      <xdr:rowOff>244663</xdr:rowOff>
    </xdr:to>
    <xdr:sp macro="" textlink="">
      <xdr:nvSpPr>
        <xdr:cNvPr id="89" name="Rectángulo 77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/>
      </xdr:nvSpPr>
      <xdr:spPr>
        <a:xfrm>
          <a:off x="1434197" y="13322488"/>
          <a:ext cx="242455" cy="1714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239694</xdr:colOff>
      <xdr:row>109</xdr:row>
      <xdr:rowOff>0</xdr:rowOff>
    </xdr:from>
    <xdr:to>
      <xdr:col>3</xdr:col>
      <xdr:colOff>482149</xdr:colOff>
      <xdr:row>110</xdr:row>
      <xdr:rowOff>0</xdr:rowOff>
    </xdr:to>
    <xdr:sp macro="" textlink="">
      <xdr:nvSpPr>
        <xdr:cNvPr id="90" name="Rectángulo 78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/>
      </xdr:nvSpPr>
      <xdr:spPr>
        <a:xfrm>
          <a:off x="2087544" y="13325475"/>
          <a:ext cx="242455" cy="1714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108</xdr:row>
      <xdr:rowOff>249848</xdr:rowOff>
    </xdr:from>
    <xdr:to>
      <xdr:col>4</xdr:col>
      <xdr:colOff>567979</xdr:colOff>
      <xdr:row>109</xdr:row>
      <xdr:rowOff>249848</xdr:rowOff>
    </xdr:to>
    <xdr:sp macro="" textlink="">
      <xdr:nvSpPr>
        <xdr:cNvPr id="91" name="Rectángulo 79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/>
      </xdr:nvSpPr>
      <xdr:spPr>
        <a:xfrm>
          <a:off x="3011574" y="13327673"/>
          <a:ext cx="242455" cy="1714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7</xdr:col>
      <xdr:colOff>0</xdr:colOff>
      <xdr:row>101</xdr:row>
      <xdr:rowOff>2</xdr:rowOff>
    </xdr:from>
    <xdr:to>
      <xdr:col>7</xdr:col>
      <xdr:colOff>213880</xdr:colOff>
      <xdr:row>102</xdr:row>
      <xdr:rowOff>2</xdr:rowOff>
    </xdr:to>
    <xdr:sp macro="" textlink="">
      <xdr:nvSpPr>
        <xdr:cNvPr id="92" name="Rectángulo 80">
          <a:extLst>
            <a:ext uri="{FF2B5EF4-FFF2-40B4-BE49-F238E27FC236}">
              <a16:creationId xmlns:a16="http://schemas.microsoft.com/office/drawing/2014/main" id="{00000000-0008-0000-0300-00005C000000}"/>
            </a:ext>
          </a:extLst>
        </xdr:cNvPr>
        <xdr:cNvSpPr/>
      </xdr:nvSpPr>
      <xdr:spPr>
        <a:xfrm>
          <a:off x="5314950" y="11944352"/>
          <a:ext cx="213880" cy="1714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190500</xdr:colOff>
      <xdr:row>101</xdr:row>
      <xdr:rowOff>0</xdr:rowOff>
    </xdr:from>
    <xdr:to>
      <xdr:col>9</xdr:col>
      <xdr:colOff>404380</xdr:colOff>
      <xdr:row>102</xdr:row>
      <xdr:rowOff>0</xdr:rowOff>
    </xdr:to>
    <xdr:sp macro="" textlink="">
      <xdr:nvSpPr>
        <xdr:cNvPr id="93" name="Rectángulo 81">
          <a:extLst>
            <a:ext uri="{FF2B5EF4-FFF2-40B4-BE49-F238E27FC236}">
              <a16:creationId xmlns:a16="http://schemas.microsoft.com/office/drawing/2014/main" id="{00000000-0008-0000-0300-00005D000000}"/>
            </a:ext>
          </a:extLst>
        </xdr:cNvPr>
        <xdr:cNvSpPr/>
      </xdr:nvSpPr>
      <xdr:spPr>
        <a:xfrm>
          <a:off x="7172325" y="11944350"/>
          <a:ext cx="213880" cy="1714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286801</xdr:colOff>
      <xdr:row>117</xdr:row>
      <xdr:rowOff>26124</xdr:rowOff>
    </xdr:from>
    <xdr:to>
      <xdr:col>1</xdr:col>
      <xdr:colOff>529256</xdr:colOff>
      <xdr:row>118</xdr:row>
      <xdr:rowOff>26124</xdr:rowOff>
    </xdr:to>
    <xdr:sp macro="" textlink="">
      <xdr:nvSpPr>
        <xdr:cNvPr id="94" name="Rectángulo 64">
          <a:extLst>
            <a:ext uri="{FF2B5EF4-FFF2-40B4-BE49-F238E27FC236}">
              <a16:creationId xmlns:a16="http://schemas.microsoft.com/office/drawing/2014/main" id="{00000000-0008-0000-0300-00005E000000}"/>
            </a:ext>
          </a:extLst>
        </xdr:cNvPr>
        <xdr:cNvSpPr/>
      </xdr:nvSpPr>
      <xdr:spPr>
        <a:xfrm>
          <a:off x="550570" y="10884624"/>
          <a:ext cx="242455" cy="22713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424547</xdr:colOff>
      <xdr:row>116</xdr:row>
      <xdr:rowOff>244663</xdr:rowOff>
    </xdr:from>
    <xdr:to>
      <xdr:col>2</xdr:col>
      <xdr:colOff>667002</xdr:colOff>
      <xdr:row>117</xdr:row>
      <xdr:rowOff>244663</xdr:rowOff>
    </xdr:to>
    <xdr:sp macro="" textlink="">
      <xdr:nvSpPr>
        <xdr:cNvPr id="95" name="Rectángulo 65">
          <a:extLst>
            <a:ext uri="{FF2B5EF4-FFF2-40B4-BE49-F238E27FC236}">
              <a16:creationId xmlns:a16="http://schemas.microsoft.com/office/drawing/2014/main" id="{00000000-0008-0000-0300-00005F000000}"/>
            </a:ext>
          </a:extLst>
        </xdr:cNvPr>
        <xdr:cNvSpPr/>
      </xdr:nvSpPr>
      <xdr:spPr>
        <a:xfrm>
          <a:off x="1428335" y="10858444"/>
          <a:ext cx="242455" cy="22566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239694</xdr:colOff>
      <xdr:row>117</xdr:row>
      <xdr:rowOff>0</xdr:rowOff>
    </xdr:from>
    <xdr:to>
      <xdr:col>3</xdr:col>
      <xdr:colOff>482149</xdr:colOff>
      <xdr:row>118</xdr:row>
      <xdr:rowOff>0</xdr:rowOff>
    </xdr:to>
    <xdr:sp macro="" textlink="">
      <xdr:nvSpPr>
        <xdr:cNvPr id="96" name="Rectángulo 71">
          <a:extLst>
            <a:ext uri="{FF2B5EF4-FFF2-40B4-BE49-F238E27FC236}">
              <a16:creationId xmlns:a16="http://schemas.microsoft.com/office/drawing/2014/main" id="{00000000-0008-0000-0300-000060000000}"/>
            </a:ext>
          </a:extLst>
        </xdr:cNvPr>
        <xdr:cNvSpPr/>
      </xdr:nvSpPr>
      <xdr:spPr>
        <a:xfrm>
          <a:off x="2078752" y="10858500"/>
          <a:ext cx="242455" cy="22713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116</xdr:row>
      <xdr:rowOff>259373</xdr:rowOff>
    </xdr:from>
    <xdr:to>
      <xdr:col>4</xdr:col>
      <xdr:colOff>567979</xdr:colOff>
      <xdr:row>117</xdr:row>
      <xdr:rowOff>259373</xdr:rowOff>
    </xdr:to>
    <xdr:sp macro="" textlink="">
      <xdr:nvSpPr>
        <xdr:cNvPr id="97" name="Rectángulo 72">
          <a:extLst>
            <a:ext uri="{FF2B5EF4-FFF2-40B4-BE49-F238E27FC236}">
              <a16:creationId xmlns:a16="http://schemas.microsoft.com/office/drawing/2014/main" id="{00000000-0008-0000-0300-000061000000}"/>
            </a:ext>
          </a:extLst>
        </xdr:cNvPr>
        <xdr:cNvSpPr/>
      </xdr:nvSpPr>
      <xdr:spPr>
        <a:xfrm>
          <a:off x="2999851" y="10863629"/>
          <a:ext cx="242455" cy="22566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575982</xdr:colOff>
      <xdr:row>122</xdr:row>
      <xdr:rowOff>19049</xdr:rowOff>
    </xdr:from>
    <xdr:to>
      <xdr:col>3</xdr:col>
      <xdr:colOff>818437</xdr:colOff>
      <xdr:row>122</xdr:row>
      <xdr:rowOff>161924</xdr:rowOff>
    </xdr:to>
    <xdr:sp macro="" textlink="">
      <xdr:nvSpPr>
        <xdr:cNvPr id="98" name="Rectángulo 73">
          <a:extLst>
            <a:ext uri="{FF2B5EF4-FFF2-40B4-BE49-F238E27FC236}">
              <a16:creationId xmlns:a16="http://schemas.microsoft.com/office/drawing/2014/main" id="{00000000-0008-0000-0300-000062000000}"/>
            </a:ext>
          </a:extLst>
        </xdr:cNvPr>
        <xdr:cNvSpPr/>
      </xdr:nvSpPr>
      <xdr:spPr>
        <a:xfrm>
          <a:off x="2415040" y="11874011"/>
          <a:ext cx="242455" cy="14287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560295</xdr:colOff>
      <xdr:row>122</xdr:row>
      <xdr:rowOff>0</xdr:rowOff>
    </xdr:from>
    <xdr:to>
      <xdr:col>4</xdr:col>
      <xdr:colOff>802750</xdr:colOff>
      <xdr:row>123</xdr:row>
      <xdr:rowOff>0</xdr:rowOff>
    </xdr:to>
    <xdr:sp macro="" textlink="">
      <xdr:nvSpPr>
        <xdr:cNvPr id="99" name="Rectángulo 74">
          <a:extLst>
            <a:ext uri="{FF2B5EF4-FFF2-40B4-BE49-F238E27FC236}">
              <a16:creationId xmlns:a16="http://schemas.microsoft.com/office/drawing/2014/main" id="{00000000-0008-0000-0300-000063000000}"/>
            </a:ext>
          </a:extLst>
        </xdr:cNvPr>
        <xdr:cNvSpPr/>
      </xdr:nvSpPr>
      <xdr:spPr>
        <a:xfrm>
          <a:off x="3234622" y="11854962"/>
          <a:ext cx="242455" cy="16851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5</xdr:col>
      <xdr:colOff>504265</xdr:colOff>
      <xdr:row>122</xdr:row>
      <xdr:rowOff>0</xdr:rowOff>
    </xdr:from>
    <xdr:to>
      <xdr:col>5</xdr:col>
      <xdr:colOff>746720</xdr:colOff>
      <xdr:row>123</xdr:row>
      <xdr:rowOff>0</xdr:rowOff>
    </xdr:to>
    <xdr:sp macro="" textlink="">
      <xdr:nvSpPr>
        <xdr:cNvPr id="100" name="Rectángulo 75">
          <a:extLst>
            <a:ext uri="{FF2B5EF4-FFF2-40B4-BE49-F238E27FC236}">
              <a16:creationId xmlns:a16="http://schemas.microsoft.com/office/drawing/2014/main" id="{00000000-0008-0000-0300-000064000000}"/>
            </a:ext>
          </a:extLst>
        </xdr:cNvPr>
        <xdr:cNvSpPr/>
      </xdr:nvSpPr>
      <xdr:spPr>
        <a:xfrm>
          <a:off x="4013861" y="11854962"/>
          <a:ext cx="242455" cy="16851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382851</xdr:colOff>
      <xdr:row>129</xdr:row>
      <xdr:rowOff>162994</xdr:rowOff>
    </xdr:from>
    <xdr:to>
      <xdr:col>1</xdr:col>
      <xdr:colOff>625306</xdr:colOff>
      <xdr:row>130</xdr:row>
      <xdr:rowOff>162995</xdr:rowOff>
    </xdr:to>
    <xdr:sp macro="" textlink="">
      <xdr:nvSpPr>
        <xdr:cNvPr id="101" name="Rectángulo 76">
          <a:extLst>
            <a:ext uri="{FF2B5EF4-FFF2-40B4-BE49-F238E27FC236}">
              <a16:creationId xmlns:a16="http://schemas.microsoft.com/office/drawing/2014/main" id="{00000000-0008-0000-0300-000065000000}"/>
            </a:ext>
          </a:extLst>
        </xdr:cNvPr>
        <xdr:cNvSpPr/>
      </xdr:nvSpPr>
      <xdr:spPr>
        <a:xfrm>
          <a:off x="646620" y="13218106"/>
          <a:ext cx="242455" cy="162658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424547</xdr:colOff>
      <xdr:row>129</xdr:row>
      <xdr:rowOff>244663</xdr:rowOff>
    </xdr:from>
    <xdr:to>
      <xdr:col>2</xdr:col>
      <xdr:colOff>667002</xdr:colOff>
      <xdr:row>130</xdr:row>
      <xdr:rowOff>244663</xdr:rowOff>
    </xdr:to>
    <xdr:sp macro="" textlink="">
      <xdr:nvSpPr>
        <xdr:cNvPr id="102" name="Rectángulo 77">
          <a:extLst>
            <a:ext uri="{FF2B5EF4-FFF2-40B4-BE49-F238E27FC236}">
              <a16:creationId xmlns:a16="http://schemas.microsoft.com/office/drawing/2014/main" id="{00000000-0008-0000-0300-000066000000}"/>
            </a:ext>
          </a:extLst>
        </xdr:cNvPr>
        <xdr:cNvSpPr/>
      </xdr:nvSpPr>
      <xdr:spPr>
        <a:xfrm>
          <a:off x="1428335" y="13214050"/>
          <a:ext cx="242455" cy="172182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239694</xdr:colOff>
      <xdr:row>130</xdr:row>
      <xdr:rowOff>0</xdr:rowOff>
    </xdr:from>
    <xdr:to>
      <xdr:col>3</xdr:col>
      <xdr:colOff>482149</xdr:colOff>
      <xdr:row>131</xdr:row>
      <xdr:rowOff>0</xdr:rowOff>
    </xdr:to>
    <xdr:sp macro="" textlink="">
      <xdr:nvSpPr>
        <xdr:cNvPr id="103" name="Rectángulo 78">
          <a:extLst>
            <a:ext uri="{FF2B5EF4-FFF2-40B4-BE49-F238E27FC236}">
              <a16:creationId xmlns:a16="http://schemas.microsoft.com/office/drawing/2014/main" id="{00000000-0008-0000-0300-000067000000}"/>
            </a:ext>
          </a:extLst>
        </xdr:cNvPr>
        <xdr:cNvSpPr/>
      </xdr:nvSpPr>
      <xdr:spPr>
        <a:xfrm>
          <a:off x="2078752" y="13217769"/>
          <a:ext cx="242455" cy="16851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129</xdr:row>
      <xdr:rowOff>249848</xdr:rowOff>
    </xdr:from>
    <xdr:to>
      <xdr:col>4</xdr:col>
      <xdr:colOff>567979</xdr:colOff>
      <xdr:row>130</xdr:row>
      <xdr:rowOff>249848</xdr:rowOff>
    </xdr:to>
    <xdr:sp macro="" textlink="">
      <xdr:nvSpPr>
        <xdr:cNvPr id="104" name="Rectángulo 79">
          <a:extLst>
            <a:ext uri="{FF2B5EF4-FFF2-40B4-BE49-F238E27FC236}">
              <a16:creationId xmlns:a16="http://schemas.microsoft.com/office/drawing/2014/main" id="{00000000-0008-0000-0300-000068000000}"/>
            </a:ext>
          </a:extLst>
        </xdr:cNvPr>
        <xdr:cNvSpPr/>
      </xdr:nvSpPr>
      <xdr:spPr>
        <a:xfrm>
          <a:off x="2999851" y="13219235"/>
          <a:ext cx="242455" cy="172182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7</xdr:col>
      <xdr:colOff>0</xdr:colOff>
      <xdr:row>122</xdr:row>
      <xdr:rowOff>2</xdr:rowOff>
    </xdr:from>
    <xdr:to>
      <xdr:col>7</xdr:col>
      <xdr:colOff>213880</xdr:colOff>
      <xdr:row>123</xdr:row>
      <xdr:rowOff>2</xdr:rowOff>
    </xdr:to>
    <xdr:sp macro="" textlink="">
      <xdr:nvSpPr>
        <xdr:cNvPr id="105" name="Rectángulo 80">
          <a:extLst>
            <a:ext uri="{FF2B5EF4-FFF2-40B4-BE49-F238E27FC236}">
              <a16:creationId xmlns:a16="http://schemas.microsoft.com/office/drawing/2014/main" id="{00000000-0008-0000-0300-000069000000}"/>
            </a:ext>
          </a:extLst>
        </xdr:cNvPr>
        <xdr:cNvSpPr/>
      </xdr:nvSpPr>
      <xdr:spPr>
        <a:xfrm>
          <a:off x="5297365" y="11854964"/>
          <a:ext cx="213880" cy="16851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190500</xdr:colOff>
      <xdr:row>122</xdr:row>
      <xdr:rowOff>0</xdr:rowOff>
    </xdr:from>
    <xdr:to>
      <xdr:col>9</xdr:col>
      <xdr:colOff>404380</xdr:colOff>
      <xdr:row>123</xdr:row>
      <xdr:rowOff>0</xdr:rowOff>
    </xdr:to>
    <xdr:sp macro="" textlink="">
      <xdr:nvSpPr>
        <xdr:cNvPr id="106" name="Rectángulo 81">
          <a:extLst>
            <a:ext uri="{FF2B5EF4-FFF2-40B4-BE49-F238E27FC236}">
              <a16:creationId xmlns:a16="http://schemas.microsoft.com/office/drawing/2014/main" id="{00000000-0008-0000-0300-00006A000000}"/>
            </a:ext>
          </a:extLst>
        </xdr:cNvPr>
        <xdr:cNvSpPr/>
      </xdr:nvSpPr>
      <xdr:spPr>
        <a:xfrm>
          <a:off x="7151077" y="11854962"/>
          <a:ext cx="213880" cy="16851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286801</xdr:colOff>
      <xdr:row>138</xdr:row>
      <xdr:rowOff>26124</xdr:rowOff>
    </xdr:from>
    <xdr:to>
      <xdr:col>1</xdr:col>
      <xdr:colOff>529256</xdr:colOff>
      <xdr:row>139</xdr:row>
      <xdr:rowOff>26124</xdr:rowOff>
    </xdr:to>
    <xdr:sp macro="" textlink="">
      <xdr:nvSpPr>
        <xdr:cNvPr id="107" name="Rectángulo 64">
          <a:extLst>
            <a:ext uri="{FF2B5EF4-FFF2-40B4-BE49-F238E27FC236}">
              <a16:creationId xmlns:a16="http://schemas.microsoft.com/office/drawing/2014/main" id="{00000000-0008-0000-0300-00006B000000}"/>
            </a:ext>
          </a:extLst>
        </xdr:cNvPr>
        <xdr:cNvSpPr/>
      </xdr:nvSpPr>
      <xdr:spPr>
        <a:xfrm>
          <a:off x="550570" y="10884624"/>
          <a:ext cx="242455" cy="22713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424547</xdr:colOff>
      <xdr:row>137</xdr:row>
      <xdr:rowOff>244663</xdr:rowOff>
    </xdr:from>
    <xdr:to>
      <xdr:col>2</xdr:col>
      <xdr:colOff>667002</xdr:colOff>
      <xdr:row>138</xdr:row>
      <xdr:rowOff>244663</xdr:rowOff>
    </xdr:to>
    <xdr:sp macro="" textlink="">
      <xdr:nvSpPr>
        <xdr:cNvPr id="108" name="Rectángulo 65">
          <a:extLst>
            <a:ext uri="{FF2B5EF4-FFF2-40B4-BE49-F238E27FC236}">
              <a16:creationId xmlns:a16="http://schemas.microsoft.com/office/drawing/2014/main" id="{00000000-0008-0000-0300-00006C000000}"/>
            </a:ext>
          </a:extLst>
        </xdr:cNvPr>
        <xdr:cNvSpPr/>
      </xdr:nvSpPr>
      <xdr:spPr>
        <a:xfrm>
          <a:off x="1428335" y="10858444"/>
          <a:ext cx="242455" cy="22566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239694</xdr:colOff>
      <xdr:row>138</xdr:row>
      <xdr:rowOff>0</xdr:rowOff>
    </xdr:from>
    <xdr:to>
      <xdr:col>3</xdr:col>
      <xdr:colOff>482149</xdr:colOff>
      <xdr:row>139</xdr:row>
      <xdr:rowOff>0</xdr:rowOff>
    </xdr:to>
    <xdr:sp macro="" textlink="">
      <xdr:nvSpPr>
        <xdr:cNvPr id="109" name="Rectángulo 71">
          <a:extLst>
            <a:ext uri="{FF2B5EF4-FFF2-40B4-BE49-F238E27FC236}">
              <a16:creationId xmlns:a16="http://schemas.microsoft.com/office/drawing/2014/main" id="{00000000-0008-0000-0300-00006D000000}"/>
            </a:ext>
          </a:extLst>
        </xdr:cNvPr>
        <xdr:cNvSpPr/>
      </xdr:nvSpPr>
      <xdr:spPr>
        <a:xfrm>
          <a:off x="2078752" y="10858500"/>
          <a:ext cx="242455" cy="22713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137</xdr:row>
      <xdr:rowOff>259373</xdr:rowOff>
    </xdr:from>
    <xdr:to>
      <xdr:col>4</xdr:col>
      <xdr:colOff>567979</xdr:colOff>
      <xdr:row>138</xdr:row>
      <xdr:rowOff>259373</xdr:rowOff>
    </xdr:to>
    <xdr:sp macro="" textlink="">
      <xdr:nvSpPr>
        <xdr:cNvPr id="110" name="Rectángulo 72">
          <a:extLst>
            <a:ext uri="{FF2B5EF4-FFF2-40B4-BE49-F238E27FC236}">
              <a16:creationId xmlns:a16="http://schemas.microsoft.com/office/drawing/2014/main" id="{00000000-0008-0000-0300-00006E000000}"/>
            </a:ext>
          </a:extLst>
        </xdr:cNvPr>
        <xdr:cNvSpPr/>
      </xdr:nvSpPr>
      <xdr:spPr>
        <a:xfrm>
          <a:off x="2999851" y="10863629"/>
          <a:ext cx="242455" cy="22566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575982</xdr:colOff>
      <xdr:row>143</xdr:row>
      <xdr:rowOff>19049</xdr:rowOff>
    </xdr:from>
    <xdr:to>
      <xdr:col>3</xdr:col>
      <xdr:colOff>818437</xdr:colOff>
      <xdr:row>143</xdr:row>
      <xdr:rowOff>161924</xdr:rowOff>
    </xdr:to>
    <xdr:sp macro="" textlink="">
      <xdr:nvSpPr>
        <xdr:cNvPr id="111" name="Rectángulo 73">
          <a:extLst>
            <a:ext uri="{FF2B5EF4-FFF2-40B4-BE49-F238E27FC236}">
              <a16:creationId xmlns:a16="http://schemas.microsoft.com/office/drawing/2014/main" id="{00000000-0008-0000-0300-00006F000000}"/>
            </a:ext>
          </a:extLst>
        </xdr:cNvPr>
        <xdr:cNvSpPr/>
      </xdr:nvSpPr>
      <xdr:spPr>
        <a:xfrm>
          <a:off x="2415040" y="11874011"/>
          <a:ext cx="242455" cy="14287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560295</xdr:colOff>
      <xdr:row>143</xdr:row>
      <xdr:rowOff>0</xdr:rowOff>
    </xdr:from>
    <xdr:to>
      <xdr:col>4</xdr:col>
      <xdr:colOff>802750</xdr:colOff>
      <xdr:row>144</xdr:row>
      <xdr:rowOff>0</xdr:rowOff>
    </xdr:to>
    <xdr:sp macro="" textlink="">
      <xdr:nvSpPr>
        <xdr:cNvPr id="112" name="Rectángulo 74">
          <a:extLst>
            <a:ext uri="{FF2B5EF4-FFF2-40B4-BE49-F238E27FC236}">
              <a16:creationId xmlns:a16="http://schemas.microsoft.com/office/drawing/2014/main" id="{00000000-0008-0000-0300-000070000000}"/>
            </a:ext>
          </a:extLst>
        </xdr:cNvPr>
        <xdr:cNvSpPr/>
      </xdr:nvSpPr>
      <xdr:spPr>
        <a:xfrm>
          <a:off x="3234622" y="11854962"/>
          <a:ext cx="242455" cy="16851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5</xdr:col>
      <xdr:colOff>504265</xdr:colOff>
      <xdr:row>143</xdr:row>
      <xdr:rowOff>0</xdr:rowOff>
    </xdr:from>
    <xdr:to>
      <xdr:col>5</xdr:col>
      <xdr:colOff>746720</xdr:colOff>
      <xdr:row>144</xdr:row>
      <xdr:rowOff>0</xdr:rowOff>
    </xdr:to>
    <xdr:sp macro="" textlink="">
      <xdr:nvSpPr>
        <xdr:cNvPr id="113" name="Rectángulo 75">
          <a:extLst>
            <a:ext uri="{FF2B5EF4-FFF2-40B4-BE49-F238E27FC236}">
              <a16:creationId xmlns:a16="http://schemas.microsoft.com/office/drawing/2014/main" id="{00000000-0008-0000-0300-000071000000}"/>
            </a:ext>
          </a:extLst>
        </xdr:cNvPr>
        <xdr:cNvSpPr/>
      </xdr:nvSpPr>
      <xdr:spPr>
        <a:xfrm>
          <a:off x="4013861" y="11854962"/>
          <a:ext cx="242455" cy="16851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382851</xdr:colOff>
      <xdr:row>150</xdr:row>
      <xdr:rowOff>162994</xdr:rowOff>
    </xdr:from>
    <xdr:to>
      <xdr:col>1</xdr:col>
      <xdr:colOff>625306</xdr:colOff>
      <xdr:row>151</xdr:row>
      <xdr:rowOff>162995</xdr:rowOff>
    </xdr:to>
    <xdr:sp macro="" textlink="">
      <xdr:nvSpPr>
        <xdr:cNvPr id="114" name="Rectángulo 76">
          <a:extLst>
            <a:ext uri="{FF2B5EF4-FFF2-40B4-BE49-F238E27FC236}">
              <a16:creationId xmlns:a16="http://schemas.microsoft.com/office/drawing/2014/main" id="{00000000-0008-0000-0300-000072000000}"/>
            </a:ext>
          </a:extLst>
        </xdr:cNvPr>
        <xdr:cNvSpPr/>
      </xdr:nvSpPr>
      <xdr:spPr>
        <a:xfrm>
          <a:off x="646620" y="13218106"/>
          <a:ext cx="242455" cy="162658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424547</xdr:colOff>
      <xdr:row>150</xdr:row>
      <xdr:rowOff>244663</xdr:rowOff>
    </xdr:from>
    <xdr:to>
      <xdr:col>2</xdr:col>
      <xdr:colOff>667002</xdr:colOff>
      <xdr:row>151</xdr:row>
      <xdr:rowOff>244663</xdr:rowOff>
    </xdr:to>
    <xdr:sp macro="" textlink="">
      <xdr:nvSpPr>
        <xdr:cNvPr id="115" name="Rectángulo 77">
          <a:extLst>
            <a:ext uri="{FF2B5EF4-FFF2-40B4-BE49-F238E27FC236}">
              <a16:creationId xmlns:a16="http://schemas.microsoft.com/office/drawing/2014/main" id="{00000000-0008-0000-0300-000073000000}"/>
            </a:ext>
          </a:extLst>
        </xdr:cNvPr>
        <xdr:cNvSpPr/>
      </xdr:nvSpPr>
      <xdr:spPr>
        <a:xfrm>
          <a:off x="1428335" y="13214050"/>
          <a:ext cx="242455" cy="172182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239694</xdr:colOff>
      <xdr:row>151</xdr:row>
      <xdr:rowOff>0</xdr:rowOff>
    </xdr:from>
    <xdr:to>
      <xdr:col>3</xdr:col>
      <xdr:colOff>482149</xdr:colOff>
      <xdr:row>152</xdr:row>
      <xdr:rowOff>0</xdr:rowOff>
    </xdr:to>
    <xdr:sp macro="" textlink="">
      <xdr:nvSpPr>
        <xdr:cNvPr id="116" name="Rectángulo 78">
          <a:extLst>
            <a:ext uri="{FF2B5EF4-FFF2-40B4-BE49-F238E27FC236}">
              <a16:creationId xmlns:a16="http://schemas.microsoft.com/office/drawing/2014/main" id="{00000000-0008-0000-0300-000074000000}"/>
            </a:ext>
          </a:extLst>
        </xdr:cNvPr>
        <xdr:cNvSpPr/>
      </xdr:nvSpPr>
      <xdr:spPr>
        <a:xfrm>
          <a:off x="2078752" y="13217769"/>
          <a:ext cx="242455" cy="16851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150</xdr:row>
      <xdr:rowOff>249848</xdr:rowOff>
    </xdr:from>
    <xdr:to>
      <xdr:col>4</xdr:col>
      <xdr:colOff>567979</xdr:colOff>
      <xdr:row>151</xdr:row>
      <xdr:rowOff>249848</xdr:rowOff>
    </xdr:to>
    <xdr:sp macro="" textlink="">
      <xdr:nvSpPr>
        <xdr:cNvPr id="117" name="Rectángulo 79">
          <a:extLst>
            <a:ext uri="{FF2B5EF4-FFF2-40B4-BE49-F238E27FC236}">
              <a16:creationId xmlns:a16="http://schemas.microsoft.com/office/drawing/2014/main" id="{00000000-0008-0000-0300-000075000000}"/>
            </a:ext>
          </a:extLst>
        </xdr:cNvPr>
        <xdr:cNvSpPr/>
      </xdr:nvSpPr>
      <xdr:spPr>
        <a:xfrm>
          <a:off x="2999851" y="13219235"/>
          <a:ext cx="242455" cy="172182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7</xdr:col>
      <xdr:colOff>0</xdr:colOff>
      <xdr:row>143</xdr:row>
      <xdr:rowOff>2</xdr:rowOff>
    </xdr:from>
    <xdr:to>
      <xdr:col>7</xdr:col>
      <xdr:colOff>213880</xdr:colOff>
      <xdr:row>144</xdr:row>
      <xdr:rowOff>2</xdr:rowOff>
    </xdr:to>
    <xdr:sp macro="" textlink="">
      <xdr:nvSpPr>
        <xdr:cNvPr id="118" name="Rectángulo 80">
          <a:extLst>
            <a:ext uri="{FF2B5EF4-FFF2-40B4-BE49-F238E27FC236}">
              <a16:creationId xmlns:a16="http://schemas.microsoft.com/office/drawing/2014/main" id="{00000000-0008-0000-0300-000076000000}"/>
            </a:ext>
          </a:extLst>
        </xdr:cNvPr>
        <xdr:cNvSpPr/>
      </xdr:nvSpPr>
      <xdr:spPr>
        <a:xfrm>
          <a:off x="5297365" y="11854964"/>
          <a:ext cx="213880" cy="16851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190500</xdr:colOff>
      <xdr:row>143</xdr:row>
      <xdr:rowOff>0</xdr:rowOff>
    </xdr:from>
    <xdr:to>
      <xdr:col>9</xdr:col>
      <xdr:colOff>404380</xdr:colOff>
      <xdr:row>144</xdr:row>
      <xdr:rowOff>0</xdr:rowOff>
    </xdr:to>
    <xdr:sp macro="" textlink="">
      <xdr:nvSpPr>
        <xdr:cNvPr id="119" name="Rectángulo 81">
          <a:extLst>
            <a:ext uri="{FF2B5EF4-FFF2-40B4-BE49-F238E27FC236}">
              <a16:creationId xmlns:a16="http://schemas.microsoft.com/office/drawing/2014/main" id="{00000000-0008-0000-0300-000077000000}"/>
            </a:ext>
          </a:extLst>
        </xdr:cNvPr>
        <xdr:cNvSpPr/>
      </xdr:nvSpPr>
      <xdr:spPr>
        <a:xfrm>
          <a:off x="7151077" y="11854962"/>
          <a:ext cx="213880" cy="16851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286801</xdr:colOff>
      <xdr:row>159</xdr:row>
      <xdr:rowOff>26124</xdr:rowOff>
    </xdr:from>
    <xdr:to>
      <xdr:col>1</xdr:col>
      <xdr:colOff>529256</xdr:colOff>
      <xdr:row>160</xdr:row>
      <xdr:rowOff>26124</xdr:rowOff>
    </xdr:to>
    <xdr:sp macro="" textlink="">
      <xdr:nvSpPr>
        <xdr:cNvPr id="120" name="Rectángulo 64">
          <a:extLst>
            <a:ext uri="{FF2B5EF4-FFF2-40B4-BE49-F238E27FC236}">
              <a16:creationId xmlns:a16="http://schemas.microsoft.com/office/drawing/2014/main" id="{00000000-0008-0000-0300-000078000000}"/>
            </a:ext>
          </a:extLst>
        </xdr:cNvPr>
        <xdr:cNvSpPr/>
      </xdr:nvSpPr>
      <xdr:spPr>
        <a:xfrm>
          <a:off x="546574" y="26921260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424547</xdr:colOff>
      <xdr:row>158</xdr:row>
      <xdr:rowOff>244663</xdr:rowOff>
    </xdr:from>
    <xdr:to>
      <xdr:col>2</xdr:col>
      <xdr:colOff>667002</xdr:colOff>
      <xdr:row>159</xdr:row>
      <xdr:rowOff>244663</xdr:rowOff>
    </xdr:to>
    <xdr:sp macro="" textlink="">
      <xdr:nvSpPr>
        <xdr:cNvPr id="121" name="Rectángulo 65">
          <a:extLst>
            <a:ext uri="{FF2B5EF4-FFF2-40B4-BE49-F238E27FC236}">
              <a16:creationId xmlns:a16="http://schemas.microsoft.com/office/drawing/2014/main" id="{00000000-0008-0000-0300-000079000000}"/>
            </a:ext>
          </a:extLst>
        </xdr:cNvPr>
        <xdr:cNvSpPr/>
      </xdr:nvSpPr>
      <xdr:spPr>
        <a:xfrm>
          <a:off x="1429002" y="26892149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239694</xdr:colOff>
      <xdr:row>159</xdr:row>
      <xdr:rowOff>0</xdr:rowOff>
    </xdr:from>
    <xdr:to>
      <xdr:col>3</xdr:col>
      <xdr:colOff>482149</xdr:colOff>
      <xdr:row>160</xdr:row>
      <xdr:rowOff>0</xdr:rowOff>
    </xdr:to>
    <xdr:sp macro="" textlink="">
      <xdr:nvSpPr>
        <xdr:cNvPr id="122" name="Rectángulo 71">
          <a:extLst>
            <a:ext uri="{FF2B5EF4-FFF2-40B4-BE49-F238E27FC236}">
              <a16:creationId xmlns:a16="http://schemas.microsoft.com/office/drawing/2014/main" id="{00000000-0008-0000-0300-00007A000000}"/>
            </a:ext>
          </a:extLst>
        </xdr:cNvPr>
        <xdr:cNvSpPr/>
      </xdr:nvSpPr>
      <xdr:spPr>
        <a:xfrm>
          <a:off x="2075421" y="26895136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158</xdr:row>
      <xdr:rowOff>259373</xdr:rowOff>
    </xdr:from>
    <xdr:to>
      <xdr:col>4</xdr:col>
      <xdr:colOff>567979</xdr:colOff>
      <xdr:row>159</xdr:row>
      <xdr:rowOff>259373</xdr:rowOff>
    </xdr:to>
    <xdr:sp macro="" textlink="">
      <xdr:nvSpPr>
        <xdr:cNvPr id="123" name="Rectángulo 72">
          <a:extLst>
            <a:ext uri="{FF2B5EF4-FFF2-40B4-BE49-F238E27FC236}">
              <a16:creationId xmlns:a16="http://schemas.microsoft.com/office/drawing/2014/main" id="{00000000-0008-0000-0300-00007B000000}"/>
            </a:ext>
          </a:extLst>
        </xdr:cNvPr>
        <xdr:cNvSpPr/>
      </xdr:nvSpPr>
      <xdr:spPr>
        <a:xfrm>
          <a:off x="2992524" y="26897334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575982</xdr:colOff>
      <xdr:row>164</xdr:row>
      <xdr:rowOff>19049</xdr:rowOff>
    </xdr:from>
    <xdr:to>
      <xdr:col>3</xdr:col>
      <xdr:colOff>818437</xdr:colOff>
      <xdr:row>164</xdr:row>
      <xdr:rowOff>161924</xdr:rowOff>
    </xdr:to>
    <xdr:sp macro="" textlink="">
      <xdr:nvSpPr>
        <xdr:cNvPr id="124" name="Rectángulo 73">
          <a:extLst>
            <a:ext uri="{FF2B5EF4-FFF2-40B4-BE49-F238E27FC236}">
              <a16:creationId xmlns:a16="http://schemas.microsoft.com/office/drawing/2014/main" id="{00000000-0008-0000-0300-00007C000000}"/>
            </a:ext>
          </a:extLst>
        </xdr:cNvPr>
        <xdr:cNvSpPr/>
      </xdr:nvSpPr>
      <xdr:spPr>
        <a:xfrm>
          <a:off x="2411709" y="27901322"/>
          <a:ext cx="242455" cy="14287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560295</xdr:colOff>
      <xdr:row>164</xdr:row>
      <xdr:rowOff>0</xdr:rowOff>
    </xdr:from>
    <xdr:to>
      <xdr:col>4</xdr:col>
      <xdr:colOff>802750</xdr:colOff>
      <xdr:row>165</xdr:row>
      <xdr:rowOff>0</xdr:rowOff>
    </xdr:to>
    <xdr:sp macro="" textlink="">
      <xdr:nvSpPr>
        <xdr:cNvPr id="125" name="Rectángulo 74">
          <a:extLst>
            <a:ext uri="{FF2B5EF4-FFF2-40B4-BE49-F238E27FC236}">
              <a16:creationId xmlns:a16="http://schemas.microsoft.com/office/drawing/2014/main" id="{00000000-0008-0000-0300-00007D000000}"/>
            </a:ext>
          </a:extLst>
        </xdr:cNvPr>
        <xdr:cNvSpPr/>
      </xdr:nvSpPr>
      <xdr:spPr>
        <a:xfrm>
          <a:off x="3227295" y="27882273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5</xdr:col>
      <xdr:colOff>504265</xdr:colOff>
      <xdr:row>164</xdr:row>
      <xdr:rowOff>0</xdr:rowOff>
    </xdr:from>
    <xdr:to>
      <xdr:col>5</xdr:col>
      <xdr:colOff>746720</xdr:colOff>
      <xdr:row>165</xdr:row>
      <xdr:rowOff>0</xdr:rowOff>
    </xdr:to>
    <xdr:sp macro="" textlink="">
      <xdr:nvSpPr>
        <xdr:cNvPr id="126" name="Rectángulo 75">
          <a:extLst>
            <a:ext uri="{FF2B5EF4-FFF2-40B4-BE49-F238E27FC236}">
              <a16:creationId xmlns:a16="http://schemas.microsoft.com/office/drawing/2014/main" id="{00000000-0008-0000-0300-00007E000000}"/>
            </a:ext>
          </a:extLst>
        </xdr:cNvPr>
        <xdr:cNvSpPr/>
      </xdr:nvSpPr>
      <xdr:spPr>
        <a:xfrm>
          <a:off x="4002538" y="27882273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382851</xdr:colOff>
      <xdr:row>171</xdr:row>
      <xdr:rowOff>162994</xdr:rowOff>
    </xdr:from>
    <xdr:to>
      <xdr:col>1</xdr:col>
      <xdr:colOff>625306</xdr:colOff>
      <xdr:row>172</xdr:row>
      <xdr:rowOff>162995</xdr:rowOff>
    </xdr:to>
    <xdr:sp macro="" textlink="">
      <xdr:nvSpPr>
        <xdr:cNvPr id="127" name="Rectángulo 76">
          <a:extLst>
            <a:ext uri="{FF2B5EF4-FFF2-40B4-BE49-F238E27FC236}">
              <a16:creationId xmlns:a16="http://schemas.microsoft.com/office/drawing/2014/main" id="{00000000-0008-0000-0300-00007F000000}"/>
            </a:ext>
          </a:extLst>
        </xdr:cNvPr>
        <xdr:cNvSpPr/>
      </xdr:nvSpPr>
      <xdr:spPr>
        <a:xfrm>
          <a:off x="642624" y="29378767"/>
          <a:ext cx="242455" cy="190501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424547</xdr:colOff>
      <xdr:row>171</xdr:row>
      <xdr:rowOff>244663</xdr:rowOff>
    </xdr:from>
    <xdr:to>
      <xdr:col>2</xdr:col>
      <xdr:colOff>667002</xdr:colOff>
      <xdr:row>172</xdr:row>
      <xdr:rowOff>244663</xdr:rowOff>
    </xdr:to>
    <xdr:sp macro="" textlink="">
      <xdr:nvSpPr>
        <xdr:cNvPr id="128" name="Rectángulo 77">
          <a:extLst>
            <a:ext uri="{FF2B5EF4-FFF2-40B4-BE49-F238E27FC236}">
              <a16:creationId xmlns:a16="http://schemas.microsoft.com/office/drawing/2014/main" id="{00000000-0008-0000-0300-000080000000}"/>
            </a:ext>
          </a:extLst>
        </xdr:cNvPr>
        <xdr:cNvSpPr/>
      </xdr:nvSpPr>
      <xdr:spPr>
        <a:xfrm>
          <a:off x="1429002" y="29403286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239694</xdr:colOff>
      <xdr:row>172</xdr:row>
      <xdr:rowOff>0</xdr:rowOff>
    </xdr:from>
    <xdr:to>
      <xdr:col>3</xdr:col>
      <xdr:colOff>482149</xdr:colOff>
      <xdr:row>173</xdr:row>
      <xdr:rowOff>0</xdr:rowOff>
    </xdr:to>
    <xdr:sp macro="" textlink="">
      <xdr:nvSpPr>
        <xdr:cNvPr id="129" name="Rectángulo 78">
          <a:extLst>
            <a:ext uri="{FF2B5EF4-FFF2-40B4-BE49-F238E27FC236}">
              <a16:creationId xmlns:a16="http://schemas.microsoft.com/office/drawing/2014/main" id="{00000000-0008-0000-0300-000081000000}"/>
            </a:ext>
          </a:extLst>
        </xdr:cNvPr>
        <xdr:cNvSpPr/>
      </xdr:nvSpPr>
      <xdr:spPr>
        <a:xfrm>
          <a:off x="2075421" y="29406273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171</xdr:row>
      <xdr:rowOff>249848</xdr:rowOff>
    </xdr:from>
    <xdr:to>
      <xdr:col>4</xdr:col>
      <xdr:colOff>567979</xdr:colOff>
      <xdr:row>172</xdr:row>
      <xdr:rowOff>249848</xdr:rowOff>
    </xdr:to>
    <xdr:sp macro="" textlink="">
      <xdr:nvSpPr>
        <xdr:cNvPr id="130" name="Rectángulo 79">
          <a:extLst>
            <a:ext uri="{FF2B5EF4-FFF2-40B4-BE49-F238E27FC236}">
              <a16:creationId xmlns:a16="http://schemas.microsoft.com/office/drawing/2014/main" id="{00000000-0008-0000-0300-000082000000}"/>
            </a:ext>
          </a:extLst>
        </xdr:cNvPr>
        <xdr:cNvSpPr/>
      </xdr:nvSpPr>
      <xdr:spPr>
        <a:xfrm>
          <a:off x="2992524" y="29408471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7</xdr:col>
      <xdr:colOff>0</xdr:colOff>
      <xdr:row>164</xdr:row>
      <xdr:rowOff>2</xdr:rowOff>
    </xdr:from>
    <xdr:to>
      <xdr:col>7</xdr:col>
      <xdr:colOff>213880</xdr:colOff>
      <xdr:row>165</xdr:row>
      <xdr:rowOff>2</xdr:rowOff>
    </xdr:to>
    <xdr:sp macro="" textlink="">
      <xdr:nvSpPr>
        <xdr:cNvPr id="131" name="Rectángulo 80">
          <a:extLst>
            <a:ext uri="{FF2B5EF4-FFF2-40B4-BE49-F238E27FC236}">
              <a16:creationId xmlns:a16="http://schemas.microsoft.com/office/drawing/2014/main" id="{00000000-0008-0000-0300-000083000000}"/>
            </a:ext>
          </a:extLst>
        </xdr:cNvPr>
        <xdr:cNvSpPr/>
      </xdr:nvSpPr>
      <xdr:spPr>
        <a:xfrm>
          <a:off x="5282045" y="27882275"/>
          <a:ext cx="213880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190500</xdr:colOff>
      <xdr:row>164</xdr:row>
      <xdr:rowOff>0</xdr:rowOff>
    </xdr:from>
    <xdr:to>
      <xdr:col>9</xdr:col>
      <xdr:colOff>404380</xdr:colOff>
      <xdr:row>165</xdr:row>
      <xdr:rowOff>0</xdr:rowOff>
    </xdr:to>
    <xdr:sp macro="" textlink="">
      <xdr:nvSpPr>
        <xdr:cNvPr id="132" name="Rectángulo 81">
          <a:extLst>
            <a:ext uri="{FF2B5EF4-FFF2-40B4-BE49-F238E27FC236}">
              <a16:creationId xmlns:a16="http://schemas.microsoft.com/office/drawing/2014/main" id="{00000000-0008-0000-0300-000084000000}"/>
            </a:ext>
          </a:extLst>
        </xdr:cNvPr>
        <xdr:cNvSpPr/>
      </xdr:nvSpPr>
      <xdr:spPr>
        <a:xfrm>
          <a:off x="7135091" y="27882273"/>
          <a:ext cx="213880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232833</xdr:colOff>
      <xdr:row>0</xdr:row>
      <xdr:rowOff>116416</xdr:rowOff>
    </xdr:from>
    <xdr:to>
      <xdr:col>3</xdr:col>
      <xdr:colOff>643760</xdr:colOff>
      <xdr:row>5</xdr:row>
      <xdr:rowOff>52916</xdr:rowOff>
    </xdr:to>
    <xdr:pic>
      <xdr:nvPicPr>
        <xdr:cNvPr id="2" name="Picture 1" descr="logo-sunarp-180×96 – SCH">
          <a:extLst>
            <a:ext uri="{FF2B5EF4-FFF2-40B4-BE49-F238E27FC236}">
              <a16:creationId xmlns:a16="http://schemas.microsoft.com/office/drawing/2014/main" id="{BA13A9F6-F81A-47F0-8631-8A967796BE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2833" y="116416"/>
          <a:ext cx="2354027" cy="1250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289891</xdr:colOff>
      <xdr:row>0</xdr:row>
      <xdr:rowOff>40762</xdr:rowOff>
    </xdr:from>
    <xdr:to>
      <xdr:col>4</xdr:col>
      <xdr:colOff>18885</xdr:colOff>
      <xdr:row>3</xdr:row>
      <xdr:rowOff>207065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848" t="10563" r="11934" b="11277"/>
        <a:stretch/>
      </xdr:blipFill>
      <xdr:spPr>
        <a:xfrm>
          <a:off x="552174" y="40762"/>
          <a:ext cx="2724951" cy="1325868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123826</xdr:colOff>
      <xdr:row>0</xdr:row>
      <xdr:rowOff>180976</xdr:rowOff>
    </xdr:from>
    <xdr:to>
      <xdr:col>2</xdr:col>
      <xdr:colOff>561975</xdr:colOff>
      <xdr:row>4</xdr:row>
      <xdr:rowOff>83138</xdr:rowOff>
    </xdr:to>
    <xdr:pic>
      <xdr:nvPicPr>
        <xdr:cNvPr id="2" name="Picture 1" descr="Sunarp">
          <a:extLst>
            <a:ext uri="{FF2B5EF4-FFF2-40B4-BE49-F238E27FC236}">
              <a16:creationId xmlns:a16="http://schemas.microsoft.com/office/drawing/2014/main" id="{8FD92E13-7148-4CB2-9112-70B03AA7ED7A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42674"/>
        <a:stretch/>
      </xdr:blipFill>
      <xdr:spPr bwMode="auto">
        <a:xfrm>
          <a:off x="123826" y="180976"/>
          <a:ext cx="1657349" cy="8927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Katlen\g\PLANOS%20PERU\OT%201541%20LUZ%20MARIA-SJM\2.-%20DOCUMENTOS%20Y%20PLANOS\OT%201541%20JUNTA%20DE%20PROPIETARIOS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Z:\OTS\A&#209;O%202025\OT%201923%20DECL-SUBD-LUZ-CALLAO\2.-%20PLANOS%20-%20DOCU%20-%20EDITABLES\ADMINISTRACION_EDITABLES\OT%20MODELO%20DECLARATORIA%20DE%20FABRICA%20CON%20SUBDIVISION.xlsx" TargetMode="External"/><Relationship Id="rId1" Type="http://schemas.openxmlformats.org/officeDocument/2006/relationships/externalLinkPath" Target="file:///Z:\OTS\A&#209;O%202025\OT%201923%20DECL-SUBD-LUZ-CALLAO\2.-%20PLANOS%20-%20DOCU%20-%20EDITABLES\ADMINISTRACION_EDITABLES\OT%20MODELO%20DECLARATORIA%20DE%20FABRICA%20CON%20SUBDIVISION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OLICITUD"/>
      <sheetName val="REGLA-INTERNO"/>
      <sheetName val="FORMULARIO"/>
      <sheetName val="INFORME"/>
      <sheetName val="DEJU-PARAM Y REG"/>
      <sheetName val="CONSTANCIA"/>
      <sheetName val="ACTA"/>
      <sheetName val="ANEXO 1 "/>
      <sheetName val="ANEXO 4 "/>
      <sheetName val="memb-P-01-A01"/>
      <sheetName val="MEMB-U-01"/>
      <sheetName val="MEMB-AREAS"/>
      <sheetName val="MEMB-AREAS-SUB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TOS"/>
      <sheetName val="FORMULARIO Nº1"/>
      <sheetName val="INFORME (2)"/>
      <sheetName val="Anexo 1"/>
      <sheetName val="Anexo 4"/>
      <sheetName val="Anexo 15"/>
      <sheetName val=" ANEXO 4 (2)"/>
      <sheetName val="MEMBRETE U1"/>
    </sheetNames>
    <sheetDataSet>
      <sheetData sheetId="0">
        <row r="2">
          <cell r="C2">
            <v>1923</v>
          </cell>
          <cell r="H2" t="str">
            <v>ELIZ</v>
          </cell>
        </row>
        <row r="5">
          <cell r="D5" t="str">
            <v>LUZ VICTORIA MAGUIÑA TORRES</v>
          </cell>
          <cell r="L5" t="str">
            <v>ALICIA AURORA MOLINARI MALDONADO</v>
          </cell>
        </row>
        <row r="8">
          <cell r="D8" t="str">
            <v>43374601</v>
          </cell>
          <cell r="L8">
            <v>25695549</v>
          </cell>
        </row>
      </sheetData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96F7FD4-269A-4FF5-86BA-042E17DBE07D}" name="Verificador" displayName="Verificador" ref="C30:D36" totalsRowShown="0">
  <autoFilter ref="C30:D36" xr:uid="{A96F7FD4-269A-4FF5-86BA-042E17DBE07D}"/>
  <tableColumns count="2">
    <tableColumn id="1" xr3:uid="{55234A86-0325-406E-8622-7D193E2C37BA}" name="Tipo" dataDxfId="6"/>
    <tableColumn id="2" xr3:uid="{DF2B2FB5-5B0B-4D55-9A0F-BC016DE6DF0E}" name="Datos" dataDxfId="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D04636-C709-4CA5-BB45-89607DF519C4}" name="Solicitante" displayName="Solicitante" ref="C4:D14" totalsRowShown="0">
  <autoFilter ref="C4:D14" xr:uid="{92D04636-C709-4CA5-BB45-89607DF519C4}"/>
  <tableColumns count="2">
    <tableColumn id="1" xr3:uid="{2A196650-F8ED-4A2D-B5CF-7C2158DE8FF8}" name="Tipo" dataDxfId="4"/>
    <tableColumn id="2" xr3:uid="{E1CEE4B0-C194-41F9-AB0C-113A6B9468B6}" name="Datos" dataDxfId="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522235A-8452-4C8C-BEB9-0598EA660E70}" name="Ubicacion" displayName="Ubicacion" ref="C16:D25" totalsRowShown="0" headerRowDxfId="2">
  <autoFilter ref="C16:D25" xr:uid="{6522235A-8452-4C8C-BEB9-0598EA660E70}"/>
  <tableColumns count="2">
    <tableColumn id="1" xr3:uid="{0917FBBE-2ABB-4DAF-823E-A507B0916D09}" name="Tipo" dataDxfId="1"/>
    <tableColumn id="2" xr3:uid="{B5063BFB-BD41-48F7-B5DA-7C2DFA2F1BD2}" name="Dato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table" Target="../tables/table2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5C4508-14C0-4C24-B750-C71E36E94D1D}">
  <sheetPr codeName="Hoja1">
    <tabColor rgb="FF0070C0"/>
  </sheetPr>
  <dimension ref="C1:D36"/>
  <sheetViews>
    <sheetView topLeftCell="A24" zoomScale="85" zoomScaleNormal="85" workbookViewId="0">
      <selection activeCell="D31" sqref="D31"/>
    </sheetView>
  </sheetViews>
  <sheetFormatPr defaultColWidth="11.42578125" defaultRowHeight="15"/>
  <cols>
    <col min="1" max="1" width="9.140625" customWidth="1"/>
    <col min="2" max="2" width="12.28515625" customWidth="1"/>
    <col min="3" max="3" width="11" customWidth="1"/>
    <col min="4" max="4" width="15.42578125" customWidth="1"/>
  </cols>
  <sheetData>
    <row r="1" spans="3:4" ht="15.75" thickBot="1">
      <c r="C1" s="16" t="s">
        <v>472</v>
      </c>
      <c r="D1" s="316"/>
    </row>
    <row r="2" spans="3:4" ht="15.75" thickBot="1">
      <c r="C2" s="16" t="s">
        <v>690</v>
      </c>
      <c r="D2" s="316" t="s">
        <v>828</v>
      </c>
    </row>
    <row r="3" spans="3:4">
      <c r="C3" s="16"/>
      <c r="D3" s="16"/>
    </row>
    <row r="4" spans="3:4">
      <c r="C4" s="310" t="s">
        <v>869</v>
      </c>
      <c r="D4" s="319" t="s">
        <v>870</v>
      </c>
    </row>
    <row r="5" spans="3:4">
      <c r="C5" s="16" t="s">
        <v>606</v>
      </c>
      <c r="D5" s="320" t="s">
        <v>49</v>
      </c>
    </row>
    <row r="6" spans="3:4">
      <c r="C6" s="16" t="s">
        <v>691</v>
      </c>
      <c r="D6" s="320" t="s">
        <v>49</v>
      </c>
    </row>
    <row r="7" spans="3:4">
      <c r="C7" s="16" t="s">
        <v>607</v>
      </c>
      <c r="D7" s="321" t="s">
        <v>49</v>
      </c>
    </row>
    <row r="8" spans="3:4">
      <c r="C8" s="16" t="s">
        <v>608</v>
      </c>
      <c r="D8" s="320" t="s">
        <v>49</v>
      </c>
    </row>
    <row r="9" spans="3:4">
      <c r="C9" s="16" t="s">
        <v>863</v>
      </c>
      <c r="D9" s="320" t="s">
        <v>49</v>
      </c>
    </row>
    <row r="10" spans="3:4">
      <c r="C10" s="16" t="s">
        <v>609</v>
      </c>
      <c r="D10" s="321" t="s">
        <v>49</v>
      </c>
    </row>
    <row r="11" spans="3:4">
      <c r="C11" s="16" t="s">
        <v>692</v>
      </c>
      <c r="D11" s="320" t="s">
        <v>49</v>
      </c>
    </row>
    <row r="12" spans="3:4">
      <c r="C12" s="16" t="s">
        <v>693</v>
      </c>
      <c r="D12" s="320" t="s">
        <v>49</v>
      </c>
    </row>
    <row r="13" spans="3:4">
      <c r="C13" s="16" t="s">
        <v>694</v>
      </c>
      <c r="D13" s="320" t="s">
        <v>49</v>
      </c>
    </row>
    <row r="14" spans="3:4">
      <c r="C14" s="16" t="s">
        <v>616</v>
      </c>
      <c r="D14" s="320" t="s">
        <v>49</v>
      </c>
    </row>
    <row r="15" spans="3:4">
      <c r="C15" s="16"/>
      <c r="D15" s="320"/>
    </row>
    <row r="16" spans="3:4">
      <c r="C16" s="12" t="s">
        <v>869</v>
      </c>
      <c r="D16" s="322" t="s">
        <v>870</v>
      </c>
    </row>
    <row r="17" spans="3:4">
      <c r="C17" s="16" t="s">
        <v>695</v>
      </c>
      <c r="D17" s="320" t="s">
        <v>49</v>
      </c>
    </row>
    <row r="18" spans="3:4">
      <c r="C18" s="16" t="s">
        <v>610</v>
      </c>
      <c r="D18" s="320" t="s">
        <v>49</v>
      </c>
    </row>
    <row r="19" spans="3:4">
      <c r="C19" s="16" t="s">
        <v>611</v>
      </c>
      <c r="D19" s="320" t="s">
        <v>49</v>
      </c>
    </row>
    <row r="20" spans="3:4">
      <c r="C20" s="16" t="s">
        <v>696</v>
      </c>
      <c r="D20" s="320" t="s">
        <v>49</v>
      </c>
    </row>
    <row r="21" spans="3:4">
      <c r="C21" s="16" t="s">
        <v>612</v>
      </c>
      <c r="D21" s="320" t="s">
        <v>49</v>
      </c>
    </row>
    <row r="22" spans="3:4">
      <c r="C22" s="16" t="s">
        <v>613</v>
      </c>
      <c r="D22" s="320" t="s">
        <v>49</v>
      </c>
    </row>
    <row r="23" spans="3:4">
      <c r="C23" s="16" t="s">
        <v>214</v>
      </c>
      <c r="D23" s="320" t="s">
        <v>49</v>
      </c>
    </row>
    <row r="24" spans="3:4">
      <c r="C24" s="16" t="s">
        <v>615</v>
      </c>
      <c r="D24" s="320" t="s">
        <v>49</v>
      </c>
    </row>
    <row r="25" spans="3:4">
      <c r="C25" s="16" t="s">
        <v>614</v>
      </c>
      <c r="D25" s="320" t="s">
        <v>49</v>
      </c>
    </row>
    <row r="26" spans="3:4">
      <c r="D26" s="323"/>
    </row>
    <row r="27" spans="3:4" ht="60">
      <c r="C27" s="11" t="s">
        <v>444</v>
      </c>
      <c r="D27" s="318" t="s">
        <v>697</v>
      </c>
    </row>
    <row r="28" spans="3:4">
      <c r="D28" s="323"/>
    </row>
    <row r="29" spans="3:4">
      <c r="D29" s="323"/>
    </row>
    <row r="30" spans="3:4">
      <c r="C30" t="s">
        <v>869</v>
      </c>
      <c r="D30" s="323" t="s">
        <v>870</v>
      </c>
    </row>
    <row r="31" spans="3:4">
      <c r="C31" t="s">
        <v>134</v>
      </c>
      <c r="D31" s="320" t="s">
        <v>922</v>
      </c>
    </row>
    <row r="32" spans="3:4">
      <c r="C32" t="s">
        <v>135</v>
      </c>
      <c r="D32" s="320" t="s">
        <v>923</v>
      </c>
    </row>
    <row r="33" spans="3:4">
      <c r="C33" t="s">
        <v>3</v>
      </c>
      <c r="D33" s="320" t="s">
        <v>924</v>
      </c>
    </row>
    <row r="34" spans="3:4">
      <c r="C34" t="s">
        <v>607</v>
      </c>
      <c r="D34" s="320">
        <v>18845643</v>
      </c>
    </row>
    <row r="35" spans="3:4" ht="75">
      <c r="C35" t="s">
        <v>9</v>
      </c>
      <c r="D35" s="320" t="s">
        <v>925</v>
      </c>
    </row>
    <row r="36" spans="3:4">
      <c r="C36" t="s">
        <v>868</v>
      </c>
      <c r="D36" s="320" t="s">
        <v>926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27" r:id="rId4" name="btnReglamento">
          <controlPr defaultSize="0" autoLine="0" r:id="rId5">
            <anchor moveWithCells="1">
              <from>
                <xdr:col>5</xdr:col>
                <xdr:colOff>85725</xdr:colOff>
                <xdr:row>16</xdr:row>
                <xdr:rowOff>9525</xdr:rowOff>
              </from>
              <to>
                <xdr:col>6</xdr:col>
                <xdr:colOff>714375</xdr:colOff>
                <xdr:row>19</xdr:row>
                <xdr:rowOff>19050</xdr:rowOff>
              </to>
            </anchor>
          </controlPr>
        </control>
      </mc:Choice>
      <mc:Fallback>
        <control shapeId="5127" r:id="rId4" name="btnReglamento"/>
      </mc:Fallback>
    </mc:AlternateContent>
    <mc:AlternateContent xmlns:mc="http://schemas.openxmlformats.org/markup-compatibility/2006">
      <mc:Choice Requires="x14">
        <control shapeId="5126" r:id="rId6" name="btnNuevo">
          <controlPr defaultSize="0" autoLine="0" r:id="rId7">
            <anchor moveWithCells="1">
              <from>
                <xdr:col>5</xdr:col>
                <xdr:colOff>95250</xdr:colOff>
                <xdr:row>1</xdr:row>
                <xdr:rowOff>85725</xdr:rowOff>
              </from>
              <to>
                <xdr:col>6</xdr:col>
                <xdr:colOff>752475</xdr:colOff>
                <xdr:row>3</xdr:row>
                <xdr:rowOff>57150</xdr:rowOff>
              </to>
            </anchor>
          </controlPr>
        </control>
      </mc:Choice>
      <mc:Fallback>
        <control shapeId="5126" r:id="rId6" name="btnNuevo"/>
      </mc:Fallback>
    </mc:AlternateContent>
    <mc:AlternateContent xmlns:mc="http://schemas.openxmlformats.org/markup-compatibility/2006">
      <mc:Choice Requires="x14">
        <control shapeId="5125" r:id="rId8" name="btnAnexo4">
          <controlPr defaultSize="0" autoFill="0" autoLine="0" r:id="rId9">
            <anchor moveWithCells="1">
              <from>
                <xdr:col>7</xdr:col>
                <xdr:colOff>323850</xdr:colOff>
                <xdr:row>12</xdr:row>
                <xdr:rowOff>76200</xdr:rowOff>
              </from>
              <to>
                <xdr:col>9</xdr:col>
                <xdr:colOff>190500</xdr:colOff>
                <xdr:row>15</xdr:row>
                <xdr:rowOff>85725</xdr:rowOff>
              </to>
            </anchor>
          </controlPr>
        </control>
      </mc:Choice>
      <mc:Fallback>
        <control shapeId="5125" r:id="rId8" name="btnAnexo4"/>
      </mc:Fallback>
    </mc:AlternateContent>
    <mc:AlternateContent xmlns:mc="http://schemas.openxmlformats.org/markup-compatibility/2006">
      <mc:Choice Requires="x14">
        <control shapeId="5124" r:id="rId10" name="btnPDF3">
          <controlPr defaultSize="0" autoFill="0" autoLine="0" r:id="rId11">
            <anchor moveWithCells="1">
              <from>
                <xdr:col>7</xdr:col>
                <xdr:colOff>323850</xdr:colOff>
                <xdr:row>8</xdr:row>
                <xdr:rowOff>66675</xdr:rowOff>
              </from>
              <to>
                <xdr:col>9</xdr:col>
                <xdr:colOff>190500</xdr:colOff>
                <xdr:row>11</xdr:row>
                <xdr:rowOff>76200</xdr:rowOff>
              </to>
            </anchor>
          </controlPr>
        </control>
      </mc:Choice>
      <mc:Fallback>
        <control shapeId="5124" r:id="rId10" name="btnPDF3"/>
      </mc:Fallback>
    </mc:AlternateContent>
    <mc:AlternateContent xmlns:mc="http://schemas.openxmlformats.org/markup-compatibility/2006">
      <mc:Choice Requires="x14">
        <control shapeId="5123" r:id="rId12" name="btnForm">
          <controlPr defaultSize="0" autoLine="0" r:id="rId13">
            <anchor moveWithCells="1">
              <from>
                <xdr:col>5</xdr:col>
                <xdr:colOff>95250</xdr:colOff>
                <xdr:row>4</xdr:row>
                <xdr:rowOff>0</xdr:rowOff>
              </from>
              <to>
                <xdr:col>6</xdr:col>
                <xdr:colOff>752475</xdr:colOff>
                <xdr:row>5</xdr:row>
                <xdr:rowOff>171450</xdr:rowOff>
              </to>
            </anchor>
          </controlPr>
        </control>
      </mc:Choice>
      <mc:Fallback>
        <control shapeId="5123" r:id="rId12" name="btnForm"/>
      </mc:Fallback>
    </mc:AlternateContent>
    <mc:AlternateContent xmlns:mc="http://schemas.openxmlformats.org/markup-compatibility/2006">
      <mc:Choice Requires="x14">
        <control shapeId="5122" r:id="rId14" name="btnPDF2">
          <controlPr defaultSize="0" autoLine="0" r:id="rId15">
            <anchor moveWithCells="1">
              <from>
                <xdr:col>5</xdr:col>
                <xdr:colOff>104775</xdr:colOff>
                <xdr:row>12</xdr:row>
                <xdr:rowOff>76200</xdr:rowOff>
              </from>
              <to>
                <xdr:col>6</xdr:col>
                <xdr:colOff>733425</xdr:colOff>
                <xdr:row>15</xdr:row>
                <xdr:rowOff>85725</xdr:rowOff>
              </to>
            </anchor>
          </controlPr>
        </control>
      </mc:Choice>
      <mc:Fallback>
        <control shapeId="5122" r:id="rId14" name="btnPDF2"/>
      </mc:Fallback>
    </mc:AlternateContent>
    <mc:AlternateContent xmlns:mc="http://schemas.openxmlformats.org/markup-compatibility/2006">
      <mc:Choice Requires="x14">
        <control shapeId="5121" r:id="rId16" name="btnPDF">
          <controlPr defaultSize="0" autoLine="0" r:id="rId17">
            <anchor moveWithCells="1">
              <from>
                <xdr:col>5</xdr:col>
                <xdr:colOff>95250</xdr:colOff>
                <xdr:row>8</xdr:row>
                <xdr:rowOff>95250</xdr:rowOff>
              </from>
              <to>
                <xdr:col>6</xdr:col>
                <xdr:colOff>723900</xdr:colOff>
                <xdr:row>11</xdr:row>
                <xdr:rowOff>104775</xdr:rowOff>
              </to>
            </anchor>
          </controlPr>
        </control>
      </mc:Choice>
      <mc:Fallback>
        <control shapeId="5121" r:id="rId16" name="btnPDF"/>
      </mc:Fallback>
    </mc:AlternateContent>
  </controls>
  <tableParts count="3">
    <tablePart r:id="rId18"/>
    <tablePart r:id="rId19"/>
    <tablePart r:id="rId20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9137CF-C8D5-4B60-B9DB-A3A9957252BE}">
  <sheetPr>
    <tabColor rgb="FF75AD45"/>
  </sheetPr>
  <dimension ref="A1:L552"/>
  <sheetViews>
    <sheetView tabSelected="1" view="pageBreakPreview" zoomScale="70" zoomScaleNormal="100" zoomScaleSheetLayoutView="70" workbookViewId="0">
      <selection activeCell="E389" sqref="E389:G389"/>
    </sheetView>
  </sheetViews>
  <sheetFormatPr defaultColWidth="11.42578125" defaultRowHeight="15"/>
  <cols>
    <col min="1" max="1" width="4" customWidth="1"/>
    <col min="2" max="2" width="11.140625" customWidth="1"/>
    <col min="3" max="5" width="12.5703125" customWidth="1"/>
    <col min="6" max="6" width="14.28515625" customWidth="1"/>
    <col min="7" max="7" width="12.5703125" customWidth="1"/>
    <col min="8" max="8" width="11.140625" customWidth="1"/>
    <col min="9" max="9" width="12.140625" customWidth="1"/>
    <col min="10" max="10" width="11.85546875" customWidth="1"/>
    <col min="11" max="11" width="6.7109375" customWidth="1"/>
    <col min="12" max="12" width="4" customWidth="1"/>
  </cols>
  <sheetData>
    <row r="1" spans="1:12">
      <c r="I1">
        <f>[2]DATOS!C2</f>
        <v>1923</v>
      </c>
      <c r="J1" t="str">
        <f>[2]DATOS!H2</f>
        <v>ELIZ</v>
      </c>
    </row>
    <row r="2" spans="1:12" ht="15.75" thickBot="1"/>
    <row r="3" spans="1:12">
      <c r="E3" s="1032" t="s">
        <v>930</v>
      </c>
      <c r="F3" s="1033"/>
      <c r="G3" s="1033"/>
      <c r="H3" s="1033"/>
      <c r="I3" s="1033"/>
      <c r="J3" s="1034"/>
    </row>
    <row r="4" spans="1:12">
      <c r="E4" s="1035"/>
      <c r="F4" s="1036"/>
      <c r="G4" s="1036"/>
      <c r="H4" s="1036"/>
      <c r="I4" s="1036"/>
      <c r="J4" s="1037"/>
    </row>
    <row r="5" spans="1:12" ht="22.5">
      <c r="E5" s="1035" t="s">
        <v>21</v>
      </c>
      <c r="F5" s="1036"/>
      <c r="G5" s="1036"/>
      <c r="H5" s="1036"/>
      <c r="I5" s="1036"/>
      <c r="J5" s="1037"/>
    </row>
    <row r="6" spans="1:12" ht="15.75">
      <c r="E6" s="1038" t="s">
        <v>931</v>
      </c>
      <c r="F6" s="1039"/>
      <c r="G6" s="1039"/>
      <c r="H6" s="1039"/>
      <c r="I6" s="1039"/>
      <c r="J6" s="1040"/>
      <c r="K6" s="14"/>
    </row>
    <row r="7" spans="1:12" ht="15.75">
      <c r="E7" s="1038" t="s">
        <v>932</v>
      </c>
      <c r="F7" s="1039"/>
      <c r="G7" s="1039"/>
      <c r="H7" s="1039"/>
      <c r="I7" s="1039"/>
      <c r="J7" s="1040"/>
      <c r="K7" s="14"/>
    </row>
    <row r="8" spans="1:12" ht="15.75" thickBot="1">
      <c r="E8" s="1041"/>
      <c r="F8" s="1042"/>
      <c r="G8" s="1042"/>
      <c r="H8" s="1042"/>
      <c r="I8" s="1042"/>
      <c r="J8" s="1043"/>
    </row>
    <row r="11" spans="1:12">
      <c r="A11" s="1044" t="s">
        <v>933</v>
      </c>
      <c r="B11" s="1045"/>
      <c r="C11" s="1045"/>
      <c r="D11" s="1045"/>
      <c r="E11" s="1045"/>
      <c r="F11" s="1045"/>
      <c r="G11" s="1045"/>
      <c r="H11" s="1045"/>
      <c r="I11" s="1045"/>
      <c r="J11" s="1045"/>
      <c r="K11" s="1045"/>
      <c r="L11" s="1046"/>
    </row>
    <row r="12" spans="1:12">
      <c r="L12" s="1102"/>
    </row>
    <row r="13" spans="1:12">
      <c r="A13" s="1"/>
      <c r="B13" s="2"/>
      <c r="C13" s="2"/>
      <c r="D13" s="2"/>
      <c r="E13" s="2"/>
      <c r="F13" s="2"/>
      <c r="G13" s="2"/>
      <c r="H13" s="2"/>
      <c r="I13" s="2"/>
      <c r="J13" s="2"/>
      <c r="K13" s="2"/>
      <c r="L13" s="3"/>
    </row>
    <row r="14" spans="1:12">
      <c r="A14" s="4"/>
      <c r="B14" s="1102" t="s">
        <v>1</v>
      </c>
      <c r="C14" s="1102"/>
      <c r="D14" s="1102"/>
      <c r="E14" s="1102"/>
      <c r="F14" s="1102"/>
      <c r="G14" s="1102"/>
      <c r="H14" s="1102"/>
      <c r="I14" s="1102"/>
      <c r="J14" s="1102"/>
      <c r="K14" s="1102"/>
      <c r="L14" s="5"/>
    </row>
    <row r="15" spans="1:12">
      <c r="A15" s="4"/>
      <c r="B15" s="614"/>
      <c r="C15" s="615"/>
      <c r="D15" s="615"/>
      <c r="E15" s="615"/>
      <c r="F15" s="616"/>
      <c r="G15" s="1112"/>
      <c r="H15" s="614"/>
      <c r="I15" s="615"/>
      <c r="J15" s="616"/>
      <c r="K15" s="1102"/>
      <c r="L15" s="5"/>
    </row>
    <row r="16" spans="1:12">
      <c r="A16" s="4"/>
      <c r="B16" s="1102"/>
      <c r="C16" s="419" t="s">
        <v>2</v>
      </c>
      <c r="D16" s="419"/>
      <c r="E16" s="419"/>
      <c r="F16" s="1113"/>
      <c r="G16" s="1113"/>
      <c r="H16" s="1114" t="s">
        <v>3</v>
      </c>
      <c r="I16" s="1114"/>
      <c r="J16" s="1103"/>
      <c r="K16" s="1103"/>
      <c r="L16" s="5"/>
    </row>
    <row r="17" spans="1:12">
      <c r="A17" s="4"/>
      <c r="B17" s="1102"/>
      <c r="C17" s="1102"/>
      <c r="D17" s="1102"/>
      <c r="E17" s="1102"/>
      <c r="F17" s="1102"/>
      <c r="G17" s="1102"/>
      <c r="H17" s="1102"/>
      <c r="I17" s="1102"/>
      <c r="J17" s="1102"/>
      <c r="K17" s="1102"/>
      <c r="L17" s="5"/>
    </row>
    <row r="18" spans="1:12">
      <c r="A18" s="4"/>
      <c r="B18" s="1102" t="s">
        <v>8</v>
      </c>
      <c r="C18" s="1102" t="s">
        <v>4</v>
      </c>
      <c r="D18" s="1102" t="s">
        <v>5</v>
      </c>
      <c r="E18" s="1102" t="s">
        <v>6</v>
      </c>
      <c r="F18" s="1102"/>
      <c r="G18" s="1115" t="s">
        <v>597</v>
      </c>
      <c r="H18" s="680"/>
      <c r="I18" s="682"/>
      <c r="J18" s="1102"/>
      <c r="K18" s="1102"/>
      <c r="L18" s="5"/>
    </row>
    <row r="19" spans="1:12">
      <c r="A19" s="4"/>
      <c r="B19" s="1102"/>
      <c r="C19" s="1102"/>
      <c r="D19" s="1102"/>
      <c r="E19" s="1102"/>
      <c r="F19" s="1102"/>
      <c r="G19" s="1102"/>
      <c r="H19" s="1102"/>
      <c r="I19" s="1102"/>
      <c r="J19" s="1102"/>
      <c r="K19" s="1102"/>
      <c r="L19" s="5"/>
    </row>
    <row r="20" spans="1:12">
      <c r="A20" s="4"/>
      <c r="B20" s="1047"/>
      <c r="C20" s="1048"/>
      <c r="D20" s="1048"/>
      <c r="E20" s="1048"/>
      <c r="F20" s="1048"/>
      <c r="G20" s="1048"/>
      <c r="H20" s="1048"/>
      <c r="I20" s="1048"/>
      <c r="J20" s="1049"/>
      <c r="K20" s="1102"/>
      <c r="L20" s="5"/>
    </row>
    <row r="21" spans="1:12">
      <c r="A21" s="4"/>
      <c r="B21" s="1050"/>
      <c r="C21" s="1051"/>
      <c r="D21" s="1051"/>
      <c r="E21" s="1051"/>
      <c r="F21" s="1051"/>
      <c r="G21" s="1051"/>
      <c r="H21" s="1051"/>
      <c r="I21" s="1051"/>
      <c r="J21" s="1052"/>
      <c r="K21" s="1102"/>
      <c r="L21" s="5"/>
    </row>
    <row r="22" spans="1:12">
      <c r="A22" s="4"/>
      <c r="B22" s="1102"/>
      <c r="C22" s="1102"/>
      <c r="D22" s="1102"/>
      <c r="E22" s="1116" t="s">
        <v>9</v>
      </c>
      <c r="F22" s="1116"/>
      <c r="G22" s="1116"/>
      <c r="H22" s="1102"/>
      <c r="I22" s="1102"/>
      <c r="J22" s="1102"/>
      <c r="K22" s="1102"/>
      <c r="L22" s="5"/>
    </row>
    <row r="23" spans="1:12">
      <c r="A23" s="4"/>
      <c r="B23" s="1102"/>
      <c r="C23" s="1102"/>
      <c r="D23" s="1102"/>
      <c r="E23" s="1103"/>
      <c r="F23" s="1103"/>
      <c r="G23" s="1103"/>
      <c r="H23" s="1102"/>
      <c r="I23" s="1102"/>
      <c r="J23" s="1102"/>
      <c r="K23" s="1102"/>
      <c r="L23" s="5"/>
    </row>
    <row r="24" spans="1:12">
      <c r="A24" s="4"/>
      <c r="B24" s="1117" t="s">
        <v>10</v>
      </c>
      <c r="C24" s="1117"/>
      <c r="D24" s="1117" t="s">
        <v>11</v>
      </c>
      <c r="E24" s="1117" t="s">
        <v>12</v>
      </c>
      <c r="F24" s="1118" t="s">
        <v>13</v>
      </c>
      <c r="G24" s="1117" t="s">
        <v>14</v>
      </c>
      <c r="H24" s="1119" t="s">
        <v>535</v>
      </c>
      <c r="I24" s="1119"/>
      <c r="J24" s="1104"/>
      <c r="K24" s="1104"/>
      <c r="L24" s="5"/>
    </row>
    <row r="25" spans="1:12">
      <c r="A25" s="4"/>
      <c r="B25" s="1102"/>
      <c r="C25" s="1102"/>
      <c r="D25" s="1102"/>
      <c r="E25" s="1102"/>
      <c r="F25" s="1102"/>
      <c r="G25" s="1102"/>
      <c r="H25" s="1102"/>
      <c r="I25" s="1102"/>
      <c r="J25" s="1102"/>
      <c r="K25" s="1102"/>
      <c r="L25" s="5"/>
    </row>
    <row r="26" spans="1:12">
      <c r="A26" s="4"/>
      <c r="B26" s="1199"/>
      <c r="C26" s="1200"/>
      <c r="D26" s="1200"/>
      <c r="E26" s="1200"/>
      <c r="F26" s="1200"/>
      <c r="G26" s="1200"/>
      <c r="H26" s="1200"/>
      <c r="I26" s="1200"/>
      <c r="J26" s="1201"/>
      <c r="K26" s="1102"/>
      <c r="L26" s="5"/>
    </row>
    <row r="27" spans="1:12">
      <c r="A27" s="4"/>
      <c r="B27" s="1102"/>
      <c r="C27" s="1102"/>
      <c r="D27" s="1116" t="s">
        <v>934</v>
      </c>
      <c r="E27" s="1116"/>
      <c r="F27" s="1116"/>
      <c r="G27" s="1116"/>
      <c r="H27" s="1116"/>
      <c r="I27" s="1102"/>
      <c r="J27" s="1102"/>
      <c r="K27" s="1102"/>
      <c r="L27" s="5"/>
    </row>
    <row r="28" spans="1:12">
      <c r="A28" s="4"/>
      <c r="B28" s="525" t="s">
        <v>17</v>
      </c>
      <c r="C28" s="525"/>
      <c r="D28" s="525"/>
      <c r="E28" s="525"/>
      <c r="F28" s="1102"/>
      <c r="G28" s="1102"/>
      <c r="H28" s="1102"/>
      <c r="I28" s="1102"/>
      <c r="J28" s="1102"/>
      <c r="K28" s="1102"/>
      <c r="L28" s="5"/>
    </row>
    <row r="29" spans="1:12">
      <c r="A29" s="4"/>
      <c r="B29" s="17"/>
      <c r="C29" s="9"/>
      <c r="D29" s="9"/>
      <c r="E29" s="9"/>
      <c r="F29" s="386"/>
      <c r="G29" s="1102"/>
      <c r="H29" s="671"/>
      <c r="I29" s="659"/>
      <c r="J29" s="672"/>
      <c r="K29" s="1102"/>
      <c r="L29" s="5"/>
    </row>
    <row r="30" spans="1:12">
      <c r="A30" s="4"/>
      <c r="B30" s="1102"/>
      <c r="C30" s="1102"/>
      <c r="D30" s="1103" t="s">
        <v>2</v>
      </c>
      <c r="E30" s="1102"/>
      <c r="F30" s="1102"/>
      <c r="G30" s="1102"/>
      <c r="H30" s="1102"/>
      <c r="I30" s="1103" t="s">
        <v>3</v>
      </c>
      <c r="J30" s="1103"/>
      <c r="K30" s="1103"/>
      <c r="L30" s="5"/>
    </row>
    <row r="31" spans="1:12">
      <c r="A31" s="4"/>
      <c r="B31" s="1102"/>
      <c r="C31" s="1102"/>
      <c r="D31" s="1102"/>
      <c r="E31" s="1102"/>
      <c r="F31" s="1102"/>
      <c r="G31" s="1102"/>
      <c r="H31" s="1102"/>
      <c r="I31" s="1102"/>
      <c r="J31" s="1102"/>
      <c r="K31" s="1102"/>
      <c r="L31" s="5"/>
    </row>
    <row r="32" spans="1:12">
      <c r="A32" s="4"/>
      <c r="B32" s="1102" t="s">
        <v>8</v>
      </c>
      <c r="C32" s="1102" t="s">
        <v>4</v>
      </c>
      <c r="D32" s="1102" t="s">
        <v>5</v>
      </c>
      <c r="E32" s="1102" t="s">
        <v>6</v>
      </c>
      <c r="F32" s="1102"/>
      <c r="G32" s="1103" t="s">
        <v>7</v>
      </c>
      <c r="H32" s="17"/>
      <c r="I32" s="9"/>
      <c r="J32" s="386"/>
      <c r="K32" s="1102"/>
      <c r="L32" s="5"/>
    </row>
    <row r="33" spans="1:12">
      <c r="A33" s="6"/>
      <c r="B33" s="7"/>
      <c r="C33" s="7"/>
      <c r="D33" s="7"/>
      <c r="E33" s="7"/>
      <c r="F33" s="7"/>
      <c r="G33" s="7"/>
      <c r="H33" s="7"/>
      <c r="I33" s="7"/>
      <c r="J33" s="7"/>
      <c r="K33" s="7"/>
      <c r="L33" s="8"/>
    </row>
    <row r="34" spans="1:12">
      <c r="L34" s="1102"/>
    </row>
    <row r="35" spans="1:12">
      <c r="L35" s="1102"/>
    </row>
    <row r="36" spans="1:12">
      <c r="A36" s="1"/>
      <c r="B36" s="2" t="s">
        <v>537</v>
      </c>
      <c r="C36" s="2"/>
      <c r="D36" s="2"/>
      <c r="E36" s="2"/>
      <c r="F36" s="2"/>
      <c r="G36" s="2"/>
      <c r="H36" s="2"/>
      <c r="I36" s="2"/>
      <c r="J36" s="2"/>
      <c r="K36" s="2"/>
      <c r="L36" s="3"/>
    </row>
    <row r="37" spans="1:12">
      <c r="A37" s="4"/>
      <c r="B37" s="1"/>
      <c r="C37" s="2"/>
      <c r="D37" s="2"/>
      <c r="E37" s="2"/>
      <c r="F37" s="2"/>
      <c r="G37" s="2"/>
      <c r="H37" s="2"/>
      <c r="I37" s="2"/>
      <c r="J37" s="3"/>
      <c r="K37" s="1102"/>
      <c r="L37" s="5"/>
    </row>
    <row r="38" spans="1:12">
      <c r="A38" s="4"/>
      <c r="B38" s="4"/>
      <c r="C38" s="1102"/>
      <c r="D38" s="1102"/>
      <c r="E38" s="1102"/>
      <c r="F38" s="1102"/>
      <c r="G38" s="1102"/>
      <c r="H38" s="1102"/>
      <c r="I38" s="1102"/>
      <c r="J38" s="5"/>
      <c r="K38" s="1102"/>
      <c r="L38" s="5"/>
    </row>
    <row r="39" spans="1:12">
      <c r="A39" s="4"/>
      <c r="B39" s="6"/>
      <c r="C39" s="7"/>
      <c r="D39" s="7"/>
      <c r="E39" s="7"/>
      <c r="F39" s="7"/>
      <c r="G39" s="7"/>
      <c r="H39" s="7"/>
      <c r="I39" s="7"/>
      <c r="J39" s="8"/>
      <c r="K39" s="1102"/>
      <c r="L39" s="5"/>
    </row>
    <row r="40" spans="1:12">
      <c r="A40" s="4"/>
      <c r="B40" s="1053"/>
      <c r="C40" s="1054"/>
      <c r="D40" s="1054"/>
      <c r="E40" s="1054" t="s">
        <v>538</v>
      </c>
      <c r="F40" s="1054"/>
      <c r="G40" s="1054"/>
      <c r="H40" s="1054"/>
      <c r="I40" s="1054"/>
      <c r="J40" s="3"/>
      <c r="K40" s="1102"/>
      <c r="L40" s="5"/>
    </row>
    <row r="41" spans="1:12">
      <c r="A41" s="4"/>
      <c r="B41" s="1055" t="s">
        <v>935</v>
      </c>
      <c r="C41" s="1119"/>
      <c r="D41" s="1056"/>
      <c r="E41" s="1057"/>
      <c r="F41" s="1117" t="s">
        <v>19</v>
      </c>
      <c r="G41" s="1117"/>
      <c r="H41" s="1056"/>
      <c r="I41" s="1057"/>
      <c r="J41" s="5"/>
      <c r="K41" s="1102"/>
      <c r="L41" s="5"/>
    </row>
    <row r="42" spans="1:12">
      <c r="A42" s="4"/>
      <c r="B42" s="4"/>
      <c r="C42" s="1102"/>
      <c r="D42" s="1102"/>
      <c r="E42" s="1102"/>
      <c r="F42" s="1102"/>
      <c r="G42" s="1102"/>
      <c r="H42" s="1102"/>
      <c r="I42" s="1102"/>
      <c r="J42" s="5"/>
      <c r="K42" s="1102"/>
      <c r="L42" s="5"/>
    </row>
    <row r="43" spans="1:12">
      <c r="A43" s="4"/>
      <c r="B43" s="662" t="s">
        <v>539</v>
      </c>
      <c r="C43" s="1116"/>
      <c r="D43" s="1116"/>
      <c r="E43" s="17"/>
      <c r="F43" s="9"/>
      <c r="G43" s="9"/>
      <c r="H43" s="9"/>
      <c r="I43" s="386"/>
      <c r="J43" s="5"/>
      <c r="K43" s="1103"/>
      <c r="L43" s="5"/>
    </row>
    <row r="44" spans="1:12">
      <c r="A44" s="4"/>
      <c r="B44" s="285"/>
      <c r="C44" s="282"/>
      <c r="D44" s="282"/>
      <c r="E44" s="7"/>
      <c r="F44" s="7"/>
      <c r="G44" s="7"/>
      <c r="H44" s="7"/>
      <c r="I44" s="282"/>
      <c r="J44" s="286"/>
      <c r="K44" s="1103"/>
      <c r="L44" s="5"/>
    </row>
    <row r="45" spans="1:12">
      <c r="A45" s="4"/>
      <c r="B45" s="1103"/>
      <c r="C45" s="1103"/>
      <c r="D45" s="1103"/>
      <c r="E45" s="1102"/>
      <c r="F45" s="1102"/>
      <c r="G45" s="1102"/>
      <c r="H45" s="1102"/>
      <c r="I45" s="1103"/>
      <c r="J45" s="1103"/>
      <c r="K45" s="1103"/>
      <c r="L45" s="5"/>
    </row>
    <row r="46" spans="1:12">
      <c r="A46" s="4"/>
      <c r="B46" s="525" t="s">
        <v>936</v>
      </c>
      <c r="C46" s="525"/>
      <c r="D46" s="525"/>
      <c r="E46" s="525"/>
      <c r="F46" s="1102"/>
      <c r="G46" s="1102"/>
      <c r="H46" s="1102"/>
      <c r="I46" s="1102"/>
      <c r="J46" s="1102"/>
      <c r="K46" s="1102"/>
      <c r="L46" s="5"/>
    </row>
    <row r="47" spans="1:12">
      <c r="A47" s="4"/>
      <c r="B47" s="17"/>
      <c r="C47" s="9"/>
      <c r="D47" s="9"/>
      <c r="E47" s="9"/>
      <c r="F47" s="386"/>
      <c r="G47" s="1102"/>
      <c r="H47" s="671"/>
      <c r="I47" s="659"/>
      <c r="J47" s="672"/>
      <c r="K47" s="1102"/>
      <c r="L47" s="5"/>
    </row>
    <row r="48" spans="1:12">
      <c r="A48" s="4"/>
      <c r="B48" s="1102"/>
      <c r="C48" s="1102"/>
      <c r="D48" s="1103" t="s">
        <v>2</v>
      </c>
      <c r="E48" s="1102"/>
      <c r="F48" s="1102"/>
      <c r="G48" s="1102"/>
      <c r="H48" s="1102"/>
      <c r="I48" s="1103" t="s">
        <v>3</v>
      </c>
      <c r="J48" s="1103"/>
      <c r="K48" s="1103"/>
      <c r="L48" s="5"/>
    </row>
    <row r="49" spans="1:12">
      <c r="A49" s="4"/>
      <c r="B49" s="1102"/>
      <c r="C49" s="1102"/>
      <c r="D49" s="1102"/>
      <c r="E49" s="1102"/>
      <c r="F49" s="1102"/>
      <c r="G49" s="1102"/>
      <c r="H49" s="1102"/>
      <c r="I49" s="1102"/>
      <c r="J49" s="1102"/>
      <c r="K49" s="1102"/>
      <c r="L49" s="5"/>
    </row>
    <row r="50" spans="1:12">
      <c r="A50" s="4"/>
      <c r="B50" s="1102" t="s">
        <v>8</v>
      </c>
      <c r="C50" s="1102" t="s">
        <v>4</v>
      </c>
      <c r="D50" s="1102" t="s">
        <v>5</v>
      </c>
      <c r="E50" s="1102" t="s">
        <v>6</v>
      </c>
      <c r="F50" s="1102"/>
      <c r="G50" s="1103" t="s">
        <v>7</v>
      </c>
      <c r="H50" s="671"/>
      <c r="I50" s="659"/>
      <c r="J50" s="672"/>
      <c r="K50" s="1103"/>
      <c r="L50" s="5"/>
    </row>
    <row r="51" spans="1:12">
      <c r="A51" s="4"/>
      <c r="B51" s="1102"/>
      <c r="C51" s="1102"/>
      <c r="D51" s="1102"/>
      <c r="E51" s="1102"/>
      <c r="F51" s="1102"/>
      <c r="G51" s="1102"/>
      <c r="H51" s="1102"/>
      <c r="I51" s="1102"/>
      <c r="J51" s="1102"/>
      <c r="K51" s="1102"/>
      <c r="L51" s="5"/>
    </row>
    <row r="52" spans="1:12">
      <c r="A52" s="6"/>
      <c r="B52" s="7"/>
      <c r="C52" s="7"/>
      <c r="D52" s="7"/>
      <c r="E52" s="7"/>
      <c r="F52" s="7"/>
      <c r="G52" s="7"/>
      <c r="H52" s="7"/>
      <c r="I52" s="7"/>
      <c r="J52" s="7"/>
      <c r="K52" s="7"/>
      <c r="L52" s="8"/>
    </row>
    <row r="53" spans="1:12">
      <c r="A53" s="10" t="s">
        <v>992</v>
      </c>
      <c r="C53" s="10"/>
      <c r="D53" s="10"/>
      <c r="E53" s="10"/>
      <c r="F53" s="10"/>
      <c r="G53" s="10"/>
      <c r="H53" s="10"/>
      <c r="I53" s="10"/>
      <c r="J53" s="10"/>
      <c r="K53" s="10"/>
      <c r="L53" s="1102"/>
    </row>
    <row r="54" spans="1:12">
      <c r="A54" s="10" t="s">
        <v>993</v>
      </c>
      <c r="C54" s="10"/>
      <c r="D54" s="10"/>
      <c r="E54" s="10"/>
      <c r="F54" s="10"/>
      <c r="G54" s="10"/>
      <c r="H54" s="10"/>
      <c r="I54" s="10"/>
      <c r="J54" s="10"/>
      <c r="K54" s="10"/>
      <c r="L54" s="1102"/>
    </row>
    <row r="55" spans="1:12">
      <c r="A55" s="10" t="s">
        <v>994</v>
      </c>
      <c r="C55" s="10"/>
      <c r="D55" s="10"/>
      <c r="E55" s="10"/>
      <c r="F55" s="10"/>
      <c r="G55" s="10"/>
      <c r="H55" s="10"/>
      <c r="I55" s="10"/>
      <c r="J55" s="10"/>
      <c r="K55" s="10"/>
      <c r="L55" s="1102"/>
    </row>
    <row r="56" spans="1:12">
      <c r="L56" s="1102"/>
    </row>
    <row r="57" spans="1:12">
      <c r="L57" s="1102"/>
    </row>
    <row r="58" spans="1:12">
      <c r="A58" s="1058" t="s">
        <v>482</v>
      </c>
      <c r="B58" s="1059"/>
      <c r="C58" s="1059"/>
      <c r="D58" s="1059"/>
      <c r="E58" s="1059"/>
      <c r="F58" s="1059"/>
      <c r="G58" s="1059"/>
      <c r="H58" s="1059"/>
      <c r="I58" s="1059"/>
      <c r="J58" s="1059"/>
      <c r="K58" s="1059"/>
      <c r="L58" s="1060"/>
    </row>
    <row r="59" spans="1:12">
      <c r="L59" s="1102"/>
    </row>
    <row r="60" spans="1:12">
      <c r="A60" s="1"/>
      <c r="B60" s="2"/>
      <c r="C60" s="2"/>
      <c r="D60" s="2"/>
      <c r="E60" s="2"/>
      <c r="F60" s="2"/>
      <c r="G60" s="2"/>
      <c r="H60" s="2"/>
      <c r="I60" s="2"/>
      <c r="J60" s="2"/>
      <c r="K60" s="2"/>
      <c r="L60" s="3"/>
    </row>
    <row r="61" spans="1:12">
      <c r="A61" s="4" t="s">
        <v>24</v>
      </c>
      <c r="B61" s="1102"/>
      <c r="C61" s="1102"/>
      <c r="D61" s="1102"/>
      <c r="E61" s="1102"/>
      <c r="F61" s="1102"/>
      <c r="G61" s="1102"/>
      <c r="H61" s="1102"/>
      <c r="I61" s="1102"/>
      <c r="J61" s="1102"/>
      <c r="K61" s="1102"/>
      <c r="L61" s="5"/>
    </row>
    <row r="62" spans="1:12">
      <c r="A62" s="4"/>
      <c r="B62" s="1102"/>
      <c r="C62" s="1102"/>
      <c r="D62" s="1102"/>
      <c r="E62" s="1102"/>
      <c r="F62" s="1102"/>
      <c r="G62" s="1102"/>
      <c r="H62" s="1102"/>
      <c r="I62" s="1102"/>
      <c r="J62" s="1102"/>
      <c r="K62" s="1102"/>
      <c r="L62" s="5"/>
    </row>
    <row r="63" spans="1:12">
      <c r="A63" s="4" t="s">
        <v>25</v>
      </c>
      <c r="B63" s="1102"/>
      <c r="C63" s="525"/>
      <c r="D63" s="525"/>
      <c r="E63" s="525"/>
      <c r="F63" s="525"/>
      <c r="G63" s="1102" t="s">
        <v>26</v>
      </c>
      <c r="H63" s="7"/>
      <c r="I63" s="7"/>
      <c r="J63" s="7"/>
      <c r="K63" s="1102"/>
      <c r="L63" s="5"/>
    </row>
    <row r="64" spans="1:12">
      <c r="A64" s="4"/>
      <c r="B64" s="1102"/>
      <c r="C64" s="1102"/>
      <c r="D64" s="1102"/>
      <c r="E64" s="1102"/>
      <c r="F64" s="1102"/>
      <c r="G64" s="1102"/>
      <c r="H64" s="1102"/>
      <c r="I64" s="1102"/>
      <c r="J64" s="1102"/>
      <c r="K64" s="1102"/>
      <c r="L64" s="5"/>
    </row>
    <row r="65" spans="1:12">
      <c r="A65" s="4" t="s">
        <v>528</v>
      </c>
      <c r="B65" s="1102"/>
      <c r="C65" s="1102"/>
      <c r="D65" s="525"/>
      <c r="E65" s="525"/>
      <c r="F65" s="525"/>
      <c r="G65" s="1102" t="s">
        <v>27</v>
      </c>
      <c r="H65" s="7"/>
      <c r="I65" s="1102" t="s">
        <v>937</v>
      </c>
      <c r="J65" s="7"/>
      <c r="K65" s="1102"/>
      <c r="L65" s="5"/>
    </row>
    <row r="66" spans="1:12">
      <c r="A66" s="4"/>
      <c r="B66" s="1102"/>
      <c r="C66" s="1102"/>
      <c r="D66" s="1102"/>
      <c r="E66" s="1102"/>
      <c r="F66" s="1102"/>
      <c r="G66" s="1102"/>
      <c r="H66" s="1102"/>
      <c r="I66" s="1102"/>
      <c r="J66" s="1102"/>
      <c r="K66" s="1102"/>
      <c r="L66" s="5"/>
    </row>
    <row r="67" spans="1:12">
      <c r="A67" s="4" t="s">
        <v>542</v>
      </c>
      <c r="B67" s="1102"/>
      <c r="C67" s="525"/>
      <c r="D67" s="525"/>
      <c r="E67" s="525"/>
      <c r="F67" s="525"/>
      <c r="G67" s="1102" t="s">
        <v>529</v>
      </c>
      <c r="H67" s="7"/>
      <c r="I67" s="7"/>
      <c r="J67" s="7"/>
      <c r="K67" s="1102"/>
      <c r="L67" s="5"/>
    </row>
    <row r="68" spans="1:12">
      <c r="A68" s="4"/>
      <c r="B68" s="1102"/>
      <c r="C68" s="1102"/>
      <c r="D68" s="1102"/>
      <c r="E68" s="1102"/>
      <c r="F68" s="1102"/>
      <c r="G68" s="1102"/>
      <c r="H68" s="1102"/>
      <c r="I68" s="1102"/>
      <c r="J68" s="1102"/>
      <c r="K68" s="1102"/>
      <c r="L68" s="5"/>
    </row>
    <row r="69" spans="1:12">
      <c r="A69" s="4" t="s">
        <v>530</v>
      </c>
      <c r="B69" s="7"/>
      <c r="C69" s="7"/>
      <c r="D69" s="7"/>
      <c r="E69" s="7"/>
      <c r="F69" s="7"/>
      <c r="G69" s="7"/>
      <c r="H69" s="7"/>
      <c r="I69" s="7"/>
      <c r="J69" s="7"/>
      <c r="K69" s="1102"/>
      <c r="L69" s="5"/>
    </row>
    <row r="70" spans="1:12">
      <c r="A70" s="4"/>
      <c r="B70" s="1102"/>
      <c r="C70" s="1102"/>
      <c r="D70" s="1102"/>
      <c r="E70" s="1102"/>
      <c r="F70" s="1102"/>
      <c r="G70" s="1102"/>
      <c r="H70" s="1102"/>
      <c r="I70" s="1102"/>
      <c r="J70" s="1102"/>
      <c r="K70" s="1102"/>
      <c r="L70" s="5"/>
    </row>
    <row r="71" spans="1:12">
      <c r="A71" s="4" t="s">
        <v>878</v>
      </c>
      <c r="B71" s="1102"/>
      <c r="C71" s="1102"/>
      <c r="D71" s="1116"/>
      <c r="E71" s="1116"/>
      <c r="F71" s="1116"/>
      <c r="G71" s="1116"/>
      <c r="H71" s="1116"/>
      <c r="I71" s="1102"/>
      <c r="J71" s="1102"/>
      <c r="K71" s="1102"/>
      <c r="L71" s="5"/>
    </row>
    <row r="72" spans="1:12">
      <c r="A72" s="4"/>
      <c r="B72" s="1102"/>
      <c r="C72" s="1102"/>
      <c r="D72" s="1102"/>
      <c r="E72" s="1102"/>
      <c r="F72" s="1102"/>
      <c r="G72" s="1102"/>
      <c r="H72" s="1102"/>
      <c r="I72" s="1102"/>
      <c r="J72" s="1102"/>
      <c r="K72" s="1102"/>
      <c r="L72" s="5"/>
    </row>
    <row r="73" spans="1:12">
      <c r="A73" s="4" t="s">
        <v>28</v>
      </c>
      <c r="B73" s="1102"/>
      <c r="C73" s="525"/>
      <c r="D73" s="525"/>
      <c r="E73" s="525"/>
      <c r="F73" s="525"/>
      <c r="G73" s="525"/>
      <c r="H73" s="525"/>
      <c r="I73" s="7"/>
      <c r="J73" s="7"/>
      <c r="K73" s="1102"/>
      <c r="L73" s="5"/>
    </row>
    <row r="74" spans="1:12">
      <c r="A74" s="4"/>
      <c r="B74" s="1102"/>
      <c r="C74" s="1102"/>
      <c r="D74" s="1102"/>
      <c r="E74" s="1102"/>
      <c r="F74" s="1102"/>
      <c r="G74" s="1102"/>
      <c r="H74" s="1102"/>
      <c r="I74" s="1102"/>
      <c r="J74" s="1102"/>
      <c r="K74" s="1102"/>
      <c r="L74" s="5"/>
    </row>
    <row r="75" spans="1:12">
      <c r="A75" s="4" t="s">
        <v>29</v>
      </c>
      <c r="B75" s="1102"/>
      <c r="C75" s="525"/>
      <c r="D75" s="525"/>
      <c r="E75" s="525"/>
      <c r="F75" s="525"/>
      <c r="G75" s="525"/>
      <c r="H75" s="525"/>
      <c r="I75" s="7"/>
      <c r="J75" s="7"/>
      <c r="K75" s="1102"/>
      <c r="L75" s="5"/>
    </row>
    <row r="76" spans="1:12">
      <c r="A76" s="4"/>
      <c r="B76" s="1102"/>
      <c r="C76" s="1102"/>
      <c r="D76" s="1102"/>
      <c r="E76" s="1102"/>
      <c r="F76" s="1102"/>
      <c r="G76" s="1102"/>
      <c r="H76" s="1102"/>
      <c r="I76" s="1102"/>
      <c r="J76" s="1102"/>
      <c r="K76" s="1102"/>
      <c r="L76" s="5"/>
    </row>
    <row r="77" spans="1:12">
      <c r="A77" s="4" t="s">
        <v>30</v>
      </c>
      <c r="B77" s="1102"/>
      <c r="C77" s="525"/>
      <c r="D77" s="525"/>
      <c r="E77" s="525"/>
      <c r="F77" s="525"/>
      <c r="G77" s="525"/>
      <c r="H77" s="525"/>
      <c r="I77" s="7"/>
      <c r="J77" s="7"/>
      <c r="K77" s="1102"/>
      <c r="L77" s="5"/>
    </row>
    <row r="78" spans="1:12">
      <c r="A78" s="4"/>
      <c r="B78" s="1102"/>
      <c r="C78" s="1102"/>
      <c r="D78" s="1102"/>
      <c r="E78" s="1102"/>
      <c r="F78" s="1102"/>
      <c r="G78" s="1102"/>
      <c r="H78" s="1102"/>
      <c r="I78" s="1102"/>
      <c r="J78" s="1102"/>
      <c r="K78" s="1102"/>
      <c r="L78" s="5"/>
    </row>
    <row r="79" spans="1:12">
      <c r="A79" s="4" t="s">
        <v>31</v>
      </c>
      <c r="B79" s="1102"/>
      <c r="C79" s="525"/>
      <c r="D79" s="525"/>
      <c r="E79" s="525"/>
      <c r="F79" s="525"/>
      <c r="G79" s="525"/>
      <c r="H79" s="525"/>
      <c r="I79" s="7"/>
      <c r="J79" s="7"/>
      <c r="K79" s="1102"/>
      <c r="L79" s="5"/>
    </row>
    <row r="80" spans="1:12">
      <c r="A80" s="4"/>
      <c r="B80" s="1102"/>
      <c r="C80" s="1102"/>
      <c r="D80" s="1102"/>
      <c r="E80" s="1102"/>
      <c r="F80" s="1102"/>
      <c r="G80" s="1102"/>
      <c r="H80" s="1102"/>
      <c r="I80" s="1102"/>
      <c r="J80" s="1102"/>
      <c r="K80" s="1102"/>
      <c r="L80" s="5"/>
    </row>
    <row r="81" spans="1:12">
      <c r="A81" s="4" t="s">
        <v>32</v>
      </c>
      <c r="B81" s="1102"/>
      <c r="C81" s="525"/>
      <c r="D81" s="525"/>
      <c r="E81" s="525"/>
      <c r="F81" s="525"/>
      <c r="G81" s="525"/>
      <c r="H81" s="525"/>
      <c r="I81" s="7"/>
      <c r="J81" s="7"/>
      <c r="K81" s="1102"/>
      <c r="L81" s="5"/>
    </row>
    <row r="82" spans="1:12">
      <c r="A82" s="4"/>
      <c r="B82" s="1102"/>
      <c r="C82" s="1102"/>
      <c r="D82" s="1102"/>
      <c r="E82" s="1102"/>
      <c r="F82" s="1102"/>
      <c r="G82" s="1102"/>
      <c r="H82" s="1102"/>
      <c r="I82" s="1102"/>
      <c r="J82" s="1102"/>
      <c r="K82" s="1102"/>
      <c r="L82" s="5"/>
    </row>
    <row r="83" spans="1:12">
      <c r="A83" s="4"/>
      <c r="B83" s="7"/>
      <c r="C83" s="7"/>
      <c r="D83" s="7"/>
      <c r="E83" s="7"/>
      <c r="F83" s="7"/>
      <c r="G83" s="7"/>
      <c r="H83" s="7"/>
      <c r="I83" s="7"/>
      <c r="J83" s="7"/>
      <c r="K83" s="1102"/>
      <c r="L83" s="5"/>
    </row>
    <row r="84" spans="1:12">
      <c r="A84" s="4"/>
      <c r="B84" s="1102"/>
      <c r="C84" s="1102"/>
      <c r="D84" s="1102"/>
      <c r="E84" s="1102"/>
      <c r="F84" s="1102"/>
      <c r="G84" s="1102"/>
      <c r="H84" s="1102"/>
      <c r="I84" s="1102"/>
      <c r="J84" s="1102"/>
      <c r="K84" s="1102"/>
      <c r="L84" s="5"/>
    </row>
    <row r="85" spans="1:12">
      <c r="A85" s="4"/>
      <c r="B85" s="7"/>
      <c r="C85" s="7"/>
      <c r="D85" s="7"/>
      <c r="E85" s="7"/>
      <c r="F85" s="7"/>
      <c r="G85" s="7"/>
      <c r="H85" s="7"/>
      <c r="I85" s="7"/>
      <c r="J85" s="7"/>
      <c r="K85" s="1102"/>
      <c r="L85" s="5"/>
    </row>
    <row r="86" spans="1:12">
      <c r="A86" s="4"/>
      <c r="B86" s="1102"/>
      <c r="C86" s="1102"/>
      <c r="D86" s="1102"/>
      <c r="E86" s="1102"/>
      <c r="F86" s="1102"/>
      <c r="G86" s="1102"/>
      <c r="H86" s="1102"/>
      <c r="I86" s="1102"/>
      <c r="J86" s="1102"/>
      <c r="K86" s="1102"/>
      <c r="L86" s="5"/>
    </row>
    <row r="87" spans="1:12">
      <c r="A87" s="6"/>
      <c r="B87" s="7"/>
      <c r="C87" s="7"/>
      <c r="D87" s="7"/>
      <c r="E87" s="7"/>
      <c r="F87" s="7"/>
      <c r="G87" s="7"/>
      <c r="H87" s="7"/>
      <c r="I87" s="7"/>
      <c r="J87" s="7"/>
      <c r="K87" s="7"/>
      <c r="L87" s="8"/>
    </row>
    <row r="88" spans="1:12">
      <c r="L88" s="1102"/>
    </row>
    <row r="89" spans="1:12">
      <c r="A89" s="1"/>
      <c r="B89" s="2"/>
      <c r="C89" s="2"/>
      <c r="D89" s="2"/>
      <c r="E89" s="2"/>
      <c r="F89" s="2"/>
      <c r="G89" s="2"/>
      <c r="H89" s="2"/>
      <c r="I89" s="2"/>
      <c r="J89" s="2"/>
      <c r="K89" s="2"/>
      <c r="L89" s="3"/>
    </row>
    <row r="90" spans="1:12">
      <c r="A90" s="1061" t="s">
        <v>33</v>
      </c>
      <c r="B90" s="1102"/>
      <c r="C90" s="1102"/>
      <c r="D90" s="1102"/>
      <c r="E90" s="1102"/>
      <c r="F90" s="1102"/>
      <c r="G90" s="1102"/>
      <c r="H90" s="1102"/>
      <c r="I90" s="1102"/>
      <c r="J90" s="1102"/>
      <c r="K90" s="1102"/>
      <c r="L90" s="5"/>
    </row>
    <row r="91" spans="1:12">
      <c r="A91" s="4"/>
      <c r="B91" s="1102"/>
      <c r="C91" s="1102"/>
      <c r="D91" s="1102"/>
      <c r="E91" s="1102"/>
      <c r="F91" s="1102"/>
      <c r="G91" s="1102"/>
      <c r="H91" s="1102"/>
      <c r="I91" s="1102"/>
      <c r="J91" s="1102"/>
      <c r="K91" s="1102"/>
      <c r="L91" s="5"/>
    </row>
    <row r="92" spans="1:12">
      <c r="A92" s="1062" t="s">
        <v>34</v>
      </c>
      <c r="B92" s="1120"/>
      <c r="C92" s="7"/>
      <c r="D92" s="7"/>
      <c r="E92" s="7"/>
      <c r="F92" s="1102" t="s">
        <v>938</v>
      </c>
      <c r="G92" s="1102"/>
      <c r="H92" s="1102"/>
      <c r="I92" s="1102"/>
      <c r="J92" s="1102"/>
      <c r="K92" s="1102"/>
      <c r="L92" s="5"/>
    </row>
    <row r="93" spans="1:12">
      <c r="A93" s="4"/>
      <c r="B93" s="1102"/>
      <c r="C93" s="1102"/>
      <c r="D93" s="1102"/>
      <c r="E93" s="1102"/>
      <c r="F93" s="1102"/>
      <c r="G93" s="1102"/>
      <c r="H93" s="1102"/>
      <c r="I93" s="1102"/>
      <c r="J93" s="1102"/>
      <c r="K93" s="1102"/>
      <c r="L93" s="5"/>
    </row>
    <row r="94" spans="1:12">
      <c r="A94" s="1063" t="s">
        <v>939</v>
      </c>
      <c r="B94" s="1105"/>
      <c r="C94" s="1105"/>
      <c r="D94" s="1105"/>
      <c r="E94" s="1105"/>
      <c r="F94" s="1105"/>
      <c r="G94" s="1105"/>
      <c r="H94" s="1105"/>
      <c r="I94" s="1102"/>
      <c r="J94" s="1102"/>
      <c r="K94" s="1102"/>
      <c r="L94" s="5"/>
    </row>
    <row r="95" spans="1:12">
      <c r="A95" s="1063" t="s">
        <v>940</v>
      </c>
      <c r="B95" s="1105"/>
      <c r="C95" s="1105"/>
      <c r="D95" s="1105"/>
      <c r="E95" s="1105"/>
      <c r="F95" s="1105"/>
      <c r="G95" s="1105"/>
      <c r="H95" s="1102"/>
      <c r="I95" s="1102"/>
      <c r="J95" s="1102"/>
      <c r="K95" s="1102"/>
      <c r="L95" s="5"/>
    </row>
    <row r="96" spans="1:12">
      <c r="A96" s="4"/>
      <c r="B96" s="1102"/>
      <c r="C96" s="1102"/>
      <c r="D96" s="1102"/>
      <c r="E96" s="1102"/>
      <c r="F96" s="1102"/>
      <c r="G96" s="1102"/>
      <c r="H96" s="1102"/>
      <c r="I96" s="1102"/>
      <c r="J96" s="1102"/>
      <c r="K96" s="1102"/>
      <c r="L96" s="5"/>
    </row>
    <row r="97" spans="1:12">
      <c r="A97" s="328" t="s">
        <v>941</v>
      </c>
      <c r="B97" s="1113"/>
      <c r="C97" s="1113"/>
      <c r="D97" s="1113"/>
      <c r="E97" s="1113"/>
      <c r="F97" s="1113"/>
      <c r="G97" s="1113"/>
      <c r="H97" s="1113"/>
      <c r="I97" s="1102"/>
      <c r="J97" s="1102"/>
      <c r="K97" s="1102"/>
      <c r="L97" s="5"/>
    </row>
    <row r="98" spans="1:12">
      <c r="A98" s="1063" t="s">
        <v>942</v>
      </c>
      <c r="B98" s="1105"/>
      <c r="C98" s="1105"/>
      <c r="D98" s="1105"/>
      <c r="E98" s="1105"/>
      <c r="F98" s="1105"/>
      <c r="G98" s="1105"/>
      <c r="H98" s="1102"/>
      <c r="I98" s="1102"/>
      <c r="J98" s="1102"/>
      <c r="K98" s="1102"/>
      <c r="L98" s="5"/>
    </row>
    <row r="99" spans="1:12">
      <c r="A99" s="4"/>
      <c r="B99" s="1102"/>
      <c r="C99" s="1102"/>
      <c r="D99" s="1102"/>
      <c r="E99" s="1102"/>
      <c r="F99" s="1102"/>
      <c r="G99" s="1102"/>
      <c r="H99" s="1102"/>
      <c r="I99" s="1102"/>
      <c r="J99" s="1102"/>
      <c r="K99" s="1102"/>
      <c r="L99" s="5"/>
    </row>
    <row r="100" spans="1:12">
      <c r="A100" s="1063" t="s">
        <v>943</v>
      </c>
      <c r="B100" s="1105"/>
      <c r="C100" s="1105"/>
      <c r="D100" s="1105"/>
      <c r="E100" s="1105"/>
      <c r="F100" s="1105"/>
      <c r="G100" s="1105"/>
      <c r="H100" s="1102"/>
      <c r="I100" s="1102"/>
      <c r="J100" s="1102"/>
      <c r="K100" s="1102"/>
      <c r="L100" s="5"/>
    </row>
    <row r="101" spans="1:12">
      <c r="A101" s="4"/>
      <c r="B101" s="1102"/>
      <c r="C101" s="1102"/>
      <c r="D101" s="1102"/>
      <c r="E101" s="1102"/>
      <c r="F101" s="1102"/>
      <c r="G101" s="1102"/>
      <c r="H101" s="1102"/>
      <c r="I101" s="1102"/>
      <c r="J101" s="1102"/>
      <c r="K101" s="1102"/>
      <c r="L101" s="5"/>
    </row>
    <row r="102" spans="1:12">
      <c r="A102" s="1063" t="s">
        <v>944</v>
      </c>
      <c r="B102" s="1105"/>
      <c r="C102" s="1105"/>
      <c r="D102" s="1105"/>
      <c r="E102" s="1105"/>
      <c r="F102" s="1105"/>
      <c r="G102" s="1105"/>
      <c r="H102" s="1102"/>
      <c r="I102" s="1102"/>
      <c r="J102" s="1102"/>
      <c r="K102" s="1102"/>
      <c r="L102" s="5"/>
    </row>
    <row r="103" spans="1:12">
      <c r="A103" s="4"/>
      <c r="B103" s="1102"/>
      <c r="C103" s="1102"/>
      <c r="D103" s="1102"/>
      <c r="E103" s="1102"/>
      <c r="F103" s="1102"/>
      <c r="G103" s="1102"/>
      <c r="H103" s="1102"/>
      <c r="I103" s="1102"/>
      <c r="J103" s="1102"/>
      <c r="K103" s="1102"/>
      <c r="L103" s="5"/>
    </row>
    <row r="104" spans="1:12">
      <c r="A104" s="4" t="s">
        <v>945</v>
      </c>
      <c r="B104" s="1102"/>
      <c r="C104" s="1102"/>
      <c r="D104" s="1102"/>
      <c r="E104" s="1102"/>
      <c r="F104" s="1102"/>
      <c r="G104" s="1102"/>
      <c r="H104" s="1102"/>
      <c r="I104" s="1102"/>
      <c r="J104" s="1102"/>
      <c r="K104" s="1102"/>
      <c r="L104" s="5"/>
    </row>
    <row r="105" spans="1:12">
      <c r="A105" s="662" t="s">
        <v>36</v>
      </c>
      <c r="B105" s="1116"/>
      <c r="C105" s="1116"/>
      <c r="D105" s="1116"/>
      <c r="E105" s="1116"/>
      <c r="F105" s="1116"/>
      <c r="G105" s="1116"/>
      <c r="H105" s="1102"/>
      <c r="I105" s="1102"/>
      <c r="J105" s="1102"/>
      <c r="K105" s="1102"/>
      <c r="L105" s="5"/>
    </row>
    <row r="106" spans="1:12">
      <c r="A106" s="4"/>
      <c r="B106" s="1102"/>
      <c r="C106" s="1102"/>
      <c r="D106" s="1102"/>
      <c r="E106" s="1102"/>
      <c r="F106" s="1102"/>
      <c r="G106" s="1102"/>
      <c r="H106" s="1102"/>
      <c r="I106" s="1102"/>
      <c r="J106" s="1102"/>
      <c r="K106" s="1102"/>
      <c r="L106" s="5"/>
    </row>
    <row r="107" spans="1:12">
      <c r="A107" s="4" t="s">
        <v>534</v>
      </c>
      <c r="B107" s="1102"/>
      <c r="C107" s="1102"/>
      <c r="D107" s="1102"/>
      <c r="E107" s="1102"/>
      <c r="F107" s="1102"/>
      <c r="G107" s="1102"/>
      <c r="H107" s="1102"/>
      <c r="I107" s="1102"/>
      <c r="J107" s="1102"/>
      <c r="K107" s="1102"/>
      <c r="L107" s="5"/>
    </row>
    <row r="108" spans="1:12">
      <c r="A108" s="4"/>
      <c r="B108" s="1102"/>
      <c r="C108" s="1102"/>
      <c r="D108" s="1102"/>
      <c r="E108" s="1102"/>
      <c r="F108" s="1102"/>
      <c r="G108" s="1102"/>
      <c r="H108" s="1102"/>
      <c r="I108" s="1102"/>
      <c r="J108" s="1102"/>
      <c r="K108" s="1102"/>
      <c r="L108" s="5"/>
    </row>
    <row r="109" spans="1:12">
      <c r="A109" s="1063" t="s">
        <v>37</v>
      </c>
      <c r="B109" s="1105"/>
      <c r="C109" s="1105"/>
      <c r="D109" s="1105"/>
      <c r="E109" s="1105"/>
      <c r="F109" s="1105"/>
      <c r="G109" s="1102"/>
      <c r="H109" s="1102"/>
      <c r="I109" s="1102"/>
      <c r="J109" s="1102"/>
      <c r="K109" s="1102"/>
      <c r="L109" s="5"/>
    </row>
    <row r="110" spans="1:12">
      <c r="A110" s="1064"/>
      <c r="B110" s="1104"/>
      <c r="C110" s="1104"/>
      <c r="D110" s="1104"/>
      <c r="E110" s="1104"/>
      <c r="F110" s="1104"/>
      <c r="G110" s="1102"/>
      <c r="H110" s="1102"/>
      <c r="I110" s="1102"/>
      <c r="J110" s="1102"/>
      <c r="K110" s="1102"/>
      <c r="L110" s="5"/>
    </row>
    <row r="111" spans="1:12">
      <c r="A111" s="1064"/>
      <c r="B111" s="1104"/>
      <c r="C111" s="1104"/>
      <c r="D111" s="1104"/>
      <c r="E111" s="1104"/>
      <c r="F111" s="1104"/>
      <c r="G111" s="1102"/>
      <c r="H111" s="1102"/>
      <c r="I111" s="1102"/>
      <c r="J111" s="1102"/>
      <c r="K111" s="1102"/>
      <c r="L111" s="5"/>
    </row>
    <row r="112" spans="1:12">
      <c r="A112" s="1064"/>
      <c r="B112" s="1104"/>
      <c r="C112" s="1104"/>
      <c r="D112" s="1104"/>
      <c r="E112" s="1104"/>
      <c r="F112" s="1104"/>
      <c r="G112" s="1102"/>
      <c r="H112" s="1102"/>
      <c r="I112" s="1102"/>
      <c r="J112" s="1102"/>
      <c r="K112" s="1102"/>
      <c r="L112" s="5"/>
    </row>
    <row r="113" spans="1:12">
      <c r="A113" s="4"/>
      <c r="B113" s="1102"/>
      <c r="C113" s="1102"/>
      <c r="D113" s="1102"/>
      <c r="E113" s="1102"/>
      <c r="F113" s="1102"/>
      <c r="G113" s="1102"/>
      <c r="H113" s="1102"/>
      <c r="I113" s="1102"/>
      <c r="J113" s="1102"/>
      <c r="K113" s="1102"/>
      <c r="L113" s="5"/>
    </row>
    <row r="114" spans="1:12">
      <c r="A114" s="4"/>
      <c r="B114" s="1102"/>
      <c r="C114" s="1102"/>
      <c r="D114" s="1102"/>
      <c r="E114" s="1102"/>
      <c r="F114" s="1102"/>
      <c r="G114" s="1102"/>
      <c r="H114" s="1102"/>
      <c r="I114" s="1102"/>
      <c r="J114" s="1102"/>
      <c r="K114" s="1102"/>
      <c r="L114" s="5"/>
    </row>
    <row r="115" spans="1:12">
      <c r="A115" s="4"/>
      <c r="B115" s="1102"/>
      <c r="C115" s="1102"/>
      <c r="D115" s="1102"/>
      <c r="E115" s="1102"/>
      <c r="F115" s="1102"/>
      <c r="G115" s="1102"/>
      <c r="H115" s="1102"/>
      <c r="I115" s="1102"/>
      <c r="J115" s="1102"/>
      <c r="K115" s="1102"/>
      <c r="L115" s="5"/>
    </row>
    <row r="116" spans="1:12">
      <c r="A116" s="4"/>
      <c r="B116" s="1102"/>
      <c r="C116" s="1102"/>
      <c r="D116" s="1102"/>
      <c r="E116" s="1102"/>
      <c r="F116" s="1102"/>
      <c r="G116" s="1102"/>
      <c r="H116" s="1102"/>
      <c r="I116" s="1102"/>
      <c r="J116" s="1102"/>
      <c r="K116" s="1102"/>
      <c r="L116" s="5"/>
    </row>
    <row r="117" spans="1:12">
      <c r="A117" s="4" t="s">
        <v>527</v>
      </c>
      <c r="B117" s="1102"/>
      <c r="C117" s="1102"/>
      <c r="D117" s="1102"/>
      <c r="E117" s="1102"/>
      <c r="F117" s="1102"/>
      <c r="G117" s="1102"/>
      <c r="H117" s="1102"/>
      <c r="I117" s="1102"/>
      <c r="J117" s="1102"/>
      <c r="K117" s="1102"/>
      <c r="L117" s="5"/>
    </row>
    <row r="118" spans="1:12">
      <c r="A118" s="6"/>
      <c r="B118" s="7"/>
      <c r="C118" s="7"/>
      <c r="D118" s="7"/>
      <c r="E118" s="7"/>
      <c r="F118" s="7"/>
      <c r="G118" s="7"/>
      <c r="H118" s="7"/>
      <c r="I118" s="7"/>
      <c r="J118" s="7"/>
      <c r="K118" s="7"/>
      <c r="L118" s="8"/>
    </row>
    <row r="119" spans="1:12">
      <c r="L119" s="1102"/>
    </row>
    <row r="120" spans="1:12">
      <c r="A120" s="10" t="s">
        <v>995</v>
      </c>
      <c r="B120" s="10"/>
      <c r="C120" s="10"/>
      <c r="D120" s="10"/>
      <c r="E120" s="10"/>
      <c r="F120" s="10"/>
      <c r="G120" s="10"/>
      <c r="H120" s="10"/>
      <c r="L120" s="1102"/>
    </row>
    <row r="121" spans="1:12">
      <c r="A121" s="10" t="s">
        <v>996</v>
      </c>
      <c r="B121" s="10"/>
      <c r="C121" s="10"/>
      <c r="D121" s="10"/>
      <c r="E121" s="10"/>
      <c r="F121" s="10"/>
      <c r="G121" s="10"/>
      <c r="H121" s="10"/>
      <c r="L121" s="1102"/>
    </row>
    <row r="122" spans="1:12">
      <c r="A122" s="1204" t="s">
        <v>903</v>
      </c>
      <c r="B122" s="1204"/>
      <c r="C122" s="1204"/>
      <c r="D122" s="1204"/>
      <c r="E122" s="1204"/>
      <c r="F122" s="1204"/>
      <c r="G122" s="1204"/>
      <c r="H122" s="1204"/>
      <c r="L122" s="1102"/>
    </row>
    <row r="123" spans="1:12">
      <c r="L123" s="1102"/>
    </row>
    <row r="124" spans="1:12">
      <c r="L124" s="1102"/>
    </row>
    <row r="125" spans="1:12">
      <c r="A125" s="1044" t="s">
        <v>38</v>
      </c>
      <c r="B125" s="1045"/>
      <c r="C125" s="1045"/>
      <c r="D125" s="1045"/>
      <c r="E125" s="1045"/>
      <c r="F125" s="1045"/>
      <c r="G125" s="1045"/>
      <c r="H125" s="1045"/>
      <c r="I125" s="1045"/>
      <c r="J125" s="1045"/>
      <c r="K125" s="1045"/>
      <c r="L125" s="1046"/>
    </row>
    <row r="126" spans="1:12">
      <c r="L126" s="1102"/>
    </row>
    <row r="127" spans="1:12">
      <c r="A127" s="1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3"/>
    </row>
    <row r="128" spans="1:12">
      <c r="A128" s="4" t="s">
        <v>543</v>
      </c>
      <c r="B128" s="1102"/>
      <c r="C128" s="1102"/>
      <c r="D128" s="1102"/>
      <c r="E128" s="1102"/>
      <c r="F128" s="1102"/>
      <c r="G128" s="1102"/>
      <c r="H128" s="1102"/>
      <c r="I128" s="1102"/>
      <c r="J128" s="1102"/>
      <c r="K128" s="1102"/>
      <c r="L128" s="5"/>
    </row>
    <row r="129" spans="1:12">
      <c r="A129" s="4"/>
      <c r="B129" s="1102"/>
      <c r="C129" s="1102"/>
      <c r="D129" s="1102"/>
      <c r="E129" s="1102"/>
      <c r="F129" s="1102"/>
      <c r="G129" s="1102"/>
      <c r="H129" s="1102"/>
      <c r="I129" s="1102"/>
      <c r="J129" s="1102"/>
      <c r="K129" s="1102"/>
      <c r="L129" s="5"/>
    </row>
    <row r="130" spans="1:12">
      <c r="A130" s="4" t="s">
        <v>946</v>
      </c>
      <c r="B130" s="1102"/>
      <c r="C130" s="1106"/>
      <c r="D130" s="677"/>
      <c r="E130" s="679"/>
      <c r="F130" s="4" t="s">
        <v>544</v>
      </c>
      <c r="G130" s="1102"/>
      <c r="H130" s="1065"/>
      <c r="I130" s="681"/>
      <c r="J130" s="682"/>
      <c r="K130" s="1102"/>
      <c r="L130" s="5"/>
    </row>
    <row r="131" spans="1:12">
      <c r="A131" s="4"/>
      <c r="B131" s="1102"/>
      <c r="C131" s="1102"/>
      <c r="D131" s="1102"/>
      <c r="E131" s="1102"/>
      <c r="F131" s="1102"/>
      <c r="G131" s="1102"/>
      <c r="H131" s="1102"/>
      <c r="I131" s="1102"/>
      <c r="J131" s="1102"/>
      <c r="K131" s="1102"/>
      <c r="L131" s="5"/>
    </row>
    <row r="132" spans="1:12">
      <c r="A132" s="4"/>
      <c r="B132" s="1102"/>
      <c r="C132" s="1102"/>
      <c r="D132" s="1102"/>
      <c r="E132" s="1102"/>
      <c r="F132" s="1102"/>
      <c r="G132" s="1102"/>
      <c r="H132" s="1102"/>
      <c r="I132" s="1102"/>
      <c r="J132" s="1102"/>
      <c r="K132" s="1102"/>
      <c r="L132" s="5"/>
    </row>
    <row r="133" spans="1:12">
      <c r="A133" s="4" t="s">
        <v>39</v>
      </c>
      <c r="B133" s="1102"/>
      <c r="C133" s="1102"/>
      <c r="D133" s="1066" t="s">
        <v>947</v>
      </c>
      <c r="E133" s="1067"/>
      <c r="F133" s="1067"/>
      <c r="G133" s="1067"/>
      <c r="H133" s="1067"/>
      <c r="I133" s="1067"/>
      <c r="J133" s="1068"/>
      <c r="K133" s="1102"/>
      <c r="L133" s="5"/>
    </row>
    <row r="134" spans="1:12">
      <c r="A134" s="4"/>
      <c r="B134" s="1102"/>
      <c r="C134" s="1102"/>
      <c r="D134" s="1102"/>
      <c r="E134" s="1102"/>
      <c r="F134" s="1102"/>
      <c r="G134" s="1102"/>
      <c r="H134" s="1102"/>
      <c r="I134" s="1102"/>
      <c r="J134" s="1102"/>
      <c r="K134" s="1102"/>
      <c r="L134" s="5"/>
    </row>
    <row r="135" spans="1:12">
      <c r="A135" s="6"/>
      <c r="B135" s="7"/>
      <c r="C135" s="7"/>
      <c r="D135" s="7"/>
      <c r="E135" s="7"/>
      <c r="F135" s="7"/>
      <c r="G135" s="7"/>
      <c r="H135" s="7"/>
      <c r="I135" s="7"/>
      <c r="J135" s="7"/>
      <c r="K135" s="7"/>
      <c r="L135" s="8"/>
    </row>
    <row r="136" spans="1:12">
      <c r="L136" s="1102"/>
    </row>
    <row r="137" spans="1:12">
      <c r="A137" s="1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3"/>
    </row>
    <row r="138" spans="1:12">
      <c r="A138" s="4" t="s">
        <v>545</v>
      </c>
      <c r="B138" s="1102"/>
      <c r="C138" s="1102"/>
      <c r="D138" s="1102"/>
      <c r="E138" s="1102"/>
      <c r="F138" s="1102"/>
      <c r="G138" s="1102"/>
      <c r="H138" s="1102"/>
      <c r="I138" s="1102"/>
      <c r="J138" s="1102"/>
      <c r="K138" s="1102"/>
      <c r="L138" s="5"/>
    </row>
    <row r="139" spans="1:12">
      <c r="A139" s="4"/>
      <c r="B139" s="1102"/>
      <c r="C139" s="1102"/>
      <c r="D139" s="1102"/>
      <c r="E139" s="1102"/>
      <c r="F139" s="1102"/>
      <c r="G139" s="1102"/>
      <c r="H139" s="1102"/>
      <c r="I139" s="1102"/>
      <c r="J139" s="1102"/>
      <c r="K139" s="1102"/>
      <c r="L139" s="5"/>
    </row>
    <row r="140" spans="1:12">
      <c r="A140" s="4" t="s">
        <v>40</v>
      </c>
      <c r="B140" s="1102"/>
      <c r="C140" s="671"/>
      <c r="D140" s="659"/>
      <c r="E140" s="659"/>
      <c r="F140" s="659"/>
      <c r="G140" s="659"/>
      <c r="H140" s="659"/>
      <c r="I140" s="659"/>
      <c r="J140" s="672"/>
      <c r="K140" s="1102"/>
      <c r="L140" s="5"/>
    </row>
    <row r="141" spans="1:12">
      <c r="A141" s="4"/>
      <c r="B141" s="1102"/>
      <c r="C141" s="1102"/>
      <c r="D141" s="1102"/>
      <c r="E141" s="1102"/>
      <c r="F141" s="1102"/>
      <c r="G141" s="1102"/>
      <c r="H141" s="1102"/>
      <c r="I141" s="1102"/>
      <c r="J141" s="1102"/>
      <c r="K141" s="1102"/>
      <c r="L141" s="5"/>
    </row>
    <row r="142" spans="1:12">
      <c r="A142" s="4"/>
      <c r="B142" s="1102"/>
      <c r="C142" s="1102"/>
      <c r="D142" s="1102"/>
      <c r="E142" s="1102"/>
      <c r="F142" s="1102"/>
      <c r="G142" s="1102"/>
      <c r="H142" s="1102"/>
      <c r="I142" s="1102"/>
      <c r="J142" s="1102"/>
      <c r="K142" s="1102"/>
      <c r="L142" s="5"/>
    </row>
    <row r="143" spans="1:12">
      <c r="A143" s="4"/>
      <c r="B143" s="1102"/>
      <c r="C143" s="1102"/>
      <c r="D143" s="1102"/>
      <c r="E143" s="1102"/>
      <c r="F143" s="1102"/>
      <c r="G143" s="1102"/>
      <c r="H143" s="1102"/>
      <c r="I143" s="1102"/>
      <c r="J143" s="1102"/>
      <c r="K143" s="1102"/>
      <c r="L143" s="5"/>
    </row>
    <row r="144" spans="1:12">
      <c r="A144" s="4"/>
      <c r="B144" s="1102"/>
      <c r="C144" s="1102"/>
      <c r="D144" s="1102"/>
      <c r="E144" s="1102"/>
      <c r="F144" s="1102"/>
      <c r="G144" s="1102"/>
      <c r="H144" s="1102"/>
      <c r="I144" s="1102"/>
      <c r="J144" s="1102"/>
      <c r="K144" s="1102"/>
      <c r="L144" s="5"/>
    </row>
    <row r="145" spans="1:12">
      <c r="A145" s="4" t="s">
        <v>546</v>
      </c>
      <c r="B145" s="1102"/>
      <c r="C145" s="1102"/>
      <c r="D145" s="1102"/>
      <c r="E145" s="1102"/>
      <c r="F145" s="1102"/>
      <c r="G145" s="1102"/>
      <c r="H145" s="1102"/>
      <c r="I145" s="1102"/>
      <c r="J145" s="1102"/>
      <c r="K145" s="1102"/>
      <c r="L145" s="5"/>
    </row>
    <row r="146" spans="1:12">
      <c r="A146" s="4" t="s">
        <v>547</v>
      </c>
      <c r="B146" s="1102"/>
      <c r="C146" s="1102"/>
      <c r="D146" s="671"/>
      <c r="E146" s="659"/>
      <c r="F146" s="659"/>
      <c r="G146" s="659"/>
      <c r="H146" s="659"/>
      <c r="I146" s="659"/>
      <c r="J146" s="672"/>
      <c r="K146" s="1102"/>
      <c r="L146" s="5"/>
    </row>
    <row r="147" spans="1:12">
      <c r="A147" s="4"/>
      <c r="B147" s="1102"/>
      <c r="C147" s="1102"/>
      <c r="D147" s="1102"/>
      <c r="E147" s="1102"/>
      <c r="F147" s="1102"/>
      <c r="G147" s="1102"/>
      <c r="H147" s="1102"/>
      <c r="I147" s="1102"/>
      <c r="J147" s="1102"/>
      <c r="K147" s="1102"/>
      <c r="L147" s="5"/>
    </row>
    <row r="148" spans="1:12">
      <c r="A148" s="4"/>
      <c r="B148" s="1102"/>
      <c r="C148" s="1102"/>
      <c r="D148" s="1102"/>
      <c r="E148" s="1102"/>
      <c r="F148" s="1102"/>
      <c r="G148" s="1102"/>
      <c r="H148" s="1102"/>
      <c r="I148" s="1102"/>
      <c r="J148" s="1102"/>
      <c r="K148" s="1102"/>
      <c r="L148" s="5"/>
    </row>
    <row r="149" spans="1:12">
      <c r="A149" s="4"/>
      <c r="B149" s="1102"/>
      <c r="C149" s="1102"/>
      <c r="D149" s="1102"/>
      <c r="E149" s="1102"/>
      <c r="F149" s="1102"/>
      <c r="G149" s="1102"/>
      <c r="H149" s="1102"/>
      <c r="I149" s="1102"/>
      <c r="J149" s="1102"/>
      <c r="K149" s="1102"/>
      <c r="L149" s="5"/>
    </row>
    <row r="150" spans="1:12">
      <c r="A150" s="4"/>
      <c r="B150" s="1102"/>
      <c r="C150" s="1102"/>
      <c r="D150" s="1102"/>
      <c r="E150" s="1102"/>
      <c r="F150" s="1102"/>
      <c r="G150" s="1102"/>
      <c r="H150" s="1102"/>
      <c r="I150" s="1102"/>
      <c r="J150" s="1102"/>
      <c r="K150" s="1102"/>
      <c r="L150" s="5"/>
    </row>
    <row r="151" spans="1:12">
      <c r="A151" s="4" t="s">
        <v>548</v>
      </c>
      <c r="B151" s="1102"/>
      <c r="C151" s="1102"/>
      <c r="D151" s="1102" t="s">
        <v>42</v>
      </c>
      <c r="E151" s="671"/>
      <c r="F151" s="672"/>
      <c r="G151" s="1115" t="s">
        <v>41</v>
      </c>
      <c r="H151" s="671"/>
      <c r="I151" s="659"/>
      <c r="J151" s="672"/>
      <c r="K151" s="1102"/>
      <c r="L151" s="5"/>
    </row>
    <row r="152" spans="1:12">
      <c r="A152" s="4"/>
      <c r="B152" s="1102"/>
      <c r="C152" s="1102"/>
      <c r="D152" s="1102"/>
      <c r="E152" s="1102"/>
      <c r="F152" s="1102"/>
      <c r="G152" s="1102"/>
      <c r="H152" s="1102"/>
      <c r="I152" s="1102"/>
      <c r="J152" s="1102"/>
      <c r="K152" s="1102"/>
      <c r="L152" s="5"/>
    </row>
    <row r="153" spans="1:12">
      <c r="A153" s="4"/>
      <c r="B153" s="1102"/>
      <c r="C153" s="1102"/>
      <c r="D153" s="1102"/>
      <c r="E153" s="1102"/>
      <c r="F153" s="1102"/>
      <c r="G153" s="1102"/>
      <c r="H153" s="1102"/>
      <c r="I153" s="1102"/>
      <c r="J153" s="1102"/>
      <c r="K153" s="1102"/>
      <c r="L153" s="5"/>
    </row>
    <row r="154" spans="1:12">
      <c r="A154" s="4"/>
      <c r="B154" s="1102"/>
      <c r="C154" s="1102"/>
      <c r="D154" s="1102"/>
      <c r="E154" s="1102"/>
      <c r="F154" s="1102"/>
      <c r="G154" s="1102"/>
      <c r="H154" s="1102"/>
      <c r="I154" s="1102"/>
      <c r="J154" s="1102"/>
      <c r="K154" s="1102"/>
      <c r="L154" s="5"/>
    </row>
    <row r="155" spans="1:12">
      <c r="A155" s="6"/>
      <c r="B155" s="7"/>
      <c r="C155" s="7"/>
      <c r="D155" s="7"/>
      <c r="E155" s="7"/>
      <c r="F155" s="7"/>
      <c r="G155" s="7"/>
      <c r="H155" s="7"/>
      <c r="I155" s="7"/>
      <c r="J155" s="7"/>
      <c r="K155" s="7"/>
      <c r="L155" s="8"/>
    </row>
    <row r="156" spans="1:12">
      <c r="L156" s="1102"/>
    </row>
    <row r="157" spans="1:12">
      <c r="A157" s="1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3"/>
    </row>
    <row r="158" spans="1:12">
      <c r="A158" s="4"/>
      <c r="B158" s="1102"/>
      <c r="C158" s="1102"/>
      <c r="D158" s="1102"/>
      <c r="E158" s="1102"/>
      <c r="F158" s="1102"/>
      <c r="G158" s="1102"/>
      <c r="H158" s="1102"/>
      <c r="I158" s="1102"/>
      <c r="J158" s="1102"/>
      <c r="K158" s="1102"/>
      <c r="L158" s="5"/>
    </row>
    <row r="159" spans="1:12">
      <c r="A159" s="4" t="s">
        <v>549</v>
      </c>
      <c r="B159" s="1102"/>
      <c r="C159" s="1102"/>
      <c r="D159" s="1102"/>
      <c r="E159" s="1102"/>
      <c r="F159" s="1102"/>
      <c r="G159" s="1102"/>
      <c r="H159" s="1102"/>
      <c r="I159" s="1102"/>
      <c r="J159" s="1102"/>
      <c r="K159" s="1102"/>
      <c r="L159" s="5"/>
    </row>
    <row r="160" spans="1:12">
      <c r="A160" s="4" t="s">
        <v>550</v>
      </c>
      <c r="B160" s="1102"/>
      <c r="C160" s="1102"/>
      <c r="D160" s="1102"/>
      <c r="E160" s="1102"/>
      <c r="F160" s="1102"/>
      <c r="G160" s="1102"/>
      <c r="H160" s="1102"/>
      <c r="I160" s="1102"/>
      <c r="J160" s="1102"/>
      <c r="K160" s="1102"/>
      <c r="L160" s="5"/>
    </row>
    <row r="161" spans="1:12">
      <c r="A161" s="4"/>
      <c r="B161" s="1102"/>
      <c r="C161" s="1102"/>
      <c r="D161" s="1102"/>
      <c r="E161" s="1102"/>
      <c r="F161" s="1102"/>
      <c r="G161" s="1102"/>
      <c r="H161" s="1102"/>
      <c r="I161" s="1102"/>
      <c r="J161" s="1102"/>
      <c r="K161" s="1102"/>
      <c r="L161" s="5"/>
    </row>
    <row r="162" spans="1:12">
      <c r="A162" s="4" t="s">
        <v>43</v>
      </c>
      <c r="B162" s="1102"/>
      <c r="C162" s="1102"/>
      <c r="D162" s="1102" t="s">
        <v>44</v>
      </c>
      <c r="E162" s="1102"/>
      <c r="F162" s="1105" t="s">
        <v>551</v>
      </c>
      <c r="G162" s="1105"/>
      <c r="H162" s="1102"/>
      <c r="I162" s="1102"/>
      <c r="J162" s="1102"/>
      <c r="K162" s="1102"/>
      <c r="L162" s="5"/>
    </row>
    <row r="163" spans="1:12">
      <c r="A163" s="4"/>
      <c r="B163" s="1102"/>
      <c r="C163" s="1102"/>
      <c r="D163" s="1102"/>
      <c r="E163" s="1102"/>
      <c r="F163" s="1102"/>
      <c r="G163" s="1102"/>
      <c r="H163" s="1102"/>
      <c r="I163" s="1102"/>
      <c r="J163" s="1102"/>
      <c r="K163" s="1102"/>
      <c r="L163" s="5"/>
    </row>
    <row r="164" spans="1:12">
      <c r="A164" s="4" t="s">
        <v>552</v>
      </c>
      <c r="B164" s="1102"/>
      <c r="C164" s="1102"/>
      <c r="D164" s="1102" t="s">
        <v>553</v>
      </c>
      <c r="E164" s="1102"/>
      <c r="F164" s="1105" t="s">
        <v>948</v>
      </c>
      <c r="G164" s="1105"/>
      <c r="H164" s="1102"/>
      <c r="I164" s="1102"/>
      <c r="J164" s="1102"/>
      <c r="K164" s="1102"/>
      <c r="L164" s="5"/>
    </row>
    <row r="165" spans="1:12">
      <c r="A165" s="4"/>
      <c r="B165" s="1102"/>
      <c r="C165" s="1102"/>
      <c r="D165" s="1102"/>
      <c r="E165" s="1102"/>
      <c r="F165" s="1102"/>
      <c r="G165" s="1102"/>
      <c r="H165" s="1102"/>
      <c r="I165" s="1102"/>
      <c r="J165" s="1102"/>
      <c r="K165" s="1102"/>
      <c r="L165" s="5"/>
    </row>
    <row r="166" spans="1:12">
      <c r="A166" s="4"/>
      <c r="B166" s="1102"/>
      <c r="C166" s="1102"/>
      <c r="D166" s="1102"/>
      <c r="E166" s="1102"/>
      <c r="F166" s="1102"/>
      <c r="G166" s="1102"/>
      <c r="H166" s="1102"/>
      <c r="I166" s="1102"/>
      <c r="J166" s="1102"/>
      <c r="K166" s="1102"/>
      <c r="L166" s="5"/>
    </row>
    <row r="167" spans="1:12">
      <c r="A167" s="4"/>
      <c r="B167" s="1102"/>
      <c r="C167" s="1102"/>
      <c r="D167" s="1102"/>
      <c r="E167" s="1102"/>
      <c r="F167" s="1102"/>
      <c r="G167" s="1102"/>
      <c r="H167" s="1102"/>
      <c r="I167" s="1102"/>
      <c r="J167" s="1102"/>
      <c r="K167" s="1102"/>
      <c r="L167" s="5"/>
    </row>
    <row r="168" spans="1:12">
      <c r="A168" s="4"/>
      <c r="B168" s="1102"/>
      <c r="C168" s="1102"/>
      <c r="D168" s="1102"/>
      <c r="E168" s="1102"/>
      <c r="F168" s="1102"/>
      <c r="G168" s="1102"/>
      <c r="H168" s="1102"/>
      <c r="I168" s="1102"/>
      <c r="J168" s="1102"/>
      <c r="K168" s="1102"/>
      <c r="L168" s="5"/>
    </row>
    <row r="169" spans="1:12">
      <c r="A169" s="4"/>
      <c r="B169" s="1102"/>
      <c r="C169" s="1102"/>
      <c r="D169" s="1102"/>
      <c r="E169" s="1102"/>
      <c r="F169" s="1102"/>
      <c r="G169" s="1102"/>
      <c r="H169" s="1102"/>
      <c r="I169" s="1102"/>
      <c r="J169" s="1102"/>
      <c r="K169" s="1102"/>
      <c r="L169" s="5"/>
    </row>
    <row r="170" spans="1:12">
      <c r="A170" s="4"/>
      <c r="B170" s="1102"/>
      <c r="C170" s="1102"/>
      <c r="D170" s="1102"/>
      <c r="E170" s="1102"/>
      <c r="F170" s="1102"/>
      <c r="G170" s="1102"/>
      <c r="H170" s="1102"/>
      <c r="I170" s="1102"/>
      <c r="J170" s="1102"/>
      <c r="K170" s="1102"/>
      <c r="L170" s="5"/>
    </row>
    <row r="171" spans="1:12">
      <c r="A171" s="1063" t="s">
        <v>45</v>
      </c>
      <c r="B171" s="1105"/>
      <c r="C171" s="1102"/>
      <c r="D171" s="7"/>
      <c r="E171" s="7"/>
      <c r="F171" s="7"/>
      <c r="G171" s="7"/>
      <c r="H171" s="7"/>
      <c r="I171" s="7"/>
      <c r="J171" s="282"/>
      <c r="K171" s="1102"/>
      <c r="L171" s="5"/>
    </row>
    <row r="172" spans="1:12">
      <c r="A172" s="4"/>
      <c r="B172" s="1102"/>
      <c r="C172" s="1102"/>
      <c r="D172" s="1102"/>
      <c r="E172" s="1102"/>
      <c r="F172" s="1102"/>
      <c r="G172" s="1102"/>
      <c r="H172" s="1102"/>
      <c r="I172" s="1102"/>
      <c r="J172" s="1102"/>
      <c r="K172" s="1102"/>
      <c r="L172" s="5"/>
    </row>
    <row r="173" spans="1:12">
      <c r="A173" s="4"/>
      <c r="B173" s="1102"/>
      <c r="C173" s="1102"/>
      <c r="D173" s="1102"/>
      <c r="E173" s="1102"/>
      <c r="F173" s="1102"/>
      <c r="G173" s="1102"/>
      <c r="H173" s="1102"/>
      <c r="I173" s="1102"/>
      <c r="J173" s="1102"/>
      <c r="K173" s="1102"/>
      <c r="L173" s="5"/>
    </row>
    <row r="174" spans="1:12">
      <c r="A174" s="4" t="s">
        <v>46</v>
      </c>
      <c r="B174" s="1102"/>
      <c r="C174" s="1102"/>
      <c r="D174" s="7"/>
      <c r="E174" s="7"/>
      <c r="F174" s="7"/>
      <c r="G174" s="7"/>
      <c r="H174" s="7"/>
      <c r="I174" s="7"/>
      <c r="J174" s="282"/>
      <c r="K174" s="1102"/>
      <c r="L174" s="5"/>
    </row>
    <row r="175" spans="1:12">
      <c r="A175" s="4"/>
      <c r="B175" s="1102"/>
      <c r="C175" s="1102"/>
      <c r="D175" s="1102"/>
      <c r="E175" s="1102"/>
      <c r="F175" s="1102"/>
      <c r="G175" s="1102"/>
      <c r="H175" s="1102"/>
      <c r="I175" s="1102"/>
      <c r="J175" s="1102"/>
      <c r="K175" s="1102"/>
      <c r="L175" s="5"/>
    </row>
    <row r="176" spans="1:12">
      <c r="A176" s="4"/>
      <c r="B176" s="1102"/>
      <c r="C176" s="1102"/>
      <c r="D176" s="1102"/>
      <c r="E176" s="1102"/>
      <c r="F176" s="1102"/>
      <c r="G176" s="1102"/>
      <c r="H176" s="1102"/>
      <c r="I176" s="1102"/>
      <c r="J176" s="1102"/>
      <c r="K176" s="1102"/>
      <c r="L176" s="5"/>
    </row>
    <row r="177" spans="1:12">
      <c r="A177" s="4"/>
      <c r="B177" s="1102"/>
      <c r="C177" s="1102"/>
      <c r="D177" s="1102"/>
      <c r="E177" s="1102"/>
      <c r="F177" s="1102"/>
      <c r="G177" s="1102"/>
      <c r="H177" s="1102"/>
      <c r="I177" s="1102"/>
      <c r="J177" s="1102"/>
      <c r="K177" s="1102"/>
      <c r="L177" s="5"/>
    </row>
    <row r="178" spans="1:12">
      <c r="A178" s="4"/>
      <c r="B178" s="1102"/>
      <c r="C178" s="1102"/>
      <c r="D178" s="1102"/>
      <c r="E178" s="1102"/>
      <c r="F178" s="1102"/>
      <c r="G178" s="1102"/>
      <c r="H178" s="1102"/>
      <c r="I178" s="1102"/>
      <c r="J178" s="1102"/>
      <c r="K178" s="1102"/>
      <c r="L178" s="5"/>
    </row>
    <row r="179" spans="1:12">
      <c r="A179" s="4"/>
      <c r="B179" s="1102"/>
      <c r="C179" s="1102"/>
      <c r="D179" s="1102"/>
      <c r="E179" s="1102"/>
      <c r="F179" s="1102"/>
      <c r="G179" s="1102"/>
      <c r="H179" s="1102"/>
      <c r="I179" s="1102"/>
      <c r="J179" s="1102"/>
      <c r="K179" s="1102"/>
      <c r="L179" s="5"/>
    </row>
    <row r="180" spans="1:12">
      <c r="A180" s="4"/>
      <c r="B180" s="1102"/>
      <c r="C180" s="1102"/>
      <c r="D180" s="1102"/>
      <c r="E180" s="1102"/>
      <c r="F180" s="1102"/>
      <c r="G180" s="1102"/>
      <c r="H180" s="1102"/>
      <c r="I180" s="1102"/>
      <c r="J180" s="1102"/>
      <c r="K180" s="1102"/>
      <c r="L180" s="5"/>
    </row>
    <row r="181" spans="1:12">
      <c r="A181" s="4"/>
      <c r="B181" s="1102"/>
      <c r="C181" s="1102"/>
      <c r="D181" s="1102"/>
      <c r="E181" s="1102"/>
      <c r="F181" s="1102"/>
      <c r="G181" s="1102"/>
      <c r="H181" s="1102"/>
      <c r="I181" s="1102"/>
      <c r="J181" s="1102"/>
      <c r="K181" s="1102"/>
      <c r="L181" s="5"/>
    </row>
    <row r="182" spans="1:12">
      <c r="A182" s="6"/>
      <c r="B182" s="7"/>
      <c r="C182" s="7"/>
      <c r="D182" s="7"/>
      <c r="E182" s="7"/>
      <c r="F182" s="7"/>
      <c r="G182" s="7"/>
      <c r="H182" s="7"/>
      <c r="I182" s="7"/>
      <c r="J182" s="7"/>
      <c r="K182" s="7"/>
      <c r="L182" s="8"/>
    </row>
    <row r="183" spans="1:12">
      <c r="L183" s="1102"/>
    </row>
    <row r="184" spans="1:12">
      <c r="L184" s="1102"/>
    </row>
    <row r="185" spans="1:12">
      <c r="A185" s="1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3"/>
    </row>
    <row r="186" spans="1:12">
      <c r="A186" s="4"/>
      <c r="B186" s="1121" t="s">
        <v>47</v>
      </c>
      <c r="C186" s="1121"/>
      <c r="D186" s="1121"/>
      <c r="E186" s="1121"/>
      <c r="F186" s="1102"/>
      <c r="G186" s="1102"/>
      <c r="H186" s="1102"/>
      <c r="I186" s="1102"/>
      <c r="J186" s="1102"/>
      <c r="K186" s="1102"/>
      <c r="L186" s="5"/>
    </row>
    <row r="187" spans="1:12">
      <c r="A187" s="4"/>
      <c r="B187" s="1102"/>
      <c r="C187" s="1102"/>
      <c r="D187" s="1102"/>
      <c r="E187" s="1102"/>
      <c r="F187" s="1102"/>
      <c r="G187" s="1102"/>
      <c r="H187" s="1102"/>
      <c r="I187" s="1102"/>
      <c r="J187" s="1102"/>
      <c r="K187" s="1102"/>
      <c r="L187" s="5"/>
    </row>
    <row r="188" spans="1:12">
      <c r="A188" s="4"/>
      <c r="B188" s="1102" t="s">
        <v>949</v>
      </c>
      <c r="C188" s="1102"/>
      <c r="D188" s="1102"/>
      <c r="E188" s="1102"/>
      <c r="F188" s="1102"/>
      <c r="G188" s="1102"/>
      <c r="H188" s="1102"/>
      <c r="I188" s="1102"/>
      <c r="J188" s="1102"/>
      <c r="K188" s="1102"/>
      <c r="L188" s="5"/>
    </row>
    <row r="189" spans="1:12">
      <c r="A189" s="4"/>
      <c r="B189" s="1102" t="s">
        <v>950</v>
      </c>
      <c r="C189" s="1102"/>
      <c r="D189" s="1102"/>
      <c r="E189" s="1102"/>
      <c r="F189" s="1102"/>
      <c r="G189" s="1102"/>
      <c r="H189" s="1102"/>
      <c r="I189" s="1102"/>
      <c r="J189" s="1102"/>
      <c r="K189" s="1102"/>
      <c r="L189" s="5"/>
    </row>
    <row r="190" spans="1:12">
      <c r="A190" s="4"/>
      <c r="B190" s="1102" t="s">
        <v>951</v>
      </c>
      <c r="C190" s="1102"/>
      <c r="D190" s="1102"/>
      <c r="E190" s="1102"/>
      <c r="F190" s="1102"/>
      <c r="G190" s="1102"/>
      <c r="H190" s="1102"/>
      <c r="I190" s="1102"/>
      <c r="J190" s="1102"/>
      <c r="K190" s="1102"/>
      <c r="L190" s="5"/>
    </row>
    <row r="191" spans="1:12">
      <c r="A191" s="4"/>
      <c r="B191" s="1102"/>
      <c r="C191" s="1102"/>
      <c r="D191" s="1102"/>
      <c r="E191" s="1102"/>
      <c r="F191" s="1102"/>
      <c r="G191" s="1102"/>
      <c r="H191" s="1102"/>
      <c r="I191" s="1102"/>
      <c r="J191" s="1102"/>
      <c r="K191" s="1102"/>
      <c r="L191" s="5"/>
    </row>
    <row r="192" spans="1:12">
      <c r="A192" s="4"/>
      <c r="B192" s="1102" t="s">
        <v>34</v>
      </c>
      <c r="C192" s="1102"/>
      <c r="D192" s="7"/>
      <c r="E192" s="7"/>
      <c r="F192" s="7"/>
      <c r="G192" s="7"/>
      <c r="H192" s="1102" t="s">
        <v>48</v>
      </c>
      <c r="I192" s="1102"/>
      <c r="J192" s="1102"/>
      <c r="K192" s="1102"/>
      <c r="L192" s="5"/>
    </row>
    <row r="193" spans="1:12">
      <c r="A193" s="4"/>
      <c r="B193" s="1102"/>
      <c r="C193" s="1102"/>
      <c r="D193" s="1102"/>
      <c r="E193" s="1102"/>
      <c r="F193" s="1102"/>
      <c r="G193" s="1102"/>
      <c r="H193" s="1102"/>
      <c r="I193" s="1102"/>
      <c r="J193" s="1102"/>
      <c r="K193" s="1102"/>
      <c r="L193" s="5"/>
    </row>
    <row r="194" spans="1:12">
      <c r="A194" s="4"/>
      <c r="B194" s="1102"/>
      <c r="C194" s="1102"/>
      <c r="D194" s="1102"/>
      <c r="E194" s="1102"/>
      <c r="F194" s="1102"/>
      <c r="G194" s="1102"/>
      <c r="H194" s="1102"/>
      <c r="I194" s="1102"/>
      <c r="J194" s="1102"/>
      <c r="K194" s="1102"/>
      <c r="L194" s="5"/>
    </row>
    <row r="195" spans="1:12">
      <c r="A195" s="4"/>
      <c r="B195" s="1103" t="s">
        <v>49</v>
      </c>
      <c r="C195" s="1102" t="s">
        <v>952</v>
      </c>
      <c r="D195" s="1102"/>
      <c r="E195" s="1102"/>
      <c r="F195" s="1102"/>
      <c r="G195" s="1102"/>
      <c r="H195" s="1102"/>
      <c r="I195" s="1102"/>
      <c r="J195" s="1102"/>
      <c r="K195" s="1102"/>
      <c r="L195" s="5"/>
    </row>
    <row r="196" spans="1:12">
      <c r="A196" s="4"/>
      <c r="B196" s="1102"/>
      <c r="C196" s="1102"/>
      <c r="D196" s="1102"/>
      <c r="E196" s="1102"/>
      <c r="F196" s="1102"/>
      <c r="G196" s="1102"/>
      <c r="H196" s="1102"/>
      <c r="I196" s="1102"/>
      <c r="J196" s="1102"/>
      <c r="K196" s="1102"/>
      <c r="L196" s="5"/>
    </row>
    <row r="197" spans="1:12">
      <c r="A197" s="4"/>
      <c r="B197" s="7"/>
      <c r="C197" s="7"/>
      <c r="D197" s="7"/>
      <c r="E197" s="7"/>
      <c r="F197" s="7"/>
      <c r="G197" s="7"/>
      <c r="H197" s="7"/>
      <c r="I197" s="7"/>
      <c r="J197" s="1102"/>
      <c r="K197" s="1102"/>
      <c r="L197" s="5"/>
    </row>
    <row r="198" spans="1:12">
      <c r="A198" s="4"/>
      <c r="B198" s="1102"/>
      <c r="C198" s="1102"/>
      <c r="D198" s="1102"/>
      <c r="E198" s="1102"/>
      <c r="F198" s="1102"/>
      <c r="G198" s="1102"/>
      <c r="H198" s="1102"/>
      <c r="I198" s="1102"/>
      <c r="J198" s="1102"/>
      <c r="K198" s="1102"/>
      <c r="L198" s="5"/>
    </row>
    <row r="199" spans="1:12">
      <c r="A199" s="4"/>
      <c r="B199" s="1103" t="s">
        <v>49</v>
      </c>
      <c r="C199" s="1102" t="s">
        <v>953</v>
      </c>
      <c r="D199" s="1102"/>
      <c r="E199" s="1102"/>
      <c r="F199" s="1102"/>
      <c r="G199" s="1102"/>
      <c r="H199" s="1102"/>
      <c r="I199" s="1102"/>
      <c r="J199" s="1102"/>
      <c r="K199" s="1102"/>
      <c r="L199" s="5"/>
    </row>
    <row r="200" spans="1:12">
      <c r="A200" s="4"/>
      <c r="B200" s="1102"/>
      <c r="C200" s="1102" t="s">
        <v>555</v>
      </c>
      <c r="D200" s="1102"/>
      <c r="E200" s="1102"/>
      <c r="F200" s="1102"/>
      <c r="G200" s="1102"/>
      <c r="H200" s="1102"/>
      <c r="I200" s="1102"/>
      <c r="J200" s="1102"/>
      <c r="K200" s="1102"/>
      <c r="L200" s="5"/>
    </row>
    <row r="201" spans="1:12">
      <c r="A201" s="4"/>
      <c r="B201" s="1102"/>
      <c r="C201" s="1102"/>
      <c r="D201" s="1102"/>
      <c r="E201" s="1102"/>
      <c r="F201" s="1102"/>
      <c r="G201" s="1102"/>
      <c r="H201" s="1102"/>
      <c r="I201" s="1102"/>
      <c r="J201" s="1102"/>
      <c r="K201" s="1102"/>
      <c r="L201" s="5"/>
    </row>
    <row r="202" spans="1:12">
      <c r="A202" s="4"/>
      <c r="B202" s="1102"/>
      <c r="C202" s="1102" t="s">
        <v>50</v>
      </c>
      <c r="D202" s="1102"/>
      <c r="E202" s="1102"/>
      <c r="F202" s="1102"/>
      <c r="G202" s="1102"/>
      <c r="H202" s="1102"/>
      <c r="I202" s="1102"/>
      <c r="J202" s="1102"/>
      <c r="K202" s="1102"/>
      <c r="L202" s="5"/>
    </row>
    <row r="203" spans="1:12">
      <c r="A203" s="4"/>
      <c r="B203" s="1102"/>
      <c r="C203" s="1102"/>
      <c r="D203" s="1102"/>
      <c r="E203" s="1102"/>
      <c r="F203" s="1102"/>
      <c r="G203" s="1102"/>
      <c r="H203" s="1102"/>
      <c r="I203" s="1102"/>
      <c r="J203" s="1102"/>
      <c r="K203" s="1102"/>
      <c r="L203" s="5"/>
    </row>
    <row r="204" spans="1:12">
      <c r="A204" s="4"/>
      <c r="B204" s="1102"/>
      <c r="C204" s="1102" t="s">
        <v>51</v>
      </c>
      <c r="D204" s="1102"/>
      <c r="E204" s="1102"/>
      <c r="F204" s="1102"/>
      <c r="G204" s="1102"/>
      <c r="H204" s="1102"/>
      <c r="I204" s="1102"/>
      <c r="J204" s="1102"/>
      <c r="K204" s="1102"/>
      <c r="L204" s="5"/>
    </row>
    <row r="205" spans="1:12">
      <c r="A205" s="4"/>
      <c r="B205" s="1102"/>
      <c r="C205" s="1102"/>
      <c r="D205" s="1102"/>
      <c r="E205" s="1102"/>
      <c r="F205" s="1102"/>
      <c r="G205" s="1102"/>
      <c r="H205" s="1102"/>
      <c r="I205" s="1102"/>
      <c r="J205" s="1102"/>
      <c r="K205" s="1102"/>
      <c r="L205" s="5"/>
    </row>
    <row r="206" spans="1:12">
      <c r="A206" s="4"/>
      <c r="B206" s="1102"/>
      <c r="C206" s="1102"/>
      <c r="D206" s="1102"/>
      <c r="E206" s="1102"/>
      <c r="F206" s="1102"/>
      <c r="G206" s="1102"/>
      <c r="H206" s="1102"/>
      <c r="I206" s="1102"/>
      <c r="J206" s="1102"/>
      <c r="K206" s="1102"/>
      <c r="L206" s="5"/>
    </row>
    <row r="207" spans="1:12">
      <c r="A207" s="4"/>
      <c r="B207" s="1102"/>
      <c r="C207" s="1102"/>
      <c r="D207" s="1102"/>
      <c r="E207" s="1102"/>
      <c r="F207" s="1102"/>
      <c r="G207" s="1102"/>
      <c r="H207" s="1102"/>
      <c r="I207" s="1102"/>
      <c r="J207" s="1102"/>
      <c r="K207" s="1102"/>
      <c r="L207" s="5"/>
    </row>
    <row r="208" spans="1:12">
      <c r="A208" s="4"/>
      <c r="B208" s="1102"/>
      <c r="C208" s="1102"/>
      <c r="D208" s="1102"/>
      <c r="E208" s="1102"/>
      <c r="F208" s="1102"/>
      <c r="G208" s="1102"/>
      <c r="H208" s="1102"/>
      <c r="I208" s="1102"/>
      <c r="J208" s="1102"/>
      <c r="K208" s="1102"/>
      <c r="L208" s="5"/>
    </row>
    <row r="209" spans="1:12">
      <c r="A209" s="4"/>
      <c r="B209" s="1102"/>
      <c r="C209" s="1102"/>
      <c r="D209" s="1102"/>
      <c r="E209" s="1102"/>
      <c r="F209" s="1102"/>
      <c r="G209" s="1102"/>
      <c r="H209" s="1102"/>
      <c r="I209" s="1102"/>
      <c r="J209" s="1102"/>
      <c r="K209" s="1102"/>
      <c r="L209" s="5"/>
    </row>
    <row r="210" spans="1:12">
      <c r="A210" s="4"/>
      <c r="B210" s="1102"/>
      <c r="C210" s="1102"/>
      <c r="D210" s="1102"/>
      <c r="E210" s="1102"/>
      <c r="F210" s="1102"/>
      <c r="G210" s="1102"/>
      <c r="H210" s="1102"/>
      <c r="I210" s="1102"/>
      <c r="J210" s="1102"/>
      <c r="K210" s="1102"/>
      <c r="L210" s="5"/>
    </row>
    <row r="211" spans="1:12">
      <c r="A211" s="4"/>
      <c r="B211" s="1102"/>
      <c r="C211" s="1102"/>
      <c r="D211" s="1102"/>
      <c r="E211" s="1102"/>
      <c r="F211" s="1102"/>
      <c r="G211" s="1102"/>
      <c r="H211" s="1102"/>
      <c r="I211" s="1102"/>
      <c r="J211" s="1102"/>
      <c r="K211" s="1102"/>
      <c r="L211" s="5"/>
    </row>
    <row r="212" spans="1:12">
      <c r="A212" s="4"/>
      <c r="B212" s="1102"/>
      <c r="C212" s="1102"/>
      <c r="D212" s="1102"/>
      <c r="E212" s="1102"/>
      <c r="F212" s="1102"/>
      <c r="G212" s="1102"/>
      <c r="H212" s="1102"/>
      <c r="I212" s="1102"/>
      <c r="J212" s="1102"/>
      <c r="K212" s="1102"/>
      <c r="L212" s="5"/>
    </row>
    <row r="213" spans="1:12">
      <c r="A213" s="4"/>
      <c r="B213" s="1102"/>
      <c r="C213" s="1102"/>
      <c r="D213" s="1102"/>
      <c r="E213" s="1102"/>
      <c r="F213" s="1102"/>
      <c r="G213" s="1102"/>
      <c r="H213" s="1102"/>
      <c r="I213" s="1102"/>
      <c r="J213" s="1102"/>
      <c r="K213" s="1102"/>
      <c r="L213" s="5"/>
    </row>
    <row r="214" spans="1:12">
      <c r="A214" s="4"/>
      <c r="B214" s="1102" t="s">
        <v>954</v>
      </c>
      <c r="C214" s="1102"/>
      <c r="D214" s="1102"/>
      <c r="E214" s="1102"/>
      <c r="F214" s="1102"/>
      <c r="G214" s="1102"/>
      <c r="H214" s="1102"/>
      <c r="I214" s="1102"/>
      <c r="J214" s="1102"/>
      <c r="K214" s="1102"/>
      <c r="L214" s="5"/>
    </row>
    <row r="215" spans="1:12">
      <c r="A215" s="6"/>
      <c r="B215" s="7"/>
      <c r="C215" s="7"/>
      <c r="D215" s="7"/>
      <c r="E215" s="7"/>
      <c r="F215" s="7"/>
      <c r="G215" s="7"/>
      <c r="H215" s="7"/>
      <c r="I215" s="7"/>
      <c r="J215" s="7"/>
      <c r="K215" s="7"/>
      <c r="L215" s="8"/>
    </row>
    <row r="216" spans="1:12">
      <c r="L216" s="1102"/>
    </row>
    <row r="217" spans="1:12">
      <c r="A217" s="1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3"/>
    </row>
    <row r="218" spans="1:12">
      <c r="A218" s="4"/>
      <c r="B218" s="1110" t="s">
        <v>955</v>
      </c>
      <c r="C218" s="1102"/>
      <c r="D218" s="1102"/>
      <c r="E218" s="1102"/>
      <c r="F218" s="1102"/>
      <c r="G218" s="1102"/>
      <c r="H218" s="1102"/>
      <c r="I218" s="1102"/>
      <c r="J218" s="1102"/>
      <c r="K218" s="1102"/>
      <c r="L218" s="5"/>
    </row>
    <row r="219" spans="1:12">
      <c r="A219" s="4"/>
      <c r="B219" s="1102"/>
      <c r="C219" s="1102"/>
      <c r="D219" s="1102"/>
      <c r="E219" s="1102"/>
      <c r="F219" s="1102"/>
      <c r="G219" s="1102"/>
      <c r="H219" s="1102"/>
      <c r="I219" s="1102"/>
      <c r="J219" s="1102"/>
      <c r="K219" s="1102"/>
      <c r="L219" s="5"/>
    </row>
    <row r="220" spans="1:12">
      <c r="A220" s="4"/>
      <c r="B220" s="1105" t="s">
        <v>956</v>
      </c>
      <c r="C220" s="1105"/>
      <c r="D220" s="1105"/>
      <c r="E220" s="1105"/>
      <c r="F220" s="1105"/>
      <c r="G220" s="1105"/>
      <c r="H220" s="1105"/>
      <c r="I220" s="1105"/>
      <c r="J220" s="1105"/>
      <c r="K220" s="1102"/>
      <c r="L220" s="5"/>
    </row>
    <row r="221" spans="1:12">
      <c r="A221" s="4"/>
      <c r="B221" s="1105" t="s">
        <v>957</v>
      </c>
      <c r="C221" s="1105"/>
      <c r="D221" s="1105"/>
      <c r="E221" s="1105"/>
      <c r="F221" s="1105"/>
      <c r="G221" s="1105"/>
      <c r="H221" s="1105"/>
      <c r="I221" s="1105"/>
      <c r="J221" s="1105"/>
      <c r="K221" s="1105"/>
      <c r="L221" s="5"/>
    </row>
    <row r="222" spans="1:12">
      <c r="A222" s="4"/>
      <c r="B222" s="1105" t="s">
        <v>951</v>
      </c>
      <c r="C222" s="1105"/>
      <c r="D222" s="1105"/>
      <c r="E222" s="1105"/>
      <c r="F222" s="1105"/>
      <c r="G222" s="1105"/>
      <c r="H222" s="1105"/>
      <c r="I222" s="1105"/>
      <c r="J222" s="1105"/>
      <c r="K222" s="1105"/>
      <c r="L222" s="5"/>
    </row>
    <row r="223" spans="1:12">
      <c r="A223" s="4"/>
      <c r="B223" s="1102"/>
      <c r="C223" s="1102"/>
      <c r="D223" s="1102"/>
      <c r="E223" s="1102"/>
      <c r="F223" s="1102"/>
      <c r="G223" s="1102"/>
      <c r="H223" s="1102"/>
      <c r="I223" s="1102"/>
      <c r="J223" s="1102"/>
      <c r="K223" s="1102"/>
      <c r="L223" s="5"/>
    </row>
    <row r="224" spans="1:12">
      <c r="A224" s="4"/>
      <c r="B224" s="1105" t="s">
        <v>958</v>
      </c>
      <c r="C224" s="1105"/>
      <c r="D224" s="7"/>
      <c r="E224" s="7"/>
      <c r="F224" s="7"/>
      <c r="G224" s="7"/>
      <c r="H224" s="1105" t="s">
        <v>959</v>
      </c>
      <c r="I224" s="1105"/>
      <c r="J224" s="1105"/>
      <c r="K224" s="1105"/>
      <c r="L224" s="5"/>
    </row>
    <row r="225" spans="1:12">
      <c r="A225" s="4"/>
      <c r="B225" s="1102"/>
      <c r="C225" s="1102"/>
      <c r="D225" s="1102"/>
      <c r="E225" s="1102"/>
      <c r="F225" s="1102"/>
      <c r="G225" s="1102"/>
      <c r="H225" s="1102"/>
      <c r="I225" s="1102"/>
      <c r="J225" s="1102"/>
      <c r="K225" s="1102"/>
      <c r="L225" s="5"/>
    </row>
    <row r="226" spans="1:12">
      <c r="A226" s="4"/>
      <c r="B226" s="1102"/>
      <c r="C226" s="1102"/>
      <c r="D226" s="1102"/>
      <c r="E226" s="1102"/>
      <c r="F226" s="1102"/>
      <c r="G226" s="1102"/>
      <c r="H226" s="1102"/>
      <c r="I226" s="1102"/>
      <c r="J226" s="1102"/>
      <c r="K226" s="1102"/>
      <c r="L226" s="5"/>
    </row>
    <row r="227" spans="1:12">
      <c r="A227" s="4"/>
      <c r="B227" s="1115" t="s">
        <v>49</v>
      </c>
      <c r="C227" s="1102" t="s">
        <v>559</v>
      </c>
      <c r="D227" s="1102"/>
      <c r="E227" s="1102"/>
      <c r="F227" s="1102"/>
      <c r="G227" s="1102"/>
      <c r="H227" s="1102"/>
      <c r="I227" s="1102"/>
      <c r="J227" s="1102"/>
      <c r="K227" s="1102"/>
      <c r="L227" s="5"/>
    </row>
    <row r="228" spans="1:12">
      <c r="A228" s="4"/>
      <c r="B228" s="1115"/>
      <c r="C228" s="1102"/>
      <c r="D228" s="1102"/>
      <c r="E228" s="1102"/>
      <c r="F228" s="1102"/>
      <c r="G228" s="1102"/>
      <c r="H228" s="1102"/>
      <c r="I228" s="1102"/>
      <c r="J228" s="1102"/>
      <c r="K228" s="1102"/>
      <c r="L228" s="5"/>
    </row>
    <row r="229" spans="1:12">
      <c r="A229" s="4"/>
      <c r="B229" s="1115" t="s">
        <v>49</v>
      </c>
      <c r="C229" s="1102" t="s">
        <v>560</v>
      </c>
      <c r="D229" s="1102"/>
      <c r="E229" s="1102"/>
      <c r="F229" s="1102"/>
      <c r="G229" s="1102"/>
      <c r="H229" s="1102"/>
      <c r="I229" s="1102"/>
      <c r="J229" s="1102"/>
      <c r="K229" s="1102"/>
      <c r="L229" s="5"/>
    </row>
    <row r="230" spans="1:12">
      <c r="A230" s="4"/>
      <c r="B230" s="1115"/>
      <c r="C230" s="1102" t="s">
        <v>54</v>
      </c>
      <c r="D230" s="1102"/>
      <c r="E230" s="1102"/>
      <c r="F230" s="1102"/>
      <c r="G230" s="1102"/>
      <c r="H230" s="1102"/>
      <c r="I230" s="1102"/>
      <c r="J230" s="1102"/>
      <c r="K230" s="1102"/>
      <c r="L230" s="5"/>
    </row>
    <row r="231" spans="1:12">
      <c r="A231" s="4"/>
      <c r="B231" s="1102"/>
      <c r="C231" s="1102"/>
      <c r="D231" s="1102"/>
      <c r="E231" s="1102"/>
      <c r="F231" s="1102"/>
      <c r="G231" s="1102"/>
      <c r="H231" s="1102"/>
      <c r="I231" s="1102"/>
      <c r="J231" s="1102"/>
      <c r="K231" s="1102"/>
      <c r="L231" s="5"/>
    </row>
    <row r="232" spans="1:12">
      <c r="A232" s="4"/>
      <c r="B232" s="1102" t="s">
        <v>960</v>
      </c>
      <c r="C232" s="1102"/>
      <c r="D232" s="1102"/>
      <c r="E232" s="1102"/>
      <c r="F232" s="1102"/>
      <c r="G232" s="1102"/>
      <c r="H232" s="1102"/>
      <c r="I232" s="1102"/>
      <c r="J232" s="1102"/>
      <c r="K232" s="1102"/>
      <c r="L232" s="5"/>
    </row>
    <row r="233" spans="1:12">
      <c r="A233" s="4"/>
      <c r="B233" s="1102"/>
      <c r="C233" s="1102"/>
      <c r="D233" s="1102"/>
      <c r="E233" s="1102"/>
      <c r="F233" s="1102"/>
      <c r="G233" s="1102"/>
      <c r="H233" s="1102"/>
      <c r="I233" s="1102"/>
      <c r="J233" s="1102"/>
      <c r="K233" s="1102"/>
      <c r="L233" s="5"/>
    </row>
    <row r="234" spans="1:12">
      <c r="A234" s="4"/>
      <c r="B234" s="1102"/>
      <c r="C234" s="1102"/>
      <c r="D234" s="1102"/>
      <c r="E234" s="1102"/>
      <c r="F234" s="1102"/>
      <c r="G234" s="1102"/>
      <c r="H234" s="1102"/>
      <c r="I234" s="1102"/>
      <c r="J234" s="1102"/>
      <c r="K234" s="1102"/>
      <c r="L234" s="5"/>
    </row>
    <row r="235" spans="1:12">
      <c r="A235" s="4"/>
      <c r="B235" s="1102"/>
      <c r="C235" s="1102"/>
      <c r="D235" s="1102"/>
      <c r="E235" s="1102"/>
      <c r="F235" s="1102"/>
      <c r="G235" s="1102"/>
      <c r="H235" s="1102"/>
      <c r="I235" s="1102"/>
      <c r="J235" s="1102"/>
      <c r="K235" s="1102"/>
      <c r="L235" s="5"/>
    </row>
    <row r="236" spans="1:12">
      <c r="A236" s="4"/>
      <c r="B236" s="1102"/>
      <c r="C236" s="1102"/>
      <c r="D236" s="1102"/>
      <c r="E236" s="1102"/>
      <c r="F236" s="1102"/>
      <c r="G236" s="1102"/>
      <c r="H236" s="1102"/>
      <c r="I236" s="1102"/>
      <c r="J236" s="1102"/>
      <c r="K236" s="1102"/>
      <c r="L236" s="5"/>
    </row>
    <row r="237" spans="1:12">
      <c r="A237" s="4"/>
      <c r="B237" s="1102"/>
      <c r="C237" s="1102"/>
      <c r="D237" s="1102"/>
      <c r="E237" s="1102"/>
      <c r="F237" s="1102"/>
      <c r="G237" s="1102"/>
      <c r="H237" s="1102"/>
      <c r="I237" s="1102"/>
      <c r="J237" s="1102"/>
      <c r="K237" s="1102"/>
      <c r="L237" s="5"/>
    </row>
    <row r="238" spans="1:12">
      <c r="A238" s="4"/>
      <c r="B238" s="1102"/>
      <c r="C238" s="1102"/>
      <c r="D238" s="1102"/>
      <c r="E238" s="1102"/>
      <c r="F238" s="1102"/>
      <c r="G238" s="1102"/>
      <c r="H238" s="1102"/>
      <c r="I238" s="1102"/>
      <c r="J238" s="1102"/>
      <c r="K238" s="1102"/>
      <c r="L238" s="5"/>
    </row>
    <row r="239" spans="1:12">
      <c r="A239" s="4"/>
      <c r="B239" s="1102"/>
      <c r="C239" s="1102"/>
      <c r="D239" s="1102"/>
      <c r="E239" s="1102"/>
      <c r="F239" s="1102"/>
      <c r="G239" s="1102"/>
      <c r="H239" s="1102"/>
      <c r="I239" s="1102"/>
      <c r="J239" s="1102"/>
      <c r="K239" s="1102"/>
      <c r="L239" s="5"/>
    </row>
    <row r="240" spans="1:12">
      <c r="A240" s="4"/>
      <c r="B240" s="1102"/>
      <c r="C240" s="1102"/>
      <c r="D240" s="1102"/>
      <c r="E240" s="1102"/>
      <c r="F240" s="1102"/>
      <c r="G240" s="1102"/>
      <c r="H240" s="1102"/>
      <c r="I240" s="1102"/>
      <c r="J240" s="1102"/>
      <c r="K240" s="1102"/>
      <c r="L240" s="5"/>
    </row>
    <row r="241" spans="1:12">
      <c r="A241" s="4"/>
      <c r="B241" s="1102"/>
      <c r="C241" s="1102"/>
      <c r="D241" s="1102"/>
      <c r="E241" s="1102"/>
      <c r="F241" s="1102"/>
      <c r="G241" s="1102"/>
      <c r="H241" s="1102"/>
      <c r="I241" s="1102"/>
      <c r="J241" s="1102"/>
      <c r="K241" s="1102"/>
      <c r="L241" s="5"/>
    </row>
    <row r="242" spans="1:12">
      <c r="A242" s="4"/>
      <c r="B242" s="1102"/>
      <c r="C242" s="1102"/>
      <c r="D242" s="1102"/>
      <c r="E242" s="1102"/>
      <c r="F242" s="1102"/>
      <c r="G242" s="1102"/>
      <c r="H242" s="1102"/>
      <c r="I242" s="1102"/>
      <c r="J242" s="1102"/>
      <c r="K242" s="1102"/>
      <c r="L242" s="5"/>
    </row>
    <row r="243" spans="1:12">
      <c r="A243" s="4"/>
      <c r="B243" s="1102"/>
      <c r="C243" s="1102"/>
      <c r="D243" s="1102"/>
      <c r="E243" s="1102"/>
      <c r="F243" s="1102"/>
      <c r="G243" s="1102"/>
      <c r="H243" s="1102"/>
      <c r="I243" s="1102"/>
      <c r="J243" s="1102"/>
      <c r="K243" s="1102"/>
      <c r="L243" s="5"/>
    </row>
    <row r="244" spans="1:12">
      <c r="A244" s="6"/>
      <c r="B244" s="7" t="s">
        <v>954</v>
      </c>
      <c r="C244" s="7"/>
      <c r="D244" s="7"/>
      <c r="E244" s="7"/>
      <c r="F244" s="7"/>
      <c r="G244" s="7"/>
      <c r="H244" s="7"/>
      <c r="I244" s="7"/>
      <c r="J244" s="7"/>
      <c r="K244" s="7"/>
      <c r="L244" s="8"/>
    </row>
    <row r="245" spans="1:12">
      <c r="L245" s="1102"/>
    </row>
    <row r="246" spans="1:12">
      <c r="A246" s="54" t="s">
        <v>961</v>
      </c>
      <c r="B246" s="54"/>
      <c r="C246" s="54"/>
      <c r="D246" s="54"/>
      <c r="E246" s="54"/>
      <c r="F246" s="54"/>
      <c r="G246" s="54"/>
      <c r="H246" s="54"/>
      <c r="I246" s="54"/>
      <c r="L246" s="1102"/>
    </row>
    <row r="247" spans="1:12">
      <c r="A247" s="54" t="s">
        <v>989</v>
      </c>
      <c r="B247" s="54"/>
      <c r="C247" s="54"/>
      <c r="D247" s="54"/>
      <c r="E247" s="54"/>
      <c r="F247" s="54"/>
      <c r="G247" s="54"/>
      <c r="H247" s="54"/>
      <c r="I247" s="54"/>
      <c r="L247" s="1102"/>
    </row>
    <row r="248" spans="1:12">
      <c r="A248" s="10" t="s">
        <v>962</v>
      </c>
      <c r="B248" s="54"/>
      <c r="C248" s="54"/>
      <c r="D248" s="54"/>
      <c r="E248" s="54"/>
      <c r="F248" s="54"/>
      <c r="G248" s="54"/>
      <c r="H248" s="54"/>
      <c r="I248" s="54"/>
      <c r="L248" s="1102"/>
    </row>
    <row r="249" spans="1:12">
      <c r="L249" s="1102"/>
    </row>
    <row r="250" spans="1:12">
      <c r="L250" s="1102"/>
    </row>
    <row r="251" spans="1:12">
      <c r="C251" s="1069" t="s">
        <v>55</v>
      </c>
      <c r="D251" s="1069"/>
      <c r="E251" s="1069"/>
      <c r="F251" s="1069"/>
      <c r="G251" s="1069"/>
      <c r="H251" s="1069"/>
      <c r="I251" s="1069"/>
      <c r="L251" s="1102"/>
    </row>
    <row r="252" spans="1:12">
      <c r="C252" s="1069"/>
      <c r="D252" s="1069"/>
      <c r="E252" s="1069"/>
      <c r="F252" s="1069"/>
      <c r="G252" s="1069"/>
      <c r="H252" s="1069"/>
      <c r="I252" s="1069"/>
      <c r="L252" s="1102"/>
    </row>
    <row r="253" spans="1:12">
      <c r="C253" s="1069"/>
      <c r="D253" s="1069"/>
      <c r="E253" s="1069"/>
      <c r="F253" s="1069"/>
      <c r="G253" s="1069"/>
      <c r="H253" s="1069"/>
      <c r="I253" s="1069"/>
      <c r="L253" s="1102"/>
    </row>
    <row r="254" spans="1:12" ht="17.25" customHeight="1">
      <c r="C254" s="1070"/>
      <c r="D254" s="1070"/>
      <c r="E254" s="1070"/>
      <c r="F254" s="1070"/>
      <c r="G254" s="1070"/>
      <c r="H254" s="1070"/>
      <c r="I254" s="1070"/>
      <c r="L254" s="1102"/>
    </row>
    <row r="255" spans="1:12">
      <c r="A255" s="1145" t="s">
        <v>990</v>
      </c>
      <c r="B255" s="1125"/>
      <c r="C255" s="1125"/>
      <c r="D255" s="1125"/>
      <c r="E255" s="1125"/>
      <c r="F255" s="1125"/>
      <c r="G255" s="1125"/>
      <c r="H255" s="1125"/>
      <c r="I255" s="1125"/>
      <c r="J255" s="1125"/>
      <c r="K255" s="1146"/>
      <c r="L255" s="1147"/>
    </row>
    <row r="256" spans="1:12">
      <c r="A256" s="1148"/>
      <c r="B256" s="1148"/>
      <c r="C256" s="1148"/>
      <c r="D256" s="67"/>
      <c r="E256" s="1148"/>
      <c r="F256" s="1148"/>
      <c r="G256" s="1148"/>
      <c r="H256" s="1148"/>
      <c r="I256" s="1148"/>
      <c r="J256" s="1148"/>
      <c r="K256" s="1148"/>
      <c r="L256" s="1149"/>
    </row>
    <row r="257" spans="1:12">
      <c r="A257" s="1148" t="s">
        <v>563</v>
      </c>
      <c r="B257" s="1148"/>
      <c r="C257" s="1148"/>
      <c r="D257" s="1150">
        <f>F270*F271</f>
        <v>0</v>
      </c>
      <c r="E257" s="1151"/>
      <c r="F257" s="1152" t="s">
        <v>963</v>
      </c>
      <c r="G257" s="1153"/>
      <c r="H257" s="1153"/>
      <c r="I257" s="1154"/>
      <c r="J257" s="1155"/>
      <c r="K257" s="1155"/>
      <c r="L257" s="1156"/>
    </row>
    <row r="258" spans="1:12">
      <c r="A258" s="1148"/>
      <c r="B258" s="1148"/>
      <c r="C258" s="1148"/>
      <c r="D258" s="1148"/>
      <c r="E258" s="1148"/>
      <c r="F258" s="1148"/>
      <c r="G258" s="1148"/>
      <c r="H258" s="1148"/>
      <c r="I258" s="1148"/>
      <c r="J258" s="1148"/>
      <c r="K258" s="1148"/>
      <c r="L258" s="1149"/>
    </row>
    <row r="259" spans="1:12">
      <c r="A259" s="567" t="s">
        <v>56</v>
      </c>
      <c r="B259" s="1071"/>
      <c r="C259" s="568"/>
      <c r="D259" s="567" t="s">
        <v>57</v>
      </c>
      <c r="E259" s="568"/>
      <c r="F259" s="567" t="s">
        <v>58</v>
      </c>
      <c r="G259" s="568"/>
      <c r="H259" s="567" t="s">
        <v>59</v>
      </c>
      <c r="I259" s="1071"/>
      <c r="J259" s="1071"/>
      <c r="K259" s="1071"/>
      <c r="L259" s="568"/>
    </row>
    <row r="260" spans="1:12">
      <c r="A260" s="569"/>
      <c r="B260" s="1074"/>
      <c r="C260" s="570"/>
      <c r="D260" s="569"/>
      <c r="E260" s="570"/>
      <c r="F260" s="1072"/>
      <c r="G260" s="1073"/>
      <c r="H260" s="569"/>
      <c r="I260" s="1074"/>
      <c r="J260" s="1074"/>
      <c r="K260" s="1074"/>
      <c r="L260" s="570"/>
    </row>
    <row r="261" spans="1:12" ht="24.95" customHeight="1">
      <c r="A261" s="1157"/>
      <c r="B261" s="1158"/>
      <c r="C261" s="1159"/>
      <c r="D261" s="1160">
        <v>24573.119999999999</v>
      </c>
      <c r="E261" s="1161" t="s">
        <v>198</v>
      </c>
      <c r="F261" s="1162">
        <v>0</v>
      </c>
      <c r="G261" s="1161" t="s">
        <v>198</v>
      </c>
      <c r="H261" s="1163"/>
      <c r="I261" s="1164">
        <f>D261-F261</f>
        <v>24573.119999999999</v>
      </c>
      <c r="J261" s="1165" t="s">
        <v>198</v>
      </c>
      <c r="K261" s="1166"/>
      <c r="L261" s="1167"/>
    </row>
    <row r="262" spans="1:12" ht="24.95" customHeight="1">
      <c r="A262" s="1157"/>
      <c r="B262" s="1158"/>
      <c r="C262" s="1159"/>
      <c r="D262" s="1160"/>
      <c r="E262" s="1161" t="s">
        <v>198</v>
      </c>
      <c r="F262" s="1168"/>
      <c r="G262" s="1161" t="s">
        <v>198</v>
      </c>
      <c r="H262" s="1169"/>
      <c r="I262" s="1170"/>
      <c r="J262" s="1171" t="s">
        <v>198</v>
      </c>
      <c r="K262" s="1166"/>
      <c r="L262" s="1167"/>
    </row>
    <row r="263" spans="1:12" ht="24.95" customHeight="1">
      <c r="A263" s="1157"/>
      <c r="B263" s="1172"/>
      <c r="C263" s="1173"/>
      <c r="D263" s="1160"/>
      <c r="E263" s="1161"/>
      <c r="F263" s="1174"/>
      <c r="G263" s="1161"/>
      <c r="H263" s="1169"/>
      <c r="I263" s="1170"/>
      <c r="J263" s="1171"/>
      <c r="K263" s="1166"/>
      <c r="L263" s="1167"/>
    </row>
    <row r="264" spans="1:12" ht="24.95" customHeight="1">
      <c r="A264" s="1157"/>
      <c r="B264" s="1172"/>
      <c r="C264" s="1173"/>
      <c r="D264" s="1160"/>
      <c r="E264" s="1161"/>
      <c r="F264" s="1174"/>
      <c r="G264" s="1161"/>
      <c r="H264" s="1169"/>
      <c r="I264" s="1170"/>
      <c r="J264" s="1171"/>
      <c r="K264" s="1166"/>
      <c r="L264" s="1167"/>
    </row>
    <row r="265" spans="1:12" ht="24.95" customHeight="1">
      <c r="A265" s="1157"/>
      <c r="B265" s="1172"/>
      <c r="C265" s="1173"/>
      <c r="D265" s="1160"/>
      <c r="E265" s="1161"/>
      <c r="F265" s="1174"/>
      <c r="G265" s="1161"/>
      <c r="H265" s="1169"/>
      <c r="I265" s="1170"/>
      <c r="J265" s="1171"/>
      <c r="K265" s="1166"/>
      <c r="L265" s="1167"/>
    </row>
    <row r="266" spans="1:12" ht="24.95" customHeight="1">
      <c r="A266" s="1157"/>
      <c r="B266" s="1172"/>
      <c r="C266" s="1173"/>
      <c r="D266" s="1160"/>
      <c r="E266" s="1161"/>
      <c r="F266" s="1174"/>
      <c r="G266" s="1161"/>
      <c r="H266" s="1169"/>
      <c r="I266" s="1170"/>
      <c r="J266" s="1171"/>
      <c r="K266" s="1166"/>
      <c r="L266" s="1167"/>
    </row>
    <row r="267" spans="1:12" ht="24.95" customHeight="1" thickBot="1">
      <c r="A267" s="1157"/>
      <c r="B267" s="1158"/>
      <c r="C267" s="1159"/>
      <c r="D267" s="1160"/>
      <c r="E267" s="1175"/>
      <c r="F267" s="1174"/>
      <c r="G267" s="1176"/>
      <c r="H267" s="1169"/>
      <c r="I267" s="1170"/>
      <c r="J267" s="1177"/>
      <c r="K267" s="1166"/>
      <c r="L267" s="1167"/>
    </row>
    <row r="268" spans="1:12" ht="24.95" customHeight="1">
      <c r="A268" s="1157"/>
      <c r="B268" s="1158"/>
      <c r="C268" s="1159"/>
      <c r="D268" s="1190" t="s">
        <v>438</v>
      </c>
      <c r="E268" s="1191"/>
      <c r="F268" s="1195">
        <f>F261+F262</f>
        <v>0</v>
      </c>
      <c r="G268" s="1196" t="s">
        <v>198</v>
      </c>
      <c r="H268" s="1169"/>
      <c r="I268" s="1170"/>
      <c r="J268" s="1177"/>
      <c r="K268" s="1166"/>
      <c r="L268" s="1167"/>
    </row>
    <row r="269" spans="1:12" ht="24.95" customHeight="1">
      <c r="A269" s="1157"/>
      <c r="B269" s="1158"/>
      <c r="C269" s="1159"/>
      <c r="D269" s="1192"/>
      <c r="E269" s="1193"/>
      <c r="F269" s="1197"/>
      <c r="G269" s="1198"/>
      <c r="H269" s="1178"/>
      <c r="I269" s="1170"/>
      <c r="J269" s="1177"/>
      <c r="K269" s="1166"/>
      <c r="L269" s="1167"/>
    </row>
    <row r="270" spans="1:12" ht="24.95" customHeight="1">
      <c r="A270" s="1157"/>
      <c r="B270" s="1158"/>
      <c r="C270" s="1158"/>
      <c r="D270" s="1194" t="s">
        <v>435</v>
      </c>
      <c r="E270" s="1193"/>
      <c r="F270" s="1197">
        <f>F268-F269</f>
        <v>0</v>
      </c>
      <c r="G270" s="1198" t="s">
        <v>198</v>
      </c>
      <c r="H270" s="1163"/>
      <c r="I270" s="1163"/>
      <c r="J270" s="1163"/>
      <c r="K270" s="1179"/>
      <c r="L270" s="1180"/>
    </row>
    <row r="271" spans="1:12" ht="24.95" customHeight="1">
      <c r="A271" s="1157"/>
      <c r="B271" s="1181"/>
      <c r="C271" s="1182"/>
      <c r="D271" s="1194" t="s">
        <v>436</v>
      </c>
      <c r="E271" s="1193"/>
      <c r="F271" s="1197">
        <v>791.55</v>
      </c>
      <c r="G271" s="1198" t="s">
        <v>437</v>
      </c>
      <c r="H271" s="1183"/>
      <c r="I271" s="1181"/>
      <c r="J271" s="1181"/>
      <c r="K271" s="1166"/>
      <c r="L271" s="1167"/>
    </row>
    <row r="272" spans="1:12" ht="15.75" thickBot="1">
      <c r="A272" s="1148"/>
      <c r="B272" s="1148"/>
      <c r="C272" s="1148"/>
      <c r="D272" s="1184" t="s">
        <v>496</v>
      </c>
      <c r="E272" s="1185"/>
      <c r="F272" s="1186">
        <v>0</v>
      </c>
      <c r="G272" s="1187" t="s">
        <v>198</v>
      </c>
      <c r="H272" s="1188"/>
      <c r="I272" s="1189"/>
      <c r="J272" s="1189"/>
      <c r="K272" s="1149"/>
      <c r="L272" s="1149"/>
    </row>
    <row r="273" spans="1:12">
      <c r="D273" s="1076"/>
      <c r="E273" s="1076"/>
      <c r="F273" s="1077"/>
      <c r="G273" s="1078"/>
      <c r="H273" s="13"/>
      <c r="I273" s="13"/>
      <c r="J273" s="13"/>
      <c r="L273" s="1102"/>
    </row>
    <row r="274" spans="1:12">
      <c r="A274" s="1122" t="s">
        <v>964</v>
      </c>
      <c r="B274" s="1125"/>
      <c r="C274" s="1125"/>
      <c r="D274" s="1125"/>
      <c r="E274" s="1125"/>
      <c r="F274" s="1125"/>
      <c r="G274" s="1125"/>
      <c r="H274" s="1125"/>
      <c r="I274" s="1125"/>
      <c r="J274" s="1125"/>
      <c r="K274" s="1123"/>
      <c r="L274" s="1124"/>
    </row>
    <row r="275" spans="1:12">
      <c r="B275" s="310"/>
      <c r="C275" s="310"/>
      <c r="D275" s="310"/>
      <c r="E275" s="310"/>
      <c r="F275" s="310"/>
      <c r="G275" s="310"/>
      <c r="H275" s="310"/>
      <c r="I275" s="310"/>
      <c r="J275" s="310"/>
      <c r="L275" s="1102"/>
    </row>
    <row r="276" spans="1:12">
      <c r="G276" t="s">
        <v>60</v>
      </c>
      <c r="L276" s="1102"/>
    </row>
    <row r="277" spans="1:12">
      <c r="B277" t="s">
        <v>564</v>
      </c>
      <c r="E277" t="s">
        <v>565</v>
      </c>
      <c r="I277" t="s">
        <v>566</v>
      </c>
      <c r="L277" s="1102"/>
    </row>
    <row r="278" spans="1:12">
      <c r="G278" t="s">
        <v>61</v>
      </c>
      <c r="L278" s="1102"/>
    </row>
    <row r="279" spans="1:12">
      <c r="L279" s="1102"/>
    </row>
    <row r="280" spans="1:12">
      <c r="L280" s="1102"/>
    </row>
    <row r="281" spans="1:12">
      <c r="B281" t="s">
        <v>567</v>
      </c>
      <c r="E281" t="s">
        <v>568</v>
      </c>
      <c r="I281" t="s">
        <v>569</v>
      </c>
      <c r="L281" s="1102"/>
    </row>
    <row r="282" spans="1:12">
      <c r="L282" s="1102"/>
    </row>
    <row r="283" spans="1:12">
      <c r="L283" s="1102"/>
    </row>
    <row r="284" spans="1:12">
      <c r="A284" s="12" t="s">
        <v>865</v>
      </c>
      <c r="L284" s="1102"/>
    </row>
    <row r="285" spans="1:12" ht="15.75">
      <c r="A285" s="1126"/>
      <c r="B285" s="1127"/>
      <c r="C285" s="1128"/>
      <c r="D285" s="1128"/>
      <c r="E285" s="1128"/>
      <c r="F285" s="1128"/>
      <c r="G285" s="1128"/>
      <c r="H285" s="1128"/>
      <c r="I285" s="1128"/>
      <c r="J285" s="1128"/>
      <c r="K285" s="1129"/>
      <c r="L285" s="1130"/>
    </row>
    <row r="286" spans="1:12">
      <c r="A286" s="1126"/>
      <c r="B286" s="1131"/>
      <c r="C286" s="1132"/>
      <c r="D286" s="1132"/>
      <c r="E286" s="1132"/>
      <c r="F286" s="1132"/>
      <c r="G286" s="1132"/>
      <c r="H286" s="1132"/>
      <c r="I286" s="1132"/>
      <c r="J286" s="1132"/>
      <c r="K286" s="1132"/>
      <c r="L286" s="1130"/>
    </row>
    <row r="287" spans="1:12" ht="13.5" customHeight="1">
      <c r="A287" s="1126"/>
      <c r="B287" s="1133"/>
      <c r="C287" s="1134"/>
      <c r="D287" s="1134"/>
      <c r="E287" s="1134"/>
      <c r="F287" s="1134"/>
      <c r="G287" s="1134"/>
      <c r="H287" s="1134"/>
      <c r="I287" s="1134"/>
      <c r="J287" s="1134"/>
      <c r="K287" s="1134"/>
      <c r="L287" s="1130"/>
    </row>
    <row r="288" spans="1:12">
      <c r="A288" s="1126"/>
      <c r="B288" s="1133"/>
      <c r="C288" s="1134"/>
      <c r="D288" s="1134"/>
      <c r="E288" s="1134"/>
      <c r="F288" s="1134"/>
      <c r="G288" s="1134"/>
      <c r="H288" s="1134"/>
      <c r="I288" s="1134"/>
      <c r="J288" s="1134"/>
      <c r="K288" s="1134"/>
      <c r="L288" s="1130"/>
    </row>
    <row r="289" spans="1:12">
      <c r="A289" s="1126"/>
      <c r="B289" s="1133"/>
      <c r="C289" s="1134"/>
      <c r="D289" s="1134"/>
      <c r="E289" s="1134"/>
      <c r="F289" s="1134"/>
      <c r="G289" s="1134"/>
      <c r="H289" s="1134"/>
      <c r="I289" s="1134"/>
      <c r="J289" s="1134"/>
      <c r="K289" s="1134"/>
      <c r="L289" s="1130"/>
    </row>
    <row r="290" spans="1:12" ht="16.5">
      <c r="A290" s="1126"/>
      <c r="B290" s="1135"/>
      <c r="C290" s="1136"/>
      <c r="D290" s="1136"/>
      <c r="E290" s="1136"/>
      <c r="F290" s="1136"/>
      <c r="G290" s="1136"/>
      <c r="H290" s="1136"/>
      <c r="I290" s="1136"/>
      <c r="J290" s="1136"/>
      <c r="K290" s="1136"/>
      <c r="L290" s="1130"/>
    </row>
    <row r="291" spans="1:12" ht="16.5">
      <c r="A291" s="1126"/>
      <c r="B291" s="1136"/>
      <c r="C291" s="1136"/>
      <c r="D291" s="1136"/>
      <c r="E291" s="1136"/>
      <c r="F291" s="1136"/>
      <c r="G291" s="1136"/>
      <c r="H291" s="1136"/>
      <c r="I291" s="1136"/>
      <c r="J291" s="1136"/>
      <c r="K291" s="1136"/>
      <c r="L291" s="1130"/>
    </row>
    <row r="292" spans="1:12" ht="16.5">
      <c r="A292" s="1126"/>
      <c r="B292" s="1137"/>
      <c r="C292" s="1137"/>
      <c r="D292" s="1137"/>
      <c r="E292" s="1137"/>
      <c r="F292" s="1137"/>
      <c r="G292" s="1137"/>
      <c r="H292" s="1137"/>
      <c r="I292" s="1137"/>
      <c r="J292" s="1137"/>
      <c r="K292" s="1137"/>
      <c r="L292" s="1130"/>
    </row>
    <row r="293" spans="1:12" ht="16.5">
      <c r="A293" s="1126"/>
      <c r="B293" s="1137"/>
      <c r="C293" s="1137"/>
      <c r="D293" s="1137"/>
      <c r="E293" s="1137"/>
      <c r="F293" s="1137"/>
      <c r="G293" s="1137"/>
      <c r="H293" s="1137"/>
      <c r="I293" s="1137"/>
      <c r="J293" s="1137"/>
      <c r="K293" s="1137"/>
      <c r="L293" s="1130"/>
    </row>
    <row r="294" spans="1:12" ht="16.5">
      <c r="A294" s="17"/>
      <c r="B294" s="1079"/>
      <c r="C294" s="1079"/>
      <c r="D294" s="1079"/>
      <c r="E294" s="1079"/>
      <c r="F294" s="1079"/>
      <c r="G294" s="1079"/>
      <c r="H294" s="1079"/>
      <c r="I294" s="1079"/>
      <c r="J294" s="1079"/>
      <c r="K294" s="1079"/>
      <c r="L294" s="386"/>
    </row>
    <row r="295" spans="1:12">
      <c r="A295" s="1080" t="s">
        <v>69</v>
      </c>
      <c r="B295" s="1081"/>
      <c r="C295" s="1081"/>
      <c r="D295" s="1081"/>
      <c r="E295" s="1081"/>
      <c r="F295" s="1081"/>
      <c r="G295" s="1081"/>
      <c r="H295" s="1081"/>
      <c r="I295" s="1081"/>
      <c r="J295" s="1081"/>
      <c r="K295" s="1081"/>
      <c r="L295" s="1082"/>
    </row>
    <row r="296" spans="1:12">
      <c r="A296" s="1203" t="s">
        <v>70</v>
      </c>
      <c r="B296" s="1202"/>
      <c r="C296" s="1202"/>
      <c r="D296" s="1202"/>
      <c r="E296" s="1202"/>
      <c r="F296" s="1202"/>
      <c r="G296" s="1202"/>
      <c r="H296" s="1202"/>
      <c r="I296" s="1083" t="s">
        <v>62</v>
      </c>
      <c r="J296" s="1084">
        <v>284.95999999999998</v>
      </c>
      <c r="K296" s="1084"/>
      <c r="L296" s="386"/>
    </row>
    <row r="297" spans="1:12">
      <c r="A297" s="1203" t="s">
        <v>965</v>
      </c>
      <c r="B297" s="1202"/>
      <c r="C297" s="1202"/>
      <c r="D297" s="1202"/>
      <c r="E297" s="1202"/>
      <c r="F297" s="1202"/>
      <c r="G297" s="1202"/>
      <c r="H297" s="1202"/>
      <c r="I297" s="1083" t="s">
        <v>63</v>
      </c>
      <c r="J297" s="1085">
        <v>210.2</v>
      </c>
      <c r="K297" s="1085"/>
      <c r="L297" s="386"/>
    </row>
    <row r="298" spans="1:12">
      <c r="A298" s="1203" t="s">
        <v>72</v>
      </c>
      <c r="B298" s="1202"/>
      <c r="C298" s="1202"/>
      <c r="D298" s="1202"/>
      <c r="E298" s="1202"/>
      <c r="F298" s="1202"/>
      <c r="G298" s="1202"/>
      <c r="H298" s="1202"/>
      <c r="I298" s="1083" t="s">
        <v>64</v>
      </c>
      <c r="J298" s="1085">
        <v>30.28</v>
      </c>
      <c r="K298" s="1085"/>
      <c r="L298" s="386"/>
    </row>
    <row r="299" spans="1:12">
      <c r="A299" s="1203" t="s">
        <v>73</v>
      </c>
      <c r="B299" s="1202"/>
      <c r="C299" s="1202"/>
      <c r="D299" s="1202"/>
      <c r="E299" s="1202"/>
      <c r="F299" s="1202"/>
      <c r="G299" s="1202"/>
      <c r="H299" s="1202"/>
      <c r="I299" s="1083" t="s">
        <v>65</v>
      </c>
      <c r="J299" s="1085">
        <v>66.790000000000006</v>
      </c>
      <c r="K299" s="1085"/>
      <c r="L299" s="386"/>
    </row>
    <row r="300" spans="1:12">
      <c r="A300" s="1203" t="s">
        <v>74</v>
      </c>
      <c r="B300" s="1202"/>
      <c r="C300" s="1202"/>
      <c r="D300" s="1202"/>
      <c r="E300" s="1202"/>
      <c r="F300" s="1202"/>
      <c r="G300" s="1202"/>
      <c r="H300" s="1202"/>
      <c r="I300" s="1083" t="s">
        <v>66</v>
      </c>
      <c r="J300" s="1085">
        <v>78.55</v>
      </c>
      <c r="K300" s="1085"/>
      <c r="L300" s="386"/>
    </row>
    <row r="301" spans="1:12">
      <c r="A301" s="1203" t="s">
        <v>966</v>
      </c>
      <c r="B301" s="1202"/>
      <c r="C301" s="1202"/>
      <c r="D301" s="1202"/>
      <c r="E301" s="1202"/>
      <c r="F301" s="1202"/>
      <c r="G301" s="1202"/>
      <c r="H301" s="1202"/>
      <c r="I301" s="1083" t="s">
        <v>67</v>
      </c>
      <c r="J301" s="1085">
        <v>66.849999999999994</v>
      </c>
      <c r="K301" s="1085"/>
      <c r="L301" s="386"/>
    </row>
    <row r="302" spans="1:12">
      <c r="A302" s="1203" t="s">
        <v>76</v>
      </c>
      <c r="B302" s="1202"/>
      <c r="C302" s="1202"/>
      <c r="D302" s="1202"/>
      <c r="E302" s="1202"/>
      <c r="F302" s="1202"/>
      <c r="G302" s="1202"/>
      <c r="H302" s="1202"/>
      <c r="I302" s="1083" t="s">
        <v>68</v>
      </c>
      <c r="J302" s="1084">
        <v>45.02</v>
      </c>
      <c r="K302" s="1084"/>
      <c r="L302" s="386"/>
    </row>
    <row r="303" spans="1:12">
      <c r="A303" s="17"/>
      <c r="B303" s="1086"/>
      <c r="C303" s="1086"/>
      <c r="D303" s="1086"/>
      <c r="E303" s="1086"/>
      <c r="F303" s="1086"/>
      <c r="G303" s="1086"/>
      <c r="H303" s="1086"/>
      <c r="I303" s="1086"/>
      <c r="J303" s="1086"/>
      <c r="K303" s="1086"/>
      <c r="L303" s="386"/>
    </row>
    <row r="304" spans="1:12">
      <c r="A304" s="17"/>
      <c r="B304" s="1086"/>
      <c r="C304" s="1086"/>
      <c r="D304" s="1086"/>
      <c r="E304" s="1086"/>
      <c r="F304" s="1086"/>
      <c r="G304" s="1086"/>
      <c r="H304" s="1086"/>
      <c r="I304" s="1086"/>
      <c r="J304" s="1086"/>
      <c r="K304" s="1086"/>
      <c r="L304" s="386"/>
    </row>
    <row r="305" spans="1:12">
      <c r="L305" s="1102"/>
    </row>
    <row r="306" spans="1:12">
      <c r="A306" s="10" t="s">
        <v>570</v>
      </c>
      <c r="L306" s="1102"/>
    </row>
    <row r="307" spans="1:12">
      <c r="A307" s="10" t="s">
        <v>967</v>
      </c>
      <c r="L307" s="1102"/>
    </row>
    <row r="308" spans="1:12">
      <c r="A308" s="10" t="s">
        <v>968</v>
      </c>
      <c r="L308" s="1102"/>
    </row>
    <row r="309" spans="1:12">
      <c r="L309" s="1102"/>
    </row>
    <row r="310" spans="1:12">
      <c r="L310" s="1102"/>
    </row>
    <row r="311" spans="1:12">
      <c r="A311" s="1139" t="s">
        <v>77</v>
      </c>
      <c r="B311" s="1139"/>
      <c r="C311" s="1139"/>
      <c r="D311" s="1139"/>
      <c r="E311" s="1139"/>
      <c r="F311" s="1139"/>
      <c r="G311" s="1139"/>
      <c r="H311" s="1139"/>
      <c r="I311" s="1139"/>
      <c r="J311" s="1139"/>
      <c r="K311" s="1139"/>
      <c r="L311" s="1139"/>
    </row>
    <row r="312" spans="1:12">
      <c r="A312" s="1138"/>
      <c r="B312" s="1138"/>
      <c r="C312" s="1138"/>
      <c r="D312" s="1138"/>
      <c r="E312" s="1138"/>
      <c r="F312" s="1138"/>
      <c r="G312" s="1138"/>
      <c r="H312" s="1138"/>
      <c r="I312" s="1138"/>
      <c r="J312" s="1138"/>
      <c r="K312" s="1138"/>
      <c r="L312" s="1138"/>
    </row>
    <row r="313" spans="1:12" ht="20.100000000000001" customHeight="1">
      <c r="A313" s="474"/>
      <c r="B313" s="474"/>
      <c r="C313" s="474"/>
      <c r="D313" s="474"/>
      <c r="E313" s="474"/>
      <c r="F313" s="474"/>
      <c r="G313" s="474"/>
      <c r="H313" s="474"/>
      <c r="I313" s="474"/>
      <c r="J313" s="474"/>
      <c r="K313" s="474"/>
      <c r="L313" s="474"/>
    </row>
    <row r="314" spans="1:12" ht="20.100000000000001" customHeight="1">
      <c r="A314" s="474"/>
      <c r="B314" s="474"/>
      <c r="C314" s="474"/>
      <c r="D314" s="474"/>
      <c r="E314" s="474"/>
      <c r="F314" s="474"/>
      <c r="G314" s="474"/>
      <c r="H314" s="474"/>
      <c r="I314" s="474"/>
      <c r="J314" s="474"/>
      <c r="K314" s="474"/>
      <c r="L314" s="474"/>
    </row>
    <row r="315" spans="1:12" ht="20.100000000000001" customHeight="1">
      <c r="A315" s="474"/>
      <c r="B315" s="474"/>
      <c r="C315" s="474"/>
      <c r="D315" s="474"/>
      <c r="E315" s="474"/>
      <c r="F315" s="474"/>
      <c r="G315" s="474"/>
      <c r="H315" s="474"/>
      <c r="I315" s="474"/>
      <c r="J315" s="474"/>
      <c r="K315" s="474"/>
      <c r="L315" s="474"/>
    </row>
    <row r="316" spans="1:12" ht="20.100000000000001" customHeight="1">
      <c r="A316" s="474"/>
      <c r="B316" s="474"/>
      <c r="C316" s="474"/>
      <c r="D316" s="474"/>
      <c r="E316" s="474"/>
      <c r="F316" s="474"/>
      <c r="G316" s="474"/>
      <c r="H316" s="474"/>
      <c r="I316" s="474"/>
      <c r="J316" s="474"/>
      <c r="K316" s="474"/>
      <c r="L316" s="474"/>
    </row>
    <row r="317" spans="1:12" ht="20.100000000000001" customHeight="1">
      <c r="A317" s="474"/>
      <c r="B317" s="474"/>
      <c r="C317" s="474"/>
      <c r="D317" s="474"/>
      <c r="E317" s="474"/>
      <c r="F317" s="474"/>
      <c r="G317" s="474"/>
      <c r="H317" s="474"/>
      <c r="I317" s="474"/>
      <c r="J317" s="474"/>
      <c r="K317" s="474"/>
      <c r="L317" s="474"/>
    </row>
    <row r="318" spans="1:12" ht="20.100000000000001" customHeight="1">
      <c r="A318" s="474"/>
      <c r="B318" s="474"/>
      <c r="C318" s="474"/>
      <c r="D318" s="474"/>
      <c r="E318" s="474"/>
      <c r="F318" s="474"/>
      <c r="G318" s="474"/>
      <c r="H318" s="474"/>
      <c r="I318" s="474"/>
      <c r="J318" s="474"/>
      <c r="K318" s="474"/>
      <c r="L318" s="474"/>
    </row>
    <row r="319" spans="1:12" ht="20.100000000000001" customHeight="1">
      <c r="A319" s="474"/>
      <c r="B319" s="474"/>
      <c r="C319" s="474"/>
      <c r="D319" s="474"/>
      <c r="E319" s="474"/>
      <c r="F319" s="474"/>
      <c r="G319" s="474"/>
      <c r="H319" s="474"/>
      <c r="I319" s="474"/>
      <c r="J319" s="474"/>
      <c r="K319" s="474"/>
      <c r="L319" s="474"/>
    </row>
    <row r="320" spans="1:12" ht="20.100000000000001" customHeight="1">
      <c r="A320" s="474"/>
      <c r="B320" s="474"/>
      <c r="C320" s="474"/>
      <c r="D320" s="474"/>
      <c r="E320" s="474"/>
      <c r="F320" s="474"/>
      <c r="G320" s="474"/>
      <c r="H320" s="474"/>
      <c r="I320" s="474"/>
      <c r="J320" s="474"/>
      <c r="K320" s="474"/>
      <c r="L320" s="474"/>
    </row>
    <row r="321" spans="1:12" ht="20.100000000000001" customHeight="1">
      <c r="A321" s="474"/>
      <c r="B321" s="474"/>
      <c r="C321" s="474"/>
      <c r="D321" s="474"/>
      <c r="E321" s="474"/>
      <c r="F321" s="474"/>
      <c r="G321" s="474"/>
      <c r="H321" s="474"/>
      <c r="I321" s="474"/>
      <c r="J321" s="474"/>
      <c r="K321" s="474"/>
      <c r="L321" s="474"/>
    </row>
    <row r="322" spans="1:12" ht="20.100000000000001" customHeight="1">
      <c r="A322" s="474"/>
      <c r="B322" s="474"/>
      <c r="C322" s="474"/>
      <c r="D322" s="474"/>
      <c r="E322" s="474"/>
      <c r="F322" s="474"/>
      <c r="G322" s="474"/>
      <c r="H322" s="474"/>
      <c r="I322" s="474"/>
      <c r="J322" s="474"/>
      <c r="K322" s="474"/>
      <c r="L322" s="474"/>
    </row>
    <row r="323" spans="1:12" ht="20.100000000000001" customHeight="1">
      <c r="A323" s="474"/>
      <c r="B323" s="474"/>
      <c r="C323" s="474"/>
      <c r="D323" s="474"/>
      <c r="E323" s="474"/>
      <c r="F323" s="474"/>
      <c r="G323" s="474"/>
      <c r="H323" s="474"/>
      <c r="I323" s="474"/>
      <c r="J323" s="474"/>
      <c r="K323" s="474"/>
      <c r="L323" s="474"/>
    </row>
    <row r="324" spans="1:12" ht="20.100000000000001" customHeight="1">
      <c r="A324" s="474"/>
      <c r="B324" s="474"/>
      <c r="C324" s="474"/>
      <c r="D324" s="474"/>
      <c r="E324" s="474"/>
      <c r="F324" s="474"/>
      <c r="G324" s="474"/>
      <c r="H324" s="474"/>
      <c r="I324" s="474"/>
      <c r="J324" s="474"/>
      <c r="K324" s="474"/>
      <c r="L324" s="474"/>
    </row>
    <row r="325" spans="1:12" ht="20.100000000000001" customHeight="1">
      <c r="A325" s="474"/>
      <c r="B325" s="474"/>
      <c r="C325" s="474"/>
      <c r="D325" s="474"/>
      <c r="E325" s="474"/>
      <c r="F325" s="474"/>
      <c r="G325" s="474"/>
      <c r="H325" s="474"/>
      <c r="I325" s="474"/>
      <c r="J325" s="474"/>
      <c r="K325" s="474"/>
      <c r="L325" s="474"/>
    </row>
    <row r="326" spans="1:12" ht="20.100000000000001" customHeight="1">
      <c r="A326" s="474"/>
      <c r="B326" s="474"/>
      <c r="C326" s="474"/>
      <c r="D326" s="474"/>
      <c r="E326" s="474"/>
      <c r="F326" s="474"/>
      <c r="G326" s="474"/>
      <c r="H326" s="474"/>
      <c r="I326" s="474"/>
      <c r="J326" s="474"/>
      <c r="K326" s="474"/>
      <c r="L326" s="474"/>
    </row>
    <row r="327" spans="1:12" ht="20.100000000000001" customHeight="1">
      <c r="A327" s="474"/>
      <c r="B327" s="474"/>
      <c r="C327" s="474"/>
      <c r="D327" s="474"/>
      <c r="E327" s="474"/>
      <c r="F327" s="474"/>
      <c r="G327" s="474"/>
      <c r="H327" s="474"/>
      <c r="I327" s="474"/>
      <c r="J327" s="474"/>
      <c r="K327" s="474"/>
      <c r="L327" s="474"/>
    </row>
    <row r="328" spans="1:12" ht="20.100000000000001" customHeight="1">
      <c r="A328" s="474"/>
      <c r="B328" s="474"/>
      <c r="C328" s="474"/>
      <c r="D328" s="474"/>
      <c r="E328" s="474"/>
      <c r="F328" s="474"/>
      <c r="G328" s="474"/>
      <c r="H328" s="474"/>
      <c r="I328" s="474"/>
      <c r="J328" s="474"/>
      <c r="K328" s="474"/>
      <c r="L328" s="474"/>
    </row>
    <row r="329" spans="1:12" ht="20.100000000000001" customHeight="1">
      <c r="A329" s="474"/>
      <c r="B329" s="474"/>
      <c r="C329" s="474"/>
      <c r="D329" s="474"/>
      <c r="E329" s="474"/>
      <c r="F329" s="474"/>
      <c r="G329" s="474"/>
      <c r="H329" s="474"/>
      <c r="I329" s="474"/>
      <c r="J329" s="474"/>
      <c r="K329" s="474"/>
      <c r="L329" s="474"/>
    </row>
    <row r="330" spans="1:12" ht="20.100000000000001" customHeight="1">
      <c r="A330" s="474"/>
      <c r="B330" s="474"/>
      <c r="C330" s="474"/>
      <c r="D330" s="474"/>
      <c r="E330" s="474"/>
      <c r="F330" s="474"/>
      <c r="G330" s="474"/>
      <c r="H330" s="474"/>
      <c r="I330" s="474"/>
      <c r="J330" s="474"/>
      <c r="K330" s="474"/>
      <c r="L330" s="474"/>
    </row>
    <row r="331" spans="1:12" ht="20.100000000000001" customHeight="1">
      <c r="A331" s="474"/>
      <c r="B331" s="474"/>
      <c r="C331" s="474"/>
      <c r="D331" s="474"/>
      <c r="E331" s="474"/>
      <c r="F331" s="474"/>
      <c r="G331" s="474"/>
      <c r="H331" s="474"/>
      <c r="I331" s="474"/>
      <c r="J331" s="474"/>
      <c r="K331" s="474"/>
      <c r="L331" s="474"/>
    </row>
    <row r="332" spans="1:12" ht="20.100000000000001" customHeight="1">
      <c r="A332" s="474"/>
      <c r="B332" s="474"/>
      <c r="C332" s="474"/>
      <c r="D332" s="474"/>
      <c r="E332" s="474"/>
      <c r="F332" s="474"/>
      <c r="G332" s="474"/>
      <c r="H332" s="474"/>
      <c r="I332" s="474"/>
      <c r="J332" s="474"/>
      <c r="K332" s="474"/>
      <c r="L332" s="474"/>
    </row>
    <row r="333" spans="1:12" ht="20.100000000000001" customHeight="1">
      <c r="A333" s="474"/>
      <c r="B333" s="474"/>
      <c r="C333" s="474"/>
      <c r="D333" s="474"/>
      <c r="E333" s="474"/>
      <c r="F333" s="474"/>
      <c r="G333" s="474"/>
      <c r="H333" s="474"/>
      <c r="I333" s="474"/>
      <c r="J333" s="474"/>
      <c r="K333" s="474"/>
      <c r="L333" s="474"/>
    </row>
    <row r="334" spans="1:12" ht="20.100000000000001" customHeight="1">
      <c r="A334" s="474"/>
      <c r="B334" s="474"/>
      <c r="C334" s="474"/>
      <c r="D334" s="474"/>
      <c r="E334" s="474"/>
      <c r="F334" s="474"/>
      <c r="G334" s="474"/>
      <c r="H334" s="474"/>
      <c r="I334" s="474"/>
      <c r="J334" s="474"/>
      <c r="K334" s="474"/>
      <c r="L334" s="474"/>
    </row>
    <row r="335" spans="1:12" ht="20.100000000000001" customHeight="1">
      <c r="A335" s="474"/>
      <c r="B335" s="474"/>
      <c r="C335" s="474"/>
      <c r="D335" s="474"/>
      <c r="E335" s="474"/>
      <c r="F335" s="474"/>
      <c r="G335" s="474"/>
      <c r="H335" s="474"/>
      <c r="I335" s="474"/>
      <c r="J335" s="474"/>
      <c r="K335" s="474"/>
      <c r="L335" s="474"/>
    </row>
    <row r="336" spans="1:12" ht="20.100000000000001" customHeight="1">
      <c r="A336" s="474"/>
      <c r="B336" s="474"/>
      <c r="C336" s="474"/>
      <c r="D336" s="474"/>
      <c r="E336" s="474"/>
      <c r="F336" s="474"/>
      <c r="G336" s="474"/>
      <c r="H336" s="474"/>
      <c r="I336" s="474"/>
      <c r="J336" s="474"/>
      <c r="K336" s="474"/>
      <c r="L336" s="474"/>
    </row>
    <row r="337" spans="1:12" ht="20.100000000000001" customHeight="1">
      <c r="A337" s="474"/>
      <c r="B337" s="474"/>
      <c r="C337" s="474"/>
      <c r="D337" s="474"/>
      <c r="E337" s="474"/>
      <c r="F337" s="474"/>
      <c r="G337" s="474"/>
      <c r="H337" s="474"/>
      <c r="I337" s="474"/>
      <c r="J337" s="474"/>
      <c r="K337" s="474"/>
      <c r="L337" s="474"/>
    </row>
    <row r="338" spans="1:12" ht="20.100000000000001" customHeight="1">
      <c r="A338" s="474"/>
      <c r="B338" s="474"/>
      <c r="C338" s="474"/>
      <c r="D338" s="474"/>
      <c r="E338" s="474"/>
      <c r="F338" s="474"/>
      <c r="G338" s="474"/>
      <c r="H338" s="474"/>
      <c r="I338" s="474"/>
      <c r="J338" s="474"/>
      <c r="K338" s="474"/>
      <c r="L338" s="474"/>
    </row>
    <row r="339" spans="1:12" ht="20.100000000000001" customHeight="1">
      <c r="A339" s="474"/>
      <c r="B339" s="474"/>
      <c r="C339" s="474"/>
      <c r="D339" s="474"/>
      <c r="E339" s="474"/>
      <c r="F339" s="474"/>
      <c r="G339" s="474"/>
      <c r="H339" s="474"/>
      <c r="I339" s="474"/>
      <c r="J339" s="474"/>
      <c r="K339" s="474"/>
      <c r="L339" s="474"/>
    </row>
    <row r="340" spans="1:12" ht="20.100000000000001" customHeight="1">
      <c r="A340" s="474"/>
      <c r="B340" s="474"/>
      <c r="C340" s="474"/>
      <c r="D340" s="474"/>
      <c r="E340" s="474"/>
      <c r="F340" s="474"/>
      <c r="G340" s="474"/>
      <c r="H340" s="474"/>
      <c r="I340" s="474"/>
      <c r="J340" s="474"/>
      <c r="K340" s="474"/>
      <c r="L340" s="474"/>
    </row>
    <row r="341" spans="1:12" ht="20.100000000000001" customHeight="1">
      <c r="A341" s="474"/>
      <c r="B341" s="474"/>
      <c r="C341" s="474"/>
      <c r="D341" s="474"/>
      <c r="E341" s="474"/>
      <c r="F341" s="474"/>
      <c r="G341" s="474"/>
      <c r="H341" s="474"/>
      <c r="I341" s="474"/>
      <c r="J341" s="474"/>
      <c r="K341" s="474"/>
      <c r="L341" s="474"/>
    </row>
    <row r="342" spans="1:12" ht="20.100000000000001" customHeight="1">
      <c r="A342" s="474"/>
      <c r="B342" s="474"/>
      <c r="C342" s="474"/>
      <c r="D342" s="474"/>
      <c r="E342" s="474"/>
      <c r="F342" s="474"/>
      <c r="G342" s="474"/>
      <c r="H342" s="474"/>
      <c r="I342" s="474"/>
      <c r="J342" s="474"/>
      <c r="K342" s="474"/>
      <c r="L342" s="474"/>
    </row>
    <row r="343" spans="1:12" ht="20.100000000000001" customHeight="1">
      <c r="A343" s="474"/>
      <c r="B343" s="474"/>
      <c r="C343" s="474"/>
      <c r="D343" s="474"/>
      <c r="E343" s="474"/>
      <c r="F343" s="474"/>
      <c r="G343" s="474"/>
      <c r="H343" s="474"/>
      <c r="I343" s="474"/>
      <c r="J343" s="474"/>
      <c r="K343" s="474"/>
      <c r="L343" s="474"/>
    </row>
    <row r="344" spans="1:12" ht="20.100000000000001" customHeight="1">
      <c r="A344" s="474"/>
      <c r="B344" s="474"/>
      <c r="C344" s="474"/>
      <c r="D344" s="474"/>
      <c r="E344" s="474"/>
      <c r="F344" s="474"/>
      <c r="G344" s="474"/>
      <c r="H344" s="474"/>
      <c r="I344" s="474"/>
      <c r="J344" s="474"/>
      <c r="K344" s="474"/>
      <c r="L344" s="474"/>
    </row>
    <row r="345" spans="1:12" ht="20.100000000000001" customHeight="1">
      <c r="A345" s="474"/>
      <c r="B345" s="474"/>
      <c r="C345" s="474"/>
      <c r="D345" s="474"/>
      <c r="E345" s="474"/>
      <c r="F345" s="474"/>
      <c r="G345" s="474"/>
      <c r="H345" s="474"/>
      <c r="I345" s="474"/>
      <c r="J345" s="474"/>
      <c r="K345" s="474"/>
      <c r="L345" s="474"/>
    </row>
    <row r="346" spans="1:12" ht="20.100000000000001" customHeight="1">
      <c r="A346" s="474"/>
      <c r="B346" s="474"/>
      <c r="C346" s="474"/>
      <c r="D346" s="474"/>
      <c r="E346" s="474"/>
      <c r="F346" s="474"/>
      <c r="G346" s="474"/>
      <c r="H346" s="474"/>
      <c r="I346" s="474"/>
      <c r="J346" s="474"/>
      <c r="K346" s="474"/>
      <c r="L346" s="474"/>
    </row>
    <row r="347" spans="1:12" ht="20.100000000000001" customHeight="1">
      <c r="A347" s="474"/>
      <c r="B347" s="474"/>
      <c r="C347" s="474"/>
      <c r="D347" s="474"/>
      <c r="E347" s="474"/>
      <c r="F347" s="474"/>
      <c r="G347" s="474"/>
      <c r="H347" s="474"/>
      <c r="I347" s="474"/>
      <c r="J347" s="474"/>
      <c r="K347" s="474"/>
      <c r="L347" s="474"/>
    </row>
    <row r="348" spans="1:12" ht="20.100000000000001" customHeight="1">
      <c r="A348" s="474"/>
      <c r="B348" s="474"/>
      <c r="C348" s="474"/>
      <c r="D348" s="474"/>
      <c r="E348" s="474"/>
      <c r="F348" s="474"/>
      <c r="G348" s="474"/>
      <c r="H348" s="474"/>
      <c r="I348" s="474"/>
      <c r="J348" s="474"/>
      <c r="K348" s="474"/>
      <c r="L348" s="474"/>
    </row>
    <row r="349" spans="1:12" ht="20.100000000000001" customHeight="1">
      <c r="A349" s="474"/>
      <c r="B349" s="474"/>
      <c r="C349" s="474"/>
      <c r="D349" s="474"/>
      <c r="E349" s="474"/>
      <c r="F349" s="474"/>
      <c r="G349" s="474"/>
      <c r="H349" s="474"/>
      <c r="I349" s="474"/>
      <c r="J349" s="474"/>
      <c r="K349" s="474"/>
      <c r="L349" s="474"/>
    </row>
    <row r="350" spans="1:12" ht="20.100000000000001" customHeight="1">
      <c r="A350" s="474"/>
      <c r="B350" s="474"/>
      <c r="C350" s="474"/>
      <c r="D350" s="474"/>
      <c r="E350" s="474"/>
      <c r="F350" s="474"/>
      <c r="G350" s="474"/>
      <c r="H350" s="474"/>
      <c r="I350" s="474"/>
      <c r="J350" s="474"/>
      <c r="K350" s="474"/>
      <c r="L350" s="474"/>
    </row>
    <row r="351" spans="1:12" ht="20.100000000000001" customHeight="1">
      <c r="A351" s="474"/>
      <c r="B351" s="474"/>
      <c r="C351" s="474"/>
      <c r="D351" s="474"/>
      <c r="E351" s="474"/>
      <c r="F351" s="474"/>
      <c r="G351" s="474"/>
      <c r="H351" s="474"/>
      <c r="I351" s="474"/>
      <c r="J351" s="474"/>
      <c r="K351" s="474"/>
      <c r="L351" s="474"/>
    </row>
    <row r="352" spans="1:12" ht="20.100000000000001" customHeight="1">
      <c r="A352" s="474"/>
      <c r="B352" s="474"/>
      <c r="C352" s="474"/>
      <c r="D352" s="474"/>
      <c r="E352" s="474"/>
      <c r="F352" s="474"/>
      <c r="G352" s="474"/>
      <c r="H352" s="474"/>
      <c r="I352" s="474"/>
      <c r="J352" s="474"/>
      <c r="K352" s="474"/>
      <c r="L352" s="474"/>
    </row>
    <row r="353" spans="1:12" ht="20.100000000000001" customHeight="1">
      <c r="A353" s="474"/>
      <c r="B353" s="474"/>
      <c r="C353" s="474"/>
      <c r="D353" s="474"/>
      <c r="E353" s="474"/>
      <c r="F353" s="474"/>
      <c r="G353" s="474"/>
      <c r="H353" s="474"/>
      <c r="I353" s="474"/>
      <c r="J353" s="474"/>
      <c r="K353" s="474"/>
      <c r="L353" s="474"/>
    </row>
    <row r="354" spans="1:12" ht="20.100000000000001" customHeight="1">
      <c r="A354" s="474"/>
      <c r="B354" s="474"/>
      <c r="C354" s="474"/>
      <c r="D354" s="474"/>
      <c r="E354" s="474"/>
      <c r="F354" s="474"/>
      <c r="G354" s="474"/>
      <c r="H354" s="474"/>
      <c r="I354" s="474"/>
      <c r="J354" s="474"/>
      <c r="K354" s="474"/>
      <c r="L354" s="474"/>
    </row>
    <row r="355" spans="1:12" ht="20.100000000000001" customHeight="1">
      <c r="A355" s="474"/>
      <c r="B355" s="474"/>
      <c r="C355" s="474"/>
      <c r="D355" s="474"/>
      <c r="E355" s="474"/>
      <c r="F355" s="474"/>
      <c r="G355" s="474"/>
      <c r="H355" s="474"/>
      <c r="I355" s="474"/>
      <c r="J355" s="474"/>
      <c r="K355" s="474"/>
      <c r="L355" s="474"/>
    </row>
    <row r="356" spans="1:12" ht="20.100000000000001" customHeight="1">
      <c r="A356" s="474"/>
      <c r="B356" s="474"/>
      <c r="C356" s="474"/>
      <c r="D356" s="474"/>
      <c r="E356" s="474"/>
      <c r="F356" s="474"/>
      <c r="G356" s="474"/>
      <c r="H356" s="474"/>
      <c r="I356" s="474"/>
      <c r="J356" s="474"/>
      <c r="K356" s="474"/>
      <c r="L356" s="474"/>
    </row>
    <row r="357" spans="1:12" ht="20.100000000000001" customHeight="1">
      <c r="A357" s="474"/>
      <c r="B357" s="474"/>
      <c r="C357" s="474"/>
      <c r="D357" s="474"/>
      <c r="E357" s="474"/>
      <c r="F357" s="474"/>
      <c r="G357" s="474"/>
      <c r="H357" s="474"/>
      <c r="I357" s="474"/>
      <c r="J357" s="474"/>
      <c r="K357" s="474"/>
      <c r="L357" s="474"/>
    </row>
    <row r="358" spans="1:12" ht="20.100000000000001" customHeight="1">
      <c r="A358" s="474"/>
      <c r="B358" s="474"/>
      <c r="C358" s="474"/>
      <c r="D358" s="474"/>
      <c r="E358" s="474"/>
      <c r="F358" s="474"/>
      <c r="G358" s="474"/>
      <c r="H358" s="474"/>
      <c r="I358" s="474"/>
      <c r="J358" s="474"/>
      <c r="K358" s="474"/>
      <c r="L358" s="474"/>
    </row>
    <row r="359" spans="1:12" ht="20.100000000000001" customHeight="1">
      <c r="A359" s="474"/>
      <c r="B359" s="474"/>
      <c r="C359" s="474"/>
      <c r="D359" s="474"/>
      <c r="E359" s="474"/>
      <c r="F359" s="474"/>
      <c r="G359" s="474"/>
      <c r="H359" s="474"/>
      <c r="I359" s="474"/>
      <c r="J359" s="474"/>
      <c r="K359" s="474"/>
      <c r="L359" s="474"/>
    </row>
    <row r="360" spans="1:12" ht="20.100000000000001" customHeight="1">
      <c r="A360" s="474"/>
      <c r="B360" s="474"/>
      <c r="C360" s="474"/>
      <c r="D360" s="474"/>
      <c r="E360" s="474"/>
      <c r="F360" s="474"/>
      <c r="G360" s="474"/>
      <c r="H360" s="474"/>
      <c r="I360" s="474"/>
      <c r="J360" s="474"/>
      <c r="K360" s="474"/>
      <c r="L360" s="474"/>
    </row>
    <row r="361" spans="1:12">
      <c r="B361" s="13"/>
      <c r="C361" s="13"/>
      <c r="D361" s="13"/>
      <c r="E361" s="13"/>
      <c r="F361" s="13"/>
      <c r="G361" s="13"/>
      <c r="H361" s="13"/>
      <c r="I361" s="13"/>
      <c r="J361" s="13"/>
      <c r="K361" s="13"/>
      <c r="L361" s="1102"/>
    </row>
    <row r="362" spans="1:12">
      <c r="L362" s="1102"/>
    </row>
    <row r="363" spans="1:12">
      <c r="A363" s="1044" t="s">
        <v>78</v>
      </c>
      <c r="B363" s="1045"/>
      <c r="C363" s="1045"/>
      <c r="D363" s="1045"/>
      <c r="E363" s="1045"/>
      <c r="F363" s="1045"/>
      <c r="G363" s="1045"/>
      <c r="H363" s="1045"/>
      <c r="I363" s="1045"/>
      <c r="J363" s="1045"/>
      <c r="K363" s="1045"/>
      <c r="L363" s="1046"/>
    </row>
    <row r="364" spans="1:12">
      <c r="A364" s="1102"/>
      <c r="L364" s="1102"/>
    </row>
    <row r="365" spans="1:12">
      <c r="A365" s="1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3"/>
    </row>
    <row r="366" spans="1:12">
      <c r="A366" s="4"/>
      <c r="B366" s="1102" t="s">
        <v>79</v>
      </c>
      <c r="C366" s="1102"/>
      <c r="D366" s="1102"/>
      <c r="E366" s="1102"/>
      <c r="F366" s="1102" t="s">
        <v>81</v>
      </c>
      <c r="G366" s="1102"/>
      <c r="H366" s="1102"/>
      <c r="I366" s="1102"/>
      <c r="J366" s="1102"/>
      <c r="K366" s="1102"/>
      <c r="L366" s="5"/>
    </row>
    <row r="367" spans="1:12">
      <c r="A367" s="4"/>
      <c r="B367" s="1102"/>
      <c r="C367" s="1102"/>
      <c r="D367" s="1102"/>
      <c r="E367" s="1102"/>
      <c r="F367" s="1102"/>
      <c r="G367" s="1102"/>
      <c r="H367" s="1102"/>
      <c r="I367" s="1102"/>
      <c r="J367" s="1102"/>
      <c r="K367" s="1102"/>
      <c r="L367" s="5"/>
    </row>
    <row r="368" spans="1:12">
      <c r="A368" s="4"/>
      <c r="B368" s="1102"/>
      <c r="C368" s="1102"/>
      <c r="D368" s="1102"/>
      <c r="E368" s="1102"/>
      <c r="F368" s="1102"/>
      <c r="G368" s="1102"/>
      <c r="H368" s="1102"/>
      <c r="I368" s="1102"/>
      <c r="J368" s="1102"/>
      <c r="K368" s="1102"/>
      <c r="L368" s="5"/>
    </row>
    <row r="369" spans="1:12">
      <c r="A369" s="4"/>
      <c r="B369" s="1102"/>
      <c r="C369" s="1102"/>
      <c r="D369" s="1102"/>
      <c r="E369" s="1102"/>
      <c r="F369" s="1102"/>
      <c r="G369" s="1102"/>
      <c r="H369" s="1102"/>
      <c r="I369" s="1102"/>
      <c r="J369" s="1102"/>
      <c r="K369" s="1102"/>
      <c r="L369" s="5"/>
    </row>
    <row r="370" spans="1:12">
      <c r="A370" s="4"/>
      <c r="B370" s="1102" t="s">
        <v>573</v>
      </c>
      <c r="C370" s="1102"/>
      <c r="D370" s="1102"/>
      <c r="E370" s="1102"/>
      <c r="F370" s="1102" t="s">
        <v>574</v>
      </c>
      <c r="G370" s="1102"/>
      <c r="H370" s="1102"/>
      <c r="I370" s="1102"/>
      <c r="J370" s="1102"/>
      <c r="K370" s="1102"/>
      <c r="L370" s="5"/>
    </row>
    <row r="371" spans="1:12">
      <c r="A371" s="4"/>
      <c r="B371" s="1102" t="s">
        <v>575</v>
      </c>
      <c r="C371" s="1102"/>
      <c r="D371" s="1102"/>
      <c r="E371" s="1102"/>
      <c r="F371" s="1102" t="s">
        <v>82</v>
      </c>
      <c r="G371" s="1102"/>
      <c r="H371" s="1102"/>
      <c r="I371" s="1102"/>
      <c r="J371" s="1102"/>
      <c r="K371" s="1102"/>
      <c r="L371" s="5"/>
    </row>
    <row r="372" spans="1:12">
      <c r="A372" s="4"/>
      <c r="B372" s="1102"/>
      <c r="C372" s="1102"/>
      <c r="D372" s="1102"/>
      <c r="E372" s="1102"/>
      <c r="F372" s="1102"/>
      <c r="G372" s="1102"/>
      <c r="H372" s="1102"/>
      <c r="I372" s="1102"/>
      <c r="J372" s="1102"/>
      <c r="K372" s="1102"/>
      <c r="L372" s="5"/>
    </row>
    <row r="373" spans="1:12">
      <c r="A373" s="4"/>
      <c r="B373" s="1102"/>
      <c r="C373" s="1102"/>
      <c r="D373" s="1102"/>
      <c r="E373" s="1102"/>
      <c r="F373" s="1102"/>
      <c r="G373" s="1102"/>
      <c r="H373" s="1102"/>
      <c r="I373" s="1102"/>
      <c r="J373" s="1102"/>
      <c r="K373" s="1102"/>
      <c r="L373" s="5"/>
    </row>
    <row r="374" spans="1:12">
      <c r="A374" s="4"/>
      <c r="B374" s="1102"/>
      <c r="C374" s="1102"/>
      <c r="D374" s="1102"/>
      <c r="E374" s="1102"/>
      <c r="F374" s="1102"/>
      <c r="G374" s="1102"/>
      <c r="H374" s="1102"/>
      <c r="I374" s="1102"/>
      <c r="J374" s="1102"/>
      <c r="K374" s="1102"/>
      <c r="L374" s="5"/>
    </row>
    <row r="375" spans="1:12">
      <c r="A375" s="4"/>
      <c r="B375" s="1102" t="s">
        <v>80</v>
      </c>
      <c r="C375" s="1102"/>
      <c r="D375" s="1102"/>
      <c r="E375" s="1102"/>
      <c r="F375" s="1102" t="s">
        <v>576</v>
      </c>
      <c r="G375" s="1102"/>
      <c r="H375" s="1102"/>
      <c r="I375" s="1102"/>
      <c r="J375" s="1102"/>
      <c r="K375" s="1102"/>
      <c r="L375" s="5"/>
    </row>
    <row r="376" spans="1:12">
      <c r="A376" s="4"/>
      <c r="B376" s="1102"/>
      <c r="C376" s="1102"/>
      <c r="D376" s="1102"/>
      <c r="E376" s="1102"/>
      <c r="F376" s="1102"/>
      <c r="G376" s="1102"/>
      <c r="H376" s="1102"/>
      <c r="I376" s="1102"/>
      <c r="J376" s="1102"/>
      <c r="K376" s="1102"/>
      <c r="L376" s="5"/>
    </row>
    <row r="377" spans="1:12">
      <c r="A377" s="4"/>
      <c r="B377" s="1102"/>
      <c r="C377" s="1102"/>
      <c r="D377" s="1102"/>
      <c r="E377" s="1102"/>
      <c r="F377" s="1102"/>
      <c r="G377" s="1102"/>
      <c r="H377" s="1102"/>
      <c r="I377" s="1102"/>
      <c r="J377" s="1102"/>
      <c r="K377" s="1102"/>
      <c r="L377" s="5"/>
    </row>
    <row r="378" spans="1:12">
      <c r="A378" s="4"/>
      <c r="B378" s="1102"/>
      <c r="C378" s="1102"/>
      <c r="D378" s="1102"/>
      <c r="E378" s="1102"/>
      <c r="F378" s="1102"/>
      <c r="G378" s="1102"/>
      <c r="H378" s="1102"/>
      <c r="I378" s="1102"/>
      <c r="J378" s="1102"/>
      <c r="K378" s="1102"/>
      <c r="L378" s="5"/>
    </row>
    <row r="379" spans="1:12">
      <c r="A379" s="4"/>
      <c r="B379" s="1102"/>
      <c r="C379" s="1102"/>
      <c r="D379" s="1102"/>
      <c r="E379" s="1102"/>
      <c r="F379" s="1104" t="s">
        <v>83</v>
      </c>
      <c r="G379" s="7"/>
      <c r="H379" s="7"/>
      <c r="I379" s="7"/>
      <c r="J379" s="1102"/>
      <c r="K379" s="1102"/>
      <c r="L379" s="5"/>
    </row>
    <row r="380" spans="1:12">
      <c r="A380" s="4"/>
      <c r="B380" s="1102"/>
      <c r="C380" s="1102"/>
      <c r="D380" s="1102"/>
      <c r="E380" s="1102"/>
      <c r="F380" s="1104"/>
      <c r="G380" s="1102"/>
      <c r="H380" s="1102"/>
      <c r="I380" s="1102"/>
      <c r="J380" s="1102"/>
      <c r="K380" s="1102"/>
      <c r="L380" s="5"/>
    </row>
    <row r="381" spans="1:12">
      <c r="A381" s="4"/>
      <c r="B381" s="1102"/>
      <c r="C381" s="1102"/>
      <c r="D381" s="1102"/>
      <c r="E381" s="1102"/>
      <c r="F381" s="1102"/>
      <c r="G381" s="1102"/>
      <c r="H381" s="1102"/>
      <c r="I381" s="1102"/>
      <c r="J381" s="1102"/>
      <c r="K381" s="1102"/>
      <c r="L381" s="5"/>
    </row>
    <row r="382" spans="1:12">
      <c r="A382" s="6"/>
      <c r="B382" s="7"/>
      <c r="C382" s="7"/>
      <c r="D382" s="7"/>
      <c r="E382" s="7"/>
      <c r="F382" s="7"/>
      <c r="G382" s="7"/>
      <c r="H382" s="7"/>
      <c r="I382" s="7"/>
      <c r="J382" s="7"/>
      <c r="K382" s="7"/>
      <c r="L382" s="8"/>
    </row>
    <row r="383" spans="1:12">
      <c r="A383" s="1102"/>
      <c r="L383" s="1102"/>
    </row>
    <row r="384" spans="1:12">
      <c r="A384" s="1122" t="s">
        <v>969</v>
      </c>
      <c r="B384" s="1125"/>
      <c r="C384" s="1125"/>
      <c r="D384" s="1125"/>
      <c r="E384" s="1125"/>
      <c r="F384" s="1125"/>
      <c r="G384" s="1125"/>
      <c r="H384" s="1125"/>
      <c r="I384" s="1125"/>
      <c r="J384" s="1125"/>
      <c r="K384" s="1125"/>
      <c r="L384" s="1124"/>
    </row>
    <row r="385" spans="1:12">
      <c r="A385" s="1102"/>
      <c r="B385" s="310"/>
      <c r="C385" s="310"/>
      <c r="D385" s="310"/>
      <c r="E385" s="310"/>
      <c r="F385" s="310"/>
      <c r="G385" s="310"/>
      <c r="H385" s="310"/>
      <c r="I385" s="310"/>
      <c r="J385" s="310"/>
      <c r="K385" s="310"/>
      <c r="L385" s="1102"/>
    </row>
    <row r="386" spans="1:12">
      <c r="A386" s="1"/>
      <c r="B386" s="37"/>
      <c r="C386" s="37"/>
      <c r="D386" s="37"/>
      <c r="E386" s="37"/>
      <c r="F386" s="37"/>
      <c r="G386" s="37"/>
      <c r="H386" s="37"/>
      <c r="I386" s="37"/>
      <c r="J386" s="37"/>
      <c r="K386" s="37"/>
      <c r="L386" s="3"/>
    </row>
    <row r="387" spans="1:12">
      <c r="A387" s="4"/>
      <c r="B387" s="1107"/>
      <c r="C387" s="1107"/>
      <c r="D387" s="1107"/>
      <c r="E387" s="1107"/>
      <c r="F387" s="1107"/>
      <c r="G387" s="1107"/>
      <c r="H387" s="1107"/>
      <c r="I387" s="1107"/>
      <c r="J387" s="1107"/>
      <c r="K387" s="1107"/>
      <c r="L387" s="5"/>
    </row>
    <row r="388" spans="1:12">
      <c r="A388" s="4"/>
      <c r="B388" s="1102"/>
      <c r="C388" s="1102"/>
      <c r="D388" s="1102"/>
      <c r="E388" s="1102"/>
      <c r="F388" s="1102"/>
      <c r="G388" s="1102"/>
      <c r="H388" s="1102"/>
      <c r="I388" s="1102"/>
      <c r="J388" s="1102"/>
      <c r="K388" s="1102"/>
      <c r="L388" s="5"/>
    </row>
    <row r="389" spans="1:12">
      <c r="A389" s="4"/>
      <c r="B389" s="1087"/>
      <c r="C389" s="1088"/>
      <c r="D389" s="1088"/>
      <c r="E389" s="1088"/>
      <c r="F389" s="1088"/>
      <c r="G389" s="1088"/>
      <c r="H389" s="1088"/>
      <c r="I389" s="1088"/>
      <c r="J389" s="1088"/>
      <c r="K389" s="1089"/>
      <c r="L389" s="5"/>
    </row>
    <row r="390" spans="1:12">
      <c r="A390" s="4"/>
      <c r="B390" s="1102"/>
      <c r="C390" s="1102"/>
      <c r="D390" s="1116" t="s">
        <v>114</v>
      </c>
      <c r="E390" s="1116"/>
      <c r="F390" s="1116"/>
      <c r="G390" s="1116"/>
      <c r="H390" s="1116"/>
      <c r="I390" s="1102"/>
      <c r="J390" s="1102"/>
      <c r="K390" s="1102"/>
      <c r="L390" s="5"/>
    </row>
    <row r="391" spans="1:12">
      <c r="A391" s="4"/>
      <c r="B391" s="1102"/>
      <c r="C391" s="1102"/>
      <c r="D391" s="1102"/>
      <c r="E391" s="1102"/>
      <c r="F391" s="1102"/>
      <c r="G391" s="1102"/>
      <c r="H391" s="1102"/>
      <c r="I391" s="1102"/>
      <c r="J391" s="1102"/>
      <c r="K391" s="1102"/>
      <c r="L391" s="5"/>
    </row>
    <row r="392" spans="1:12">
      <c r="A392" s="4"/>
      <c r="B392" s="1105" t="s">
        <v>521</v>
      </c>
      <c r="C392" s="1105"/>
      <c r="D392" s="1087"/>
      <c r="E392" s="1089"/>
      <c r="F392" s="1115" t="s">
        <v>9</v>
      </c>
      <c r="G392" s="1087"/>
      <c r="H392" s="1088"/>
      <c r="I392" s="1088"/>
      <c r="J392" s="1089"/>
      <c r="K392" s="1106"/>
      <c r="L392" s="5"/>
    </row>
    <row r="393" spans="1:12">
      <c r="A393" s="4"/>
      <c r="B393" s="1102"/>
      <c r="C393" s="1102"/>
      <c r="D393" s="1102"/>
      <c r="E393" s="1102"/>
      <c r="F393" s="1102"/>
      <c r="G393" s="1102"/>
      <c r="H393" s="1102"/>
      <c r="I393" s="1102"/>
      <c r="J393" s="1102"/>
      <c r="K393" s="1102"/>
      <c r="L393" s="5"/>
    </row>
    <row r="394" spans="1:12">
      <c r="A394" s="4"/>
      <c r="B394" s="1102"/>
      <c r="C394" s="1102"/>
      <c r="D394" s="1102"/>
      <c r="E394" s="1102"/>
      <c r="F394" s="1102"/>
      <c r="G394" s="1102"/>
      <c r="H394" s="1102"/>
      <c r="I394" s="1102"/>
      <c r="J394" s="1102"/>
      <c r="K394" s="1102"/>
      <c r="L394" s="5"/>
    </row>
    <row r="395" spans="1:12">
      <c r="A395" s="4"/>
      <c r="B395" s="1102"/>
      <c r="C395" s="1102"/>
      <c r="D395" s="1102" t="s">
        <v>116</v>
      </c>
      <c r="E395" s="1102"/>
      <c r="F395" s="1102"/>
      <c r="G395" s="1102" t="s">
        <v>118</v>
      </c>
      <c r="H395" s="671"/>
      <c r="I395" s="659"/>
      <c r="J395" s="672"/>
      <c r="K395" s="1102"/>
      <c r="L395" s="5"/>
    </row>
    <row r="396" spans="1:12">
      <c r="A396" s="4"/>
      <c r="B396" s="1102" t="s">
        <v>115</v>
      </c>
      <c r="C396" s="1102"/>
      <c r="D396" s="1102"/>
      <c r="E396" s="1102"/>
      <c r="F396" s="1102"/>
      <c r="G396" s="1102"/>
      <c r="H396" s="1102"/>
      <c r="I396" s="1102"/>
      <c r="J396" s="1102"/>
      <c r="K396" s="1102"/>
      <c r="L396" s="5"/>
    </row>
    <row r="397" spans="1:12">
      <c r="A397" s="4"/>
      <c r="B397" s="1102"/>
      <c r="C397" s="1102"/>
      <c r="D397" s="1102"/>
      <c r="E397" s="1102"/>
      <c r="F397" s="1102"/>
      <c r="G397" s="1102" t="s">
        <v>119</v>
      </c>
      <c r="H397" s="1102"/>
      <c r="I397" s="1102" t="s">
        <v>120</v>
      </c>
      <c r="J397" s="1102"/>
      <c r="K397" s="1102"/>
      <c r="L397" s="5"/>
    </row>
    <row r="398" spans="1:12">
      <c r="A398" s="4"/>
      <c r="B398" s="1102"/>
      <c r="C398" s="1102"/>
      <c r="D398" s="1102" t="s">
        <v>117</v>
      </c>
      <c r="E398" s="1102"/>
      <c r="F398" s="1102"/>
      <c r="G398" s="1102"/>
      <c r="H398" s="1102"/>
      <c r="I398" s="1102"/>
      <c r="J398" s="1102"/>
      <c r="K398" s="1102"/>
      <c r="L398" s="5"/>
    </row>
    <row r="399" spans="1:12">
      <c r="A399" s="4"/>
      <c r="B399" s="1102"/>
      <c r="C399" s="1102"/>
      <c r="D399" s="1102"/>
      <c r="E399" s="1102"/>
      <c r="F399" s="1102"/>
      <c r="G399" s="1102"/>
      <c r="H399" s="1102"/>
      <c r="I399" s="1102"/>
      <c r="J399" s="1102"/>
      <c r="K399" s="1102"/>
      <c r="L399" s="5"/>
    </row>
    <row r="400" spans="1:12">
      <c r="A400" s="4"/>
      <c r="B400" s="1102"/>
      <c r="C400" s="1102"/>
      <c r="D400" s="1102"/>
      <c r="E400" s="1102"/>
      <c r="F400" s="1102" t="s">
        <v>522</v>
      </c>
      <c r="G400" s="1102"/>
      <c r="H400" s="1087"/>
      <c r="I400" s="1088"/>
      <c r="J400" s="1089"/>
      <c r="K400" s="1102"/>
      <c r="L400" s="5"/>
    </row>
    <row r="401" spans="1:12">
      <c r="A401" s="4"/>
      <c r="B401" s="1102"/>
      <c r="C401" s="1102"/>
      <c r="D401" s="1102"/>
      <c r="E401" s="1102"/>
      <c r="F401" s="1102"/>
      <c r="G401" s="1102"/>
      <c r="H401" s="1102"/>
      <c r="I401" s="1102"/>
      <c r="J401" s="1102"/>
      <c r="K401" s="1102"/>
      <c r="L401" s="5"/>
    </row>
    <row r="402" spans="1:12">
      <c r="A402" s="4"/>
      <c r="B402" s="1102" t="s">
        <v>523</v>
      </c>
      <c r="C402" s="1102"/>
      <c r="D402" s="1102"/>
      <c r="E402" s="1102"/>
      <c r="F402" s="1102"/>
      <c r="G402" s="1102"/>
      <c r="H402" s="1102"/>
      <c r="I402" s="1102"/>
      <c r="J402" s="1102"/>
      <c r="K402" s="1102"/>
      <c r="L402" s="5"/>
    </row>
    <row r="403" spans="1:12">
      <c r="A403" s="4"/>
      <c r="B403" s="1102" t="s">
        <v>524</v>
      </c>
      <c r="C403" s="1102"/>
      <c r="D403" s="1102"/>
      <c r="E403" s="1102"/>
      <c r="F403" s="1102"/>
      <c r="G403" s="1102"/>
      <c r="H403" s="1102"/>
      <c r="I403" s="1102"/>
      <c r="J403" s="1102"/>
      <c r="K403" s="1102"/>
      <c r="L403" s="5"/>
    </row>
    <row r="404" spans="1:12">
      <c r="A404" s="4"/>
      <c r="B404" s="1102" t="s">
        <v>525</v>
      </c>
      <c r="C404" s="1102"/>
      <c r="D404" s="1102"/>
      <c r="E404" s="1102"/>
      <c r="F404" s="1102"/>
      <c r="G404" s="1102"/>
      <c r="H404" s="1102"/>
      <c r="I404" s="1102"/>
      <c r="J404" s="1102"/>
      <c r="K404" s="1102"/>
      <c r="L404" s="5"/>
    </row>
    <row r="405" spans="1:12">
      <c r="A405" s="4"/>
      <c r="B405" s="1102" t="s">
        <v>121</v>
      </c>
      <c r="C405" s="1102"/>
      <c r="D405" s="1102"/>
      <c r="E405" s="1102"/>
      <c r="F405" s="1102"/>
      <c r="G405" s="1102"/>
      <c r="H405" s="1102"/>
      <c r="I405" s="1102"/>
      <c r="J405" s="1102"/>
      <c r="K405" s="1102"/>
      <c r="L405" s="5"/>
    </row>
    <row r="406" spans="1:12">
      <c r="A406" s="4"/>
      <c r="B406" s="1102" t="s">
        <v>970</v>
      </c>
      <c r="C406" s="1102"/>
      <c r="D406" s="1102"/>
      <c r="E406" s="1102"/>
      <c r="F406" s="1102"/>
      <c r="G406" s="1102"/>
      <c r="H406" s="1102"/>
      <c r="I406" s="1102"/>
      <c r="J406" s="1102"/>
      <c r="K406" s="1102"/>
      <c r="L406" s="5"/>
    </row>
    <row r="407" spans="1:12">
      <c r="A407" s="4"/>
      <c r="B407" s="1102"/>
      <c r="C407" s="1102"/>
      <c r="D407" s="1102"/>
      <c r="E407" s="1102"/>
      <c r="F407" s="1102"/>
      <c r="G407" s="1102"/>
      <c r="H407" s="1102"/>
      <c r="I407" s="1102"/>
      <c r="J407" s="1102"/>
      <c r="K407" s="1102"/>
      <c r="L407" s="5"/>
    </row>
    <row r="408" spans="1:12">
      <c r="A408" s="4"/>
      <c r="B408" s="1102" t="s">
        <v>971</v>
      </c>
      <c r="C408" s="1102"/>
      <c r="D408" s="1102"/>
      <c r="E408" s="1102"/>
      <c r="F408" s="1102"/>
      <c r="G408" s="1102"/>
      <c r="H408" s="1102"/>
      <c r="I408" s="1102"/>
      <c r="J408" s="1102"/>
      <c r="K408" s="1102"/>
      <c r="L408" s="5"/>
    </row>
    <row r="409" spans="1:12">
      <c r="A409" s="4"/>
      <c r="B409" s="1102"/>
      <c r="C409" s="1102"/>
      <c r="D409" s="1102"/>
      <c r="E409" s="1102"/>
      <c r="F409" s="1102"/>
      <c r="G409" s="1102"/>
      <c r="H409" s="1102"/>
      <c r="I409" s="1102"/>
      <c r="J409" s="1102"/>
      <c r="K409" s="1102"/>
      <c r="L409" s="5"/>
    </row>
    <row r="410" spans="1:12">
      <c r="A410" s="4"/>
      <c r="B410" s="1102"/>
      <c r="C410" s="1102"/>
      <c r="D410" s="1102"/>
      <c r="E410" s="1102"/>
      <c r="F410" s="1102"/>
      <c r="G410" s="1102"/>
      <c r="H410" s="1102"/>
      <c r="I410" s="1102"/>
      <c r="J410" s="1102"/>
      <c r="K410" s="1102"/>
      <c r="L410" s="5"/>
    </row>
    <row r="411" spans="1:12">
      <c r="A411" s="4"/>
      <c r="B411" s="1102"/>
      <c r="C411" s="1102"/>
      <c r="D411" s="1102"/>
      <c r="E411" s="1102"/>
      <c r="F411" s="1102"/>
      <c r="G411" s="1102"/>
      <c r="H411" s="1102"/>
      <c r="I411" s="1102"/>
      <c r="J411" s="1102"/>
      <c r="K411" s="1102"/>
      <c r="L411" s="5"/>
    </row>
    <row r="412" spans="1:12">
      <c r="A412" s="4"/>
      <c r="B412" s="1102"/>
      <c r="C412" s="1102"/>
      <c r="D412" s="1102"/>
      <c r="E412" s="1102"/>
      <c r="F412" s="1102"/>
      <c r="G412" s="1102"/>
      <c r="H412" s="1102"/>
      <c r="I412" s="1102"/>
      <c r="J412" s="1102"/>
      <c r="K412" s="1102"/>
      <c r="L412" s="5"/>
    </row>
    <row r="413" spans="1:12">
      <c r="A413" s="4"/>
      <c r="B413" s="1102"/>
      <c r="C413" s="1102"/>
      <c r="D413" s="1102"/>
      <c r="E413" s="1102"/>
      <c r="F413" s="1102"/>
      <c r="G413" s="1102"/>
      <c r="H413" s="1102"/>
      <c r="I413" s="1102"/>
      <c r="J413" s="1102"/>
      <c r="K413" s="1102"/>
      <c r="L413" s="5"/>
    </row>
    <row r="414" spans="1:12">
      <c r="A414" s="4"/>
      <c r="B414" s="1102"/>
      <c r="C414" s="1102"/>
      <c r="D414" s="1102"/>
      <c r="E414" s="1102"/>
      <c r="F414" s="1102"/>
      <c r="G414" s="1102"/>
      <c r="H414" s="1102"/>
      <c r="I414" s="1102"/>
      <c r="J414" s="1102"/>
      <c r="K414" s="1102"/>
      <c r="L414" s="5"/>
    </row>
    <row r="415" spans="1:12">
      <c r="A415" s="4"/>
      <c r="B415" s="1102"/>
      <c r="C415" s="1102"/>
      <c r="D415" s="1102"/>
      <c r="E415" s="1102"/>
      <c r="F415" s="1102"/>
      <c r="G415" s="1102"/>
      <c r="H415" s="1102"/>
      <c r="I415" s="1102"/>
      <c r="J415" s="1102"/>
      <c r="K415" s="1102"/>
      <c r="L415" s="5"/>
    </row>
    <row r="416" spans="1:12">
      <c r="A416" s="4"/>
      <c r="B416" s="1102"/>
      <c r="C416" s="1102"/>
      <c r="D416" s="1102"/>
      <c r="E416" s="1102"/>
      <c r="F416" s="1102"/>
      <c r="G416" s="1102"/>
      <c r="H416" s="1102"/>
      <c r="I416" s="1102"/>
      <c r="J416" s="1102"/>
      <c r="K416" s="1102"/>
      <c r="L416" s="5"/>
    </row>
    <row r="417" spans="1:12">
      <c r="A417" s="4"/>
      <c r="B417" s="1102"/>
      <c r="C417" s="1102"/>
      <c r="D417" s="1102"/>
      <c r="E417" s="1102"/>
      <c r="F417" s="1102"/>
      <c r="G417" s="1102"/>
      <c r="H417" s="1102"/>
      <c r="I417" s="1102"/>
      <c r="J417" s="1102"/>
      <c r="K417" s="1102"/>
      <c r="L417" s="5"/>
    </row>
    <row r="418" spans="1:12">
      <c r="A418" s="4"/>
      <c r="B418" s="1102"/>
      <c r="C418" s="1102"/>
      <c r="D418" s="1102"/>
      <c r="E418" s="1102"/>
      <c r="F418" s="1102"/>
      <c r="G418" s="1102"/>
      <c r="H418" s="1102"/>
      <c r="I418" s="1102"/>
      <c r="J418" s="1102"/>
      <c r="K418" s="1102"/>
      <c r="L418" s="5"/>
    </row>
    <row r="419" spans="1:12">
      <c r="A419" s="4"/>
      <c r="B419" s="1102"/>
      <c r="C419" s="1102"/>
      <c r="D419" s="1102"/>
      <c r="E419" s="1102"/>
      <c r="F419" s="1102"/>
      <c r="G419" s="1102"/>
      <c r="H419" s="1102"/>
      <c r="I419" s="1102"/>
      <c r="J419" s="1102"/>
      <c r="K419" s="1102"/>
      <c r="L419" s="5"/>
    </row>
    <row r="420" spans="1:12">
      <c r="A420" s="4"/>
      <c r="B420" s="1102"/>
      <c r="C420" s="1102"/>
      <c r="D420" s="1102"/>
      <c r="E420" s="1102"/>
      <c r="F420" s="1102"/>
      <c r="G420" s="1102"/>
      <c r="H420" s="1102"/>
      <c r="I420" s="1102"/>
      <c r="J420" s="1102"/>
      <c r="K420" s="1102"/>
      <c r="L420" s="5"/>
    </row>
    <row r="421" spans="1:12">
      <c r="A421" s="4"/>
      <c r="B421" s="1102"/>
      <c r="C421" s="1102"/>
      <c r="D421" s="1102"/>
      <c r="E421" s="1102"/>
      <c r="F421" s="1102"/>
      <c r="G421" s="1102"/>
      <c r="H421" s="1102"/>
      <c r="I421" s="1102"/>
      <c r="J421" s="1102"/>
      <c r="K421" s="1102"/>
      <c r="L421" s="5"/>
    </row>
    <row r="422" spans="1:12">
      <c r="A422" s="4"/>
      <c r="B422" s="1102"/>
      <c r="C422" s="1102"/>
      <c r="D422" s="1102"/>
      <c r="E422" s="1102"/>
      <c r="F422" s="1102"/>
      <c r="G422" s="1102"/>
      <c r="H422" s="1102"/>
      <c r="I422" s="1102"/>
      <c r="J422" s="1102"/>
      <c r="K422" s="1102"/>
      <c r="L422" s="5"/>
    </row>
    <row r="423" spans="1:12">
      <c r="A423" s="4"/>
      <c r="B423" s="1102"/>
      <c r="C423" s="1102"/>
      <c r="D423" s="1102"/>
      <c r="E423" s="1102"/>
      <c r="F423" s="1102"/>
      <c r="G423" s="1102"/>
      <c r="H423" s="1102"/>
      <c r="I423" s="1102"/>
      <c r="J423" s="1102"/>
      <c r="K423" s="1102"/>
      <c r="L423" s="5"/>
    </row>
    <row r="424" spans="1:12">
      <c r="A424" s="4"/>
      <c r="B424" s="1102"/>
      <c r="C424" s="1102"/>
      <c r="D424" s="1102"/>
      <c r="E424" s="1102"/>
      <c r="F424" s="1102"/>
      <c r="G424" s="1102"/>
      <c r="H424" s="1102"/>
      <c r="I424" s="1102"/>
      <c r="J424" s="1102"/>
      <c r="K424" s="1102"/>
      <c r="L424" s="5"/>
    </row>
    <row r="425" spans="1:12">
      <c r="A425" s="4"/>
      <c r="B425" s="1116" t="s">
        <v>527</v>
      </c>
      <c r="C425" s="546"/>
      <c r="D425" s="1090">
        <v>43216</v>
      </c>
      <c r="E425" s="1089"/>
      <c r="F425" s="1102"/>
      <c r="G425" s="1102"/>
      <c r="H425" s="1102"/>
      <c r="I425" s="1102"/>
      <c r="J425" s="1102"/>
      <c r="K425" s="1102"/>
      <c r="L425" s="5"/>
    </row>
    <row r="426" spans="1:12">
      <c r="A426" s="6"/>
      <c r="B426" s="7"/>
      <c r="C426" s="7"/>
      <c r="D426" s="7"/>
      <c r="E426" s="7"/>
      <c r="F426" s="7"/>
      <c r="G426" s="7"/>
      <c r="H426" s="7"/>
      <c r="I426" s="7"/>
      <c r="J426" s="7"/>
      <c r="K426" s="7"/>
      <c r="L426" s="8"/>
    </row>
    <row r="427" spans="1:12">
      <c r="A427" s="1102"/>
      <c r="L427" s="1102"/>
    </row>
    <row r="428" spans="1:12">
      <c r="A428" s="1102"/>
      <c r="L428" s="1102"/>
    </row>
    <row r="429" spans="1:12">
      <c r="A429" s="1122" t="s">
        <v>972</v>
      </c>
      <c r="B429" s="1125"/>
      <c r="C429" s="1125"/>
      <c r="D429" s="1125"/>
      <c r="E429" s="1125"/>
      <c r="F429" s="1125"/>
      <c r="G429" s="1125"/>
      <c r="H429" s="1125"/>
      <c r="I429" s="1125"/>
      <c r="J429" s="1125"/>
      <c r="K429" s="1125"/>
      <c r="L429" s="1124"/>
    </row>
    <row r="430" spans="1:12">
      <c r="A430" s="1102"/>
      <c r="L430" s="1102"/>
    </row>
    <row r="431" spans="1:12">
      <c r="A431" s="565" t="s">
        <v>124</v>
      </c>
      <c r="B431" s="1142"/>
      <c r="C431" s="1142"/>
      <c r="D431" s="1142"/>
      <c r="E431" s="1142"/>
      <c r="F431" s="1142"/>
      <c r="G431" s="1142"/>
      <c r="H431" s="566"/>
      <c r="I431" s="565" t="s">
        <v>125</v>
      </c>
      <c r="J431" s="1142"/>
      <c r="K431" s="1142"/>
      <c r="L431" s="566"/>
    </row>
    <row r="432" spans="1:12" ht="15" customHeight="1">
      <c r="A432" s="398"/>
      <c r="B432" s="398"/>
      <c r="C432" s="398"/>
      <c r="D432" s="398"/>
      <c r="E432" s="398"/>
      <c r="F432" s="398"/>
      <c r="G432" s="398"/>
      <c r="H432" s="398"/>
      <c r="I432" s="601"/>
      <c r="J432" s="601"/>
      <c r="K432" s="601"/>
      <c r="L432" s="601"/>
    </row>
    <row r="433" spans="1:12" ht="15" customHeight="1">
      <c r="A433" s="398"/>
      <c r="B433" s="398"/>
      <c r="C433" s="398"/>
      <c r="D433" s="398"/>
      <c r="E433" s="398"/>
      <c r="F433" s="398"/>
      <c r="G433" s="398"/>
      <c r="H433" s="398"/>
      <c r="I433" s="601"/>
      <c r="J433" s="601"/>
      <c r="K433" s="601"/>
      <c r="L433" s="601"/>
    </row>
    <row r="434" spans="1:12" ht="15" customHeight="1">
      <c r="A434" s="398"/>
      <c r="B434" s="398"/>
      <c r="C434" s="398"/>
      <c r="D434" s="398"/>
      <c r="E434" s="398"/>
      <c r="F434" s="398"/>
      <c r="G434" s="398"/>
      <c r="H434" s="398"/>
      <c r="I434" s="601"/>
      <c r="J434" s="601"/>
      <c r="K434" s="601"/>
      <c r="L434" s="601"/>
    </row>
    <row r="435" spans="1:12" ht="15" customHeight="1">
      <c r="A435" s="398"/>
      <c r="B435" s="398"/>
      <c r="C435" s="398"/>
      <c r="D435" s="398"/>
      <c r="E435" s="398"/>
      <c r="F435" s="398"/>
      <c r="G435" s="398"/>
      <c r="H435" s="398"/>
      <c r="I435" s="601"/>
      <c r="J435" s="601"/>
      <c r="K435" s="601"/>
      <c r="L435" s="601"/>
    </row>
    <row r="436" spans="1:12" ht="15" customHeight="1">
      <c r="A436" s="398"/>
      <c r="B436" s="398"/>
      <c r="C436" s="398"/>
      <c r="D436" s="398"/>
      <c r="E436" s="398"/>
      <c r="F436" s="398"/>
      <c r="G436" s="398"/>
      <c r="H436" s="398"/>
      <c r="I436" s="601"/>
      <c r="J436" s="601"/>
      <c r="K436" s="601"/>
      <c r="L436" s="601"/>
    </row>
    <row r="437" spans="1:12" ht="15" customHeight="1">
      <c r="A437" s="398"/>
      <c r="B437" s="398"/>
      <c r="C437" s="398"/>
      <c r="D437" s="398"/>
      <c r="E437" s="398"/>
      <c r="F437" s="398"/>
      <c r="G437" s="398"/>
      <c r="H437" s="398"/>
      <c r="I437" s="601"/>
      <c r="J437" s="601"/>
      <c r="K437" s="601"/>
      <c r="L437" s="601"/>
    </row>
    <row r="438" spans="1:12" ht="15" customHeight="1">
      <c r="A438" s="398"/>
      <c r="B438" s="398"/>
      <c r="C438" s="398"/>
      <c r="D438" s="398"/>
      <c r="E438" s="398"/>
      <c r="F438" s="398"/>
      <c r="G438" s="398"/>
      <c r="H438" s="398"/>
      <c r="I438" s="601"/>
      <c r="J438" s="601"/>
      <c r="K438" s="601"/>
      <c r="L438" s="601"/>
    </row>
    <row r="439" spans="1:12" ht="15" customHeight="1">
      <c r="A439" s="398"/>
      <c r="B439" s="398"/>
      <c r="C439" s="398"/>
      <c r="D439" s="398"/>
      <c r="E439" s="398"/>
      <c r="F439" s="398"/>
      <c r="G439" s="398"/>
      <c r="H439" s="398"/>
      <c r="I439" s="601"/>
      <c r="J439" s="601"/>
      <c r="K439" s="601"/>
      <c r="L439" s="601"/>
    </row>
    <row r="440" spans="1:12" ht="15" customHeight="1">
      <c r="A440" s="398"/>
      <c r="B440" s="398"/>
      <c r="C440" s="398"/>
      <c r="D440" s="398"/>
      <c r="E440" s="398"/>
      <c r="F440" s="398"/>
      <c r="G440" s="398"/>
      <c r="H440" s="398"/>
      <c r="I440" s="601"/>
      <c r="J440" s="601"/>
      <c r="K440" s="601"/>
      <c r="L440" s="601"/>
    </row>
    <row r="441" spans="1:12" ht="15" customHeight="1">
      <c r="A441" s="398"/>
      <c r="B441" s="398"/>
      <c r="C441" s="398"/>
      <c r="D441" s="398"/>
      <c r="E441" s="398"/>
      <c r="F441" s="398"/>
      <c r="G441" s="398"/>
      <c r="H441" s="398"/>
      <c r="I441" s="601"/>
      <c r="J441" s="601"/>
      <c r="K441" s="601"/>
      <c r="L441" s="601"/>
    </row>
    <row r="442" spans="1:12" ht="15" customHeight="1">
      <c r="A442" s="398"/>
      <c r="B442" s="398"/>
      <c r="C442" s="398"/>
      <c r="D442" s="398"/>
      <c r="E442" s="398"/>
      <c r="F442" s="398"/>
      <c r="G442" s="398"/>
      <c r="H442" s="398"/>
      <c r="I442" s="601"/>
      <c r="J442" s="601"/>
      <c r="K442" s="601"/>
      <c r="L442" s="601"/>
    </row>
    <row r="443" spans="1:12" ht="15" customHeight="1">
      <c r="A443" s="398"/>
      <c r="B443" s="398"/>
      <c r="C443" s="398"/>
      <c r="D443" s="398"/>
      <c r="E443" s="398"/>
      <c r="F443" s="398"/>
      <c r="G443" s="398"/>
      <c r="H443" s="398"/>
      <c r="I443" s="601"/>
      <c r="J443" s="601"/>
      <c r="K443" s="601"/>
      <c r="L443" s="601"/>
    </row>
    <row r="444" spans="1:12">
      <c r="A444" s="1102"/>
      <c r="L444" s="1102"/>
    </row>
    <row r="445" spans="1:12">
      <c r="A445" s="1102"/>
      <c r="L445" s="1102"/>
    </row>
    <row r="446" spans="1:12">
      <c r="A446" s="1139" t="s">
        <v>973</v>
      </c>
      <c r="B446" s="1139"/>
      <c r="C446" s="1139"/>
      <c r="D446" s="1139"/>
      <c r="E446" s="1139"/>
      <c r="F446" s="1139"/>
      <c r="G446" s="1139"/>
      <c r="H446" s="1139"/>
      <c r="I446" s="1139"/>
      <c r="J446" s="1139"/>
      <c r="K446" s="1139"/>
      <c r="L446" s="1139"/>
    </row>
    <row r="447" spans="1:12">
      <c r="A447" s="1102"/>
      <c r="B447" s="310"/>
      <c r="C447" s="310"/>
      <c r="D447" s="310"/>
      <c r="E447" s="310"/>
      <c r="F447" s="310"/>
      <c r="G447" s="310"/>
      <c r="H447" s="310"/>
      <c r="I447" s="310"/>
      <c r="J447" s="310"/>
      <c r="K447" s="310"/>
      <c r="L447" s="1102"/>
    </row>
    <row r="448" spans="1:12">
      <c r="A448" s="1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3"/>
    </row>
    <row r="449" spans="1:12">
      <c r="A449" s="4"/>
      <c r="B449" s="1102" t="s">
        <v>974</v>
      </c>
      <c r="C449" s="1102"/>
      <c r="D449" s="7"/>
      <c r="E449" s="1091"/>
      <c r="F449" s="1091"/>
      <c r="G449" s="1091"/>
      <c r="H449" s="1091"/>
      <c r="I449" s="1143" t="s">
        <v>975</v>
      </c>
      <c r="J449" s="1111"/>
      <c r="K449" s="1108"/>
      <c r="L449" s="5"/>
    </row>
    <row r="450" spans="1:12">
      <c r="A450" s="4"/>
      <c r="B450" s="1102" t="s">
        <v>976</v>
      </c>
      <c r="C450" s="1102"/>
      <c r="D450" s="1102"/>
      <c r="E450" s="1111"/>
      <c r="F450" s="1111"/>
      <c r="G450" s="1111"/>
      <c r="H450" s="1111"/>
      <c r="I450" s="1111"/>
      <c r="J450" s="1111"/>
      <c r="K450" s="1108"/>
      <c r="L450" s="5"/>
    </row>
    <row r="451" spans="1:12">
      <c r="A451" s="4"/>
      <c r="B451" s="1102" t="s">
        <v>977</v>
      </c>
      <c r="C451" s="1102"/>
      <c r="D451" s="1102"/>
      <c r="E451" s="1111"/>
      <c r="F451" s="1111"/>
      <c r="G451" s="1111"/>
      <c r="H451" s="1111"/>
      <c r="I451" s="1111"/>
      <c r="J451" s="1111"/>
      <c r="K451" s="1108"/>
      <c r="L451" s="5"/>
    </row>
    <row r="452" spans="1:12">
      <c r="A452" s="4"/>
      <c r="B452" s="1102"/>
      <c r="C452" s="1102"/>
      <c r="D452" s="1102"/>
      <c r="E452" s="1111"/>
      <c r="F452" s="1111"/>
      <c r="G452" s="1111"/>
      <c r="H452" s="1111"/>
      <c r="I452" s="1111"/>
      <c r="J452" s="1111"/>
      <c r="K452" s="1108"/>
      <c r="L452" s="5"/>
    </row>
    <row r="453" spans="1:12">
      <c r="A453" s="4"/>
      <c r="B453" s="1102"/>
      <c r="C453" s="1102"/>
      <c r="D453" s="1102"/>
      <c r="E453" s="1111"/>
      <c r="F453" s="1111"/>
      <c r="G453" s="1111"/>
      <c r="H453" s="1111"/>
      <c r="I453" s="1111"/>
      <c r="J453" s="1111"/>
      <c r="K453" s="1108"/>
      <c r="L453" s="5"/>
    </row>
    <row r="454" spans="1:12">
      <c r="A454" s="4"/>
      <c r="B454" s="1102" t="s">
        <v>978</v>
      </c>
      <c r="C454" s="1102"/>
      <c r="D454" s="1102"/>
      <c r="E454" s="1111"/>
      <c r="F454" s="1111"/>
      <c r="G454" s="1111"/>
      <c r="H454" s="1111"/>
      <c r="I454" s="1111"/>
      <c r="J454" s="1111"/>
      <c r="K454" s="1108"/>
      <c r="L454" s="5"/>
    </row>
    <row r="455" spans="1:12">
      <c r="A455" s="4"/>
      <c r="B455" s="1102"/>
      <c r="C455" s="1102"/>
      <c r="D455" s="1102"/>
      <c r="E455" s="1111"/>
      <c r="F455" s="1111"/>
      <c r="G455" s="1111"/>
      <c r="H455" s="1111"/>
      <c r="I455" s="1111"/>
      <c r="J455" s="1111"/>
      <c r="K455" s="1108"/>
      <c r="L455" s="5"/>
    </row>
    <row r="456" spans="1:12">
      <c r="A456" s="4"/>
      <c r="B456" s="1105"/>
      <c r="C456" s="1105"/>
      <c r="D456" s="1105"/>
      <c r="E456" s="1105"/>
      <c r="F456" s="1105"/>
      <c r="G456" s="1105"/>
      <c r="H456" s="1105"/>
      <c r="I456" s="1102"/>
      <c r="J456" s="1102"/>
      <c r="K456" s="1102"/>
      <c r="L456" s="5"/>
    </row>
    <row r="457" spans="1:12">
      <c r="A457" s="4"/>
      <c r="B457" s="1104"/>
      <c r="C457" s="1104"/>
      <c r="D457" s="1104"/>
      <c r="E457" s="1104"/>
      <c r="F457" s="1104"/>
      <c r="G457" s="1104"/>
      <c r="H457" s="1104"/>
      <c r="I457" s="1102"/>
      <c r="J457" s="1102"/>
      <c r="K457" s="1102"/>
      <c r="L457" s="5"/>
    </row>
    <row r="458" spans="1:12">
      <c r="A458" s="4"/>
      <c r="B458" s="1104"/>
      <c r="C458" s="1104"/>
      <c r="D458" s="1104"/>
      <c r="E458" s="1104"/>
      <c r="F458" s="1104"/>
      <c r="G458" s="1104"/>
      <c r="H458" s="1104"/>
      <c r="I458" s="1102"/>
      <c r="J458" s="1102"/>
      <c r="K458" s="1102"/>
      <c r="L458" s="5"/>
    </row>
    <row r="459" spans="1:12">
      <c r="A459" s="4"/>
      <c r="B459" s="1104"/>
      <c r="C459" s="1104"/>
      <c r="D459" s="1104"/>
      <c r="E459" s="1104"/>
      <c r="F459" s="1104"/>
      <c r="G459" s="1104"/>
      <c r="H459" s="1104"/>
      <c r="I459" s="1102"/>
      <c r="J459" s="1102"/>
      <c r="K459" s="1102"/>
      <c r="L459" s="5"/>
    </row>
    <row r="460" spans="1:12">
      <c r="A460" s="4"/>
      <c r="B460" s="1104"/>
      <c r="C460" s="1104"/>
      <c r="D460" s="1104"/>
      <c r="E460" s="1104"/>
      <c r="F460" s="1104"/>
      <c r="G460" s="1104"/>
      <c r="H460" s="1104"/>
      <c r="I460" s="1102"/>
      <c r="J460" s="1102"/>
      <c r="K460" s="1102"/>
      <c r="L460" s="5"/>
    </row>
    <row r="461" spans="1:12">
      <c r="A461" s="4"/>
      <c r="B461" s="1104"/>
      <c r="C461" s="1104"/>
      <c r="D461" s="1104"/>
      <c r="E461" s="1104"/>
      <c r="F461" s="1104"/>
      <c r="G461" s="1104"/>
      <c r="H461" s="1104"/>
      <c r="I461" s="1102"/>
      <c r="J461" s="1102"/>
      <c r="K461" s="1102"/>
      <c r="L461" s="5"/>
    </row>
    <row r="462" spans="1:12">
      <c r="A462" s="4"/>
      <c r="B462" s="1104"/>
      <c r="C462" s="1104"/>
      <c r="D462" s="1104"/>
      <c r="E462" s="1104"/>
      <c r="F462" s="1104"/>
      <c r="G462" s="1104"/>
      <c r="H462" s="1104"/>
      <c r="I462" s="1102"/>
      <c r="J462" s="1102"/>
      <c r="K462" s="1102"/>
      <c r="L462" s="5"/>
    </row>
    <row r="463" spans="1:12">
      <c r="A463" s="4"/>
      <c r="B463" s="1104"/>
      <c r="C463" s="1104"/>
      <c r="D463" s="1104"/>
      <c r="E463" s="1104"/>
      <c r="F463" s="1104"/>
      <c r="G463" s="1104"/>
      <c r="H463" s="1104"/>
      <c r="I463" s="1102"/>
      <c r="J463" s="1102"/>
      <c r="K463" s="1102"/>
      <c r="L463" s="5"/>
    </row>
    <row r="464" spans="1:12">
      <c r="A464" s="4"/>
      <c r="B464" s="1102"/>
      <c r="C464" s="1102"/>
      <c r="D464" s="1102"/>
      <c r="E464" s="1102"/>
      <c r="F464" s="1102"/>
      <c r="G464" s="1102"/>
      <c r="H464" s="1102"/>
      <c r="I464" s="1102"/>
      <c r="J464" s="1102"/>
      <c r="K464" s="1102"/>
      <c r="L464" s="5"/>
    </row>
    <row r="465" spans="1:12">
      <c r="A465" s="4"/>
      <c r="B465" s="1105"/>
      <c r="C465" s="1105"/>
      <c r="D465" s="1105"/>
      <c r="E465" s="1105"/>
      <c r="F465" s="1105"/>
      <c r="G465" s="1105"/>
      <c r="H465" s="1105"/>
      <c r="I465" s="1102"/>
      <c r="J465" s="1102"/>
      <c r="K465" s="1102"/>
      <c r="L465" s="5"/>
    </row>
    <row r="466" spans="1:12">
      <c r="A466" s="4"/>
      <c r="B466" s="1102"/>
      <c r="C466" s="1102"/>
      <c r="D466" s="1102"/>
      <c r="E466" s="1102"/>
      <c r="F466" s="1102"/>
      <c r="G466" s="1102"/>
      <c r="H466" s="1102"/>
      <c r="I466" s="1102"/>
      <c r="J466" s="1102"/>
      <c r="K466" s="1102"/>
      <c r="L466" s="5"/>
    </row>
    <row r="467" spans="1:12">
      <c r="A467" s="4"/>
      <c r="B467" s="1105"/>
      <c r="C467" s="1105"/>
      <c r="D467" s="1105"/>
      <c r="E467" s="1105"/>
      <c r="F467" s="1105"/>
      <c r="G467" s="1105"/>
      <c r="H467" s="1105"/>
      <c r="I467" s="1102"/>
      <c r="J467" s="1102"/>
      <c r="K467" s="1102"/>
      <c r="L467" s="5"/>
    </row>
    <row r="468" spans="1:12">
      <c r="A468" s="4"/>
      <c r="B468" s="1116"/>
      <c r="C468" s="1116"/>
      <c r="D468" s="1116"/>
      <c r="E468" s="1116"/>
      <c r="F468" s="1116"/>
      <c r="G468" s="1116"/>
      <c r="H468" s="1116"/>
      <c r="I468" s="1102"/>
      <c r="J468" s="1102"/>
      <c r="K468" s="1102"/>
      <c r="L468" s="5"/>
    </row>
    <row r="469" spans="1:12">
      <c r="A469" s="4"/>
      <c r="B469" s="1102"/>
      <c r="C469" s="1102"/>
      <c r="D469" s="1102"/>
      <c r="E469" s="1102"/>
      <c r="F469" s="1102"/>
      <c r="G469" s="1102"/>
      <c r="H469" s="1102"/>
      <c r="I469" s="1102"/>
      <c r="J469" s="1102"/>
      <c r="K469" s="1102"/>
      <c r="L469" s="5"/>
    </row>
    <row r="470" spans="1:12">
      <c r="A470" s="4"/>
      <c r="B470" s="1102"/>
      <c r="C470" s="1102"/>
      <c r="D470" s="1102"/>
      <c r="E470" s="1102"/>
      <c r="F470" s="1102"/>
      <c r="G470" s="1102"/>
      <c r="H470" s="1102"/>
      <c r="I470" s="1102"/>
      <c r="J470" s="1102"/>
      <c r="K470" s="1102"/>
      <c r="L470" s="5"/>
    </row>
    <row r="471" spans="1:12">
      <c r="A471" s="4"/>
      <c r="B471" s="1102"/>
      <c r="C471" s="1102"/>
      <c r="D471" s="1102"/>
      <c r="E471" s="1102"/>
      <c r="F471" s="1102"/>
      <c r="G471" s="1102"/>
      <c r="H471" s="1102"/>
      <c r="I471" s="1102"/>
      <c r="J471" s="1102"/>
      <c r="K471" s="1102"/>
      <c r="L471" s="5"/>
    </row>
    <row r="472" spans="1:12">
      <c r="A472" s="4"/>
      <c r="B472" s="1102"/>
      <c r="C472" s="1102"/>
      <c r="D472" s="1102"/>
      <c r="E472" s="1102"/>
      <c r="F472" s="1102"/>
      <c r="G472" s="1102"/>
      <c r="H472" s="1102"/>
      <c r="I472" s="1102"/>
      <c r="J472" s="1102"/>
      <c r="K472" s="1102"/>
      <c r="L472" s="5"/>
    </row>
    <row r="473" spans="1:12">
      <c r="A473" s="4"/>
      <c r="B473" s="1102"/>
      <c r="C473" s="1102"/>
      <c r="D473" s="1102"/>
      <c r="E473" s="1102"/>
      <c r="F473" s="1102"/>
      <c r="G473" s="1102"/>
      <c r="H473" s="1102"/>
      <c r="I473" s="1102"/>
      <c r="J473" s="1102"/>
      <c r="K473" s="1102"/>
      <c r="L473" s="5"/>
    </row>
    <row r="474" spans="1:12">
      <c r="A474" s="4"/>
      <c r="B474" s="1102"/>
      <c r="C474" s="1102"/>
      <c r="D474" s="1102"/>
      <c r="E474" s="1102"/>
      <c r="F474" s="1102"/>
      <c r="G474" s="1102"/>
      <c r="H474" s="1102"/>
      <c r="I474" s="1102"/>
      <c r="J474" s="1102"/>
      <c r="K474" s="1102"/>
      <c r="L474" s="5"/>
    </row>
    <row r="475" spans="1:12">
      <c r="A475" s="4"/>
      <c r="B475" s="1102"/>
      <c r="C475" s="1102"/>
      <c r="D475" s="1102"/>
      <c r="E475" s="1102"/>
      <c r="F475" s="1102"/>
      <c r="G475" s="1102"/>
      <c r="H475" s="1102"/>
      <c r="I475" s="1102"/>
      <c r="J475" s="1102"/>
      <c r="K475" s="1102"/>
      <c r="L475" s="5"/>
    </row>
    <row r="476" spans="1:12">
      <c r="A476" s="4"/>
      <c r="B476" s="1105"/>
      <c r="C476" s="1105"/>
      <c r="D476" s="1105"/>
      <c r="E476" s="1105"/>
      <c r="F476" s="1105"/>
      <c r="G476" s="1105"/>
      <c r="H476" s="1102"/>
      <c r="I476" s="1102"/>
      <c r="J476" s="1102"/>
      <c r="K476" s="1102"/>
      <c r="L476" s="5"/>
    </row>
    <row r="477" spans="1:12">
      <c r="A477" s="4"/>
      <c r="B477" s="1102"/>
      <c r="C477" s="1102"/>
      <c r="D477" s="1102"/>
      <c r="E477" s="1102"/>
      <c r="F477" s="1102"/>
      <c r="G477" s="1102"/>
      <c r="H477" s="1102"/>
      <c r="I477" s="1102"/>
      <c r="J477" s="1102"/>
      <c r="K477" s="1102"/>
      <c r="L477" s="5"/>
    </row>
    <row r="478" spans="1:12">
      <c r="A478" s="4"/>
      <c r="B478" s="1102"/>
      <c r="C478" s="1102"/>
      <c r="D478" s="1102"/>
      <c r="E478" s="1102"/>
      <c r="F478" s="1102"/>
      <c r="G478" s="1102"/>
      <c r="H478" s="1102"/>
      <c r="I478" s="1102"/>
      <c r="J478" s="1102"/>
      <c r="K478" s="1102"/>
      <c r="L478" s="5"/>
    </row>
    <row r="479" spans="1:12">
      <c r="A479" s="4"/>
      <c r="B479" s="1102"/>
      <c r="C479" s="1102"/>
      <c r="D479" s="1102"/>
      <c r="E479" s="1102"/>
      <c r="F479" s="1102"/>
      <c r="G479" s="1102"/>
      <c r="H479" s="1102"/>
      <c r="I479" s="1102"/>
      <c r="J479" s="1102"/>
      <c r="K479" s="1102"/>
      <c r="L479" s="5"/>
    </row>
    <row r="480" spans="1:12">
      <c r="A480" s="4"/>
      <c r="B480" s="1102"/>
      <c r="C480" s="1102"/>
      <c r="D480" s="1102"/>
      <c r="E480" s="1102"/>
      <c r="F480" s="1102"/>
      <c r="G480" s="1102"/>
      <c r="H480" s="1102"/>
      <c r="I480" s="1102"/>
      <c r="J480" s="1102"/>
      <c r="K480" s="1102"/>
      <c r="L480" s="5"/>
    </row>
    <row r="481" spans="1:12">
      <c r="A481" s="4"/>
      <c r="B481" s="1140" t="s">
        <v>979</v>
      </c>
      <c r="C481" s="1140"/>
      <c r="D481" s="1140"/>
      <c r="E481" s="1102"/>
      <c r="F481" s="1102"/>
      <c r="G481" s="1102"/>
      <c r="H481" s="1102"/>
      <c r="I481" s="1102"/>
      <c r="J481" s="1102"/>
      <c r="K481" s="1102"/>
      <c r="L481" s="5"/>
    </row>
    <row r="482" spans="1:12">
      <c r="A482" s="4"/>
      <c r="B482" s="1115"/>
      <c r="C482" s="1115"/>
      <c r="D482" s="1115"/>
      <c r="E482" s="1102"/>
      <c r="F482" s="1102"/>
      <c r="G482" s="1102"/>
      <c r="H482" s="1102"/>
      <c r="I482" s="1102"/>
      <c r="J482" s="1102"/>
      <c r="K482" s="1102"/>
      <c r="L482" s="5"/>
    </row>
    <row r="483" spans="1:12">
      <c r="A483" s="6"/>
      <c r="B483" s="7"/>
      <c r="C483" s="7"/>
      <c r="D483" s="7"/>
      <c r="E483" s="7"/>
      <c r="F483" s="7"/>
      <c r="G483" s="7"/>
      <c r="H483" s="7"/>
      <c r="I483" s="7"/>
      <c r="J483" s="7"/>
      <c r="K483" s="7"/>
      <c r="L483" s="8"/>
    </row>
    <row r="484" spans="1:12">
      <c r="A484" s="1102"/>
      <c r="L484" s="1102"/>
    </row>
    <row r="485" spans="1:12">
      <c r="A485" s="1102"/>
      <c r="L485" s="1102"/>
    </row>
    <row r="486" spans="1:12">
      <c r="A486" s="1044" t="s">
        <v>980</v>
      </c>
      <c r="B486" s="1045"/>
      <c r="C486" s="1045"/>
      <c r="D486" s="1045"/>
      <c r="E486" s="1045"/>
      <c r="F486" s="1045"/>
      <c r="G486" s="1045"/>
      <c r="H486" s="1045"/>
      <c r="I486" s="1045"/>
      <c r="J486" s="1045"/>
      <c r="K486" s="1045"/>
      <c r="L486" s="1046"/>
    </row>
    <row r="487" spans="1:12">
      <c r="A487" s="1102"/>
      <c r="B487" s="310"/>
      <c r="C487" s="310"/>
      <c r="D487" s="310"/>
      <c r="E487" s="310"/>
      <c r="F487" s="310"/>
      <c r="G487" s="310"/>
      <c r="H487" s="310"/>
      <c r="I487" s="310"/>
      <c r="J487" s="310"/>
      <c r="K487" s="310"/>
      <c r="L487" s="1102"/>
    </row>
    <row r="488" spans="1:12">
      <c r="A488" s="1102"/>
      <c r="L488" s="1102"/>
    </row>
    <row r="489" spans="1:12">
      <c r="A489" s="1"/>
      <c r="B489" s="1092"/>
      <c r="C489" s="1092"/>
      <c r="D489" s="1092"/>
      <c r="E489" s="1092"/>
      <c r="F489" s="1092"/>
      <c r="G489" s="1092"/>
      <c r="H489" s="1092"/>
      <c r="I489" s="1092"/>
      <c r="J489" s="1092"/>
      <c r="K489" s="1092"/>
      <c r="L489" s="3"/>
    </row>
    <row r="490" spans="1:12">
      <c r="A490" s="4"/>
      <c r="B490" s="1109"/>
      <c r="C490" s="1109"/>
      <c r="D490" s="1109"/>
      <c r="E490" s="1109"/>
      <c r="F490" s="1109"/>
      <c r="G490" s="1109"/>
      <c r="H490" s="1109"/>
      <c r="I490" s="1109"/>
      <c r="J490" s="1109"/>
      <c r="K490" s="1109"/>
      <c r="L490" s="5"/>
    </row>
    <row r="491" spans="1:12">
      <c r="A491" s="4"/>
      <c r="B491" s="1141"/>
      <c r="C491" s="1141"/>
      <c r="D491" s="1141"/>
      <c r="E491" s="1141"/>
      <c r="F491" s="1141"/>
      <c r="G491" s="1141"/>
      <c r="H491" s="1141"/>
      <c r="I491" s="1141"/>
      <c r="J491" s="1109"/>
      <c r="K491" s="1109"/>
      <c r="L491" s="5"/>
    </row>
    <row r="492" spans="1:12">
      <c r="A492" s="4"/>
      <c r="B492" s="1102" t="s">
        <v>981</v>
      </c>
      <c r="C492" s="1102"/>
      <c r="D492" s="1102"/>
      <c r="E492" s="1102"/>
      <c r="F492" s="1102"/>
      <c r="G492" s="1102"/>
      <c r="H492" s="1102"/>
      <c r="I492" s="1102"/>
      <c r="J492" s="1109"/>
      <c r="K492" s="1109"/>
      <c r="L492" s="5"/>
    </row>
    <row r="493" spans="1:12">
      <c r="A493" s="4"/>
      <c r="B493" s="1102"/>
      <c r="C493" s="1102"/>
      <c r="D493" s="1102"/>
      <c r="E493" s="1102"/>
      <c r="F493" s="1102"/>
      <c r="G493" s="1102"/>
      <c r="H493" s="1102"/>
      <c r="I493" s="1102"/>
      <c r="J493" s="1109"/>
      <c r="K493" s="1109"/>
      <c r="L493" s="5"/>
    </row>
    <row r="494" spans="1:12">
      <c r="A494" s="4"/>
      <c r="B494" s="1102"/>
      <c r="C494" s="1102"/>
      <c r="D494" s="1102"/>
      <c r="E494" s="1102"/>
      <c r="F494" s="1102"/>
      <c r="G494" s="1102"/>
      <c r="H494" s="1102"/>
      <c r="I494" s="1102"/>
      <c r="J494" s="1109"/>
      <c r="K494" s="1109"/>
      <c r="L494" s="5"/>
    </row>
    <row r="495" spans="1:12">
      <c r="A495" s="6"/>
      <c r="B495" s="7"/>
      <c r="C495" s="7"/>
      <c r="D495" s="7"/>
      <c r="E495" s="7"/>
      <c r="F495" s="7"/>
      <c r="G495" s="7"/>
      <c r="H495" s="7"/>
      <c r="I495" s="7"/>
      <c r="J495" s="1093"/>
      <c r="K495" s="1093"/>
      <c r="L495" s="8"/>
    </row>
    <row r="496" spans="1:12">
      <c r="A496" s="4"/>
      <c r="B496" s="1102"/>
      <c r="C496" s="1102"/>
      <c r="D496" s="1102"/>
      <c r="E496" s="1102"/>
      <c r="F496" s="1102"/>
      <c r="G496" s="1102"/>
      <c r="H496" s="1102"/>
      <c r="I496" s="1102"/>
      <c r="J496" s="1109"/>
      <c r="K496" s="1109"/>
      <c r="L496" s="5"/>
    </row>
    <row r="497" spans="1:12">
      <c r="A497" s="4"/>
      <c r="B497" s="1102"/>
      <c r="C497" s="1102"/>
      <c r="D497" s="1102"/>
      <c r="E497" s="1102"/>
      <c r="F497" s="1102"/>
      <c r="G497" s="1102"/>
      <c r="H497" s="1102"/>
      <c r="I497" s="1102"/>
      <c r="J497" s="1109"/>
      <c r="K497" s="1109"/>
      <c r="L497" s="5"/>
    </row>
    <row r="498" spans="1:12">
      <c r="A498" s="6"/>
      <c r="B498" s="7"/>
      <c r="C498" s="7"/>
      <c r="D498" s="7"/>
      <c r="E498" s="7"/>
      <c r="F498" s="7"/>
      <c r="G498" s="7"/>
      <c r="H498" s="7"/>
      <c r="I498" s="7"/>
      <c r="J498" s="1093"/>
      <c r="K498" s="1093"/>
      <c r="L498" s="8"/>
    </row>
    <row r="499" spans="1:12">
      <c r="A499" s="4"/>
      <c r="B499" s="1102"/>
      <c r="C499" s="1102"/>
      <c r="D499" s="1102"/>
      <c r="E499" s="1102"/>
      <c r="F499" s="1102"/>
      <c r="G499" s="1102"/>
      <c r="H499" s="1102"/>
      <c r="I499" s="1102"/>
      <c r="J499" s="1109"/>
      <c r="K499" s="1109"/>
      <c r="L499" s="5"/>
    </row>
    <row r="500" spans="1:12">
      <c r="A500" s="4"/>
      <c r="B500" s="1102"/>
      <c r="C500" s="1102"/>
      <c r="D500" s="1102"/>
      <c r="E500" s="1102"/>
      <c r="F500" s="1102"/>
      <c r="G500" s="1102"/>
      <c r="H500" s="1102"/>
      <c r="I500" s="1102"/>
      <c r="J500" s="1109"/>
      <c r="K500" s="1109"/>
      <c r="L500" s="5"/>
    </row>
    <row r="501" spans="1:12">
      <c r="A501" s="6"/>
      <c r="B501" s="7"/>
      <c r="C501" s="7"/>
      <c r="D501" s="7"/>
      <c r="E501" s="7"/>
      <c r="F501" s="7"/>
      <c r="G501" s="7"/>
      <c r="H501" s="7"/>
      <c r="I501" s="7"/>
      <c r="J501" s="1093"/>
      <c r="K501" s="1093"/>
      <c r="L501" s="8"/>
    </row>
    <row r="502" spans="1:12">
      <c r="A502" s="4"/>
      <c r="B502" s="1102"/>
      <c r="C502" s="1102"/>
      <c r="D502" s="1102"/>
      <c r="E502" s="1102"/>
      <c r="F502" s="1102"/>
      <c r="G502" s="1102"/>
      <c r="H502" s="1102"/>
      <c r="I502" s="1102"/>
      <c r="J502" s="1109"/>
      <c r="K502" s="1109"/>
      <c r="L502" s="5"/>
    </row>
    <row r="503" spans="1:12">
      <c r="A503" s="4"/>
      <c r="B503" s="1102"/>
      <c r="C503" s="1102"/>
      <c r="D503" s="1102"/>
      <c r="E503" s="1102"/>
      <c r="F503" s="1102"/>
      <c r="G503" s="1102"/>
      <c r="H503" s="1102"/>
      <c r="I503" s="1102"/>
      <c r="J503" s="1109"/>
      <c r="K503" s="1109"/>
      <c r="L503" s="5"/>
    </row>
    <row r="504" spans="1:12">
      <c r="A504" s="4"/>
      <c r="B504" s="1102"/>
      <c r="C504" s="1102"/>
      <c r="D504" s="1102"/>
      <c r="E504" s="1102"/>
      <c r="F504" s="1102"/>
      <c r="G504" s="1102"/>
      <c r="H504" s="1102"/>
      <c r="I504" s="1102"/>
      <c r="J504" s="1109"/>
      <c r="K504" s="1109"/>
      <c r="L504" s="5"/>
    </row>
    <row r="505" spans="1:12">
      <c r="A505" s="4"/>
      <c r="B505" s="1102" t="s">
        <v>991</v>
      </c>
      <c r="C505" s="1102"/>
      <c r="D505" s="1102"/>
      <c r="E505" s="1102"/>
      <c r="F505" s="1102"/>
      <c r="G505" s="1102"/>
      <c r="H505" s="1102"/>
      <c r="I505" s="1102"/>
      <c r="J505" s="1109"/>
      <c r="K505" s="1109"/>
      <c r="L505" s="5"/>
    </row>
    <row r="506" spans="1:12">
      <c r="A506" s="4"/>
      <c r="B506" s="1102"/>
      <c r="C506" s="1102"/>
      <c r="D506" s="1102"/>
      <c r="E506" s="1102"/>
      <c r="F506" s="1102"/>
      <c r="G506" s="1102"/>
      <c r="H506" s="1102"/>
      <c r="I506" s="1102"/>
      <c r="J506" s="1109"/>
      <c r="K506" s="1109"/>
      <c r="L506" s="5"/>
    </row>
    <row r="507" spans="1:12">
      <c r="A507" s="6"/>
      <c r="B507" s="7"/>
      <c r="C507" s="7"/>
      <c r="D507" s="7"/>
      <c r="E507" s="7"/>
      <c r="F507" s="1091"/>
      <c r="G507" s="1091"/>
      <c r="H507" s="1091"/>
      <c r="I507" s="1091"/>
      <c r="J507" s="1093"/>
      <c r="K507" s="1093"/>
      <c r="L507" s="8"/>
    </row>
    <row r="508" spans="1:12">
      <c r="A508" s="4"/>
      <c r="B508" s="1110"/>
      <c r="C508" s="1110"/>
      <c r="D508" s="1110"/>
      <c r="E508" s="1110"/>
      <c r="F508" s="1110"/>
      <c r="G508" s="1110"/>
      <c r="H508" s="1110"/>
      <c r="I508" s="1110"/>
      <c r="J508" s="1110"/>
      <c r="K508" s="1110"/>
      <c r="L508" s="5"/>
    </row>
    <row r="509" spans="1:12">
      <c r="A509" s="4"/>
      <c r="B509" s="1110"/>
      <c r="C509" s="1110"/>
      <c r="D509" s="1110"/>
      <c r="E509" s="1110"/>
      <c r="F509" s="1110"/>
      <c r="G509" s="1110"/>
      <c r="H509" s="1110"/>
      <c r="I509" s="1110"/>
      <c r="J509" s="1110"/>
      <c r="K509" s="1110"/>
      <c r="L509" s="5"/>
    </row>
    <row r="510" spans="1:12">
      <c r="A510" s="6"/>
      <c r="B510" s="1094"/>
      <c r="C510" s="1094"/>
      <c r="D510" s="1094"/>
      <c r="E510" s="1094"/>
      <c r="F510" s="1094"/>
      <c r="G510" s="1094"/>
      <c r="H510" s="1094"/>
      <c r="I510" s="1094"/>
      <c r="J510" s="1094"/>
      <c r="K510" s="1094"/>
      <c r="L510" s="8"/>
    </row>
    <row r="511" spans="1:12">
      <c r="A511" s="4"/>
      <c r="B511" s="1110"/>
      <c r="C511" s="1110"/>
      <c r="D511" s="1110"/>
      <c r="E511" s="1110"/>
      <c r="F511" s="1110"/>
      <c r="G511" s="1110"/>
      <c r="H511" s="1110"/>
      <c r="I511" s="1110"/>
      <c r="J511" s="1110"/>
      <c r="K511" s="1110"/>
      <c r="L511" s="5"/>
    </row>
    <row r="512" spans="1:12">
      <c r="A512" s="4"/>
      <c r="B512" s="1110"/>
      <c r="C512" s="1110"/>
      <c r="D512" s="1110"/>
      <c r="E512" s="1110"/>
      <c r="F512" s="1110"/>
      <c r="G512" s="1110"/>
      <c r="H512" s="1110"/>
      <c r="I512" s="1110"/>
      <c r="J512" s="1110"/>
      <c r="K512" s="1110"/>
      <c r="L512" s="5"/>
    </row>
    <row r="513" spans="1:12">
      <c r="A513" s="6"/>
      <c r="B513" s="1094"/>
      <c r="C513" s="1094"/>
      <c r="D513" s="1094"/>
      <c r="E513" s="1094"/>
      <c r="F513" s="1094"/>
      <c r="G513" s="1094"/>
      <c r="H513" s="1094"/>
      <c r="I513" s="1094"/>
      <c r="J513" s="1094"/>
      <c r="K513" s="1094"/>
      <c r="L513" s="8"/>
    </row>
    <row r="514" spans="1:12">
      <c r="A514" s="4"/>
      <c r="B514" s="1110"/>
      <c r="C514" s="1110"/>
      <c r="D514" s="1110"/>
      <c r="E514" s="1110"/>
      <c r="F514" s="1110"/>
      <c r="G514" s="1110"/>
      <c r="H514" s="1110"/>
      <c r="I514" s="1110"/>
      <c r="J514" s="1110"/>
      <c r="K514" s="1110"/>
      <c r="L514" s="5"/>
    </row>
    <row r="515" spans="1:12">
      <c r="A515" s="4"/>
      <c r="B515" s="1102"/>
      <c r="C515" s="1102"/>
      <c r="D515" s="1102"/>
      <c r="E515" s="1102"/>
      <c r="F515" s="1111"/>
      <c r="G515" s="1111"/>
      <c r="H515" s="1111"/>
      <c r="I515" s="1111"/>
      <c r="J515" s="1111"/>
      <c r="K515" s="1111"/>
      <c r="L515" s="5"/>
    </row>
    <row r="516" spans="1:12">
      <c r="A516" s="6"/>
      <c r="B516" s="7"/>
      <c r="C516" s="7"/>
      <c r="D516" s="7"/>
      <c r="E516" s="7"/>
      <c r="F516" s="1091"/>
      <c r="G516" s="1091"/>
      <c r="H516" s="1091"/>
      <c r="I516" s="1091"/>
      <c r="J516" s="1091"/>
      <c r="K516" s="1091"/>
      <c r="L516" s="8"/>
    </row>
    <row r="517" spans="1:12" ht="46.5" customHeight="1">
      <c r="A517" s="4"/>
      <c r="B517" s="1102"/>
      <c r="C517" s="1102"/>
      <c r="D517" s="1102"/>
      <c r="E517" s="1102"/>
      <c r="F517" s="1111"/>
      <c r="G517" s="1111"/>
      <c r="H517" s="1111"/>
      <c r="I517" s="1111"/>
      <c r="J517" s="1111"/>
      <c r="K517" s="1111"/>
      <c r="L517" s="5"/>
    </row>
    <row r="518" spans="1:12">
      <c r="A518" s="4"/>
      <c r="B518" s="1102"/>
      <c r="C518" s="1102"/>
      <c r="D518" s="1102"/>
      <c r="E518" s="1102"/>
      <c r="F518" s="1111"/>
      <c r="G518" s="1111"/>
      <c r="H518" s="1111"/>
      <c r="I518" s="1111"/>
      <c r="J518" s="1111"/>
      <c r="K518" s="1111"/>
      <c r="L518" s="5"/>
    </row>
    <row r="519" spans="1:12">
      <c r="A519" s="4"/>
      <c r="B519" s="1102"/>
      <c r="C519" s="1102"/>
      <c r="D519" s="1102"/>
      <c r="E519" s="1102"/>
      <c r="F519" s="1111"/>
      <c r="G519" s="1111"/>
      <c r="H519" s="1111"/>
      <c r="I519" s="1111"/>
      <c r="J519" s="1111"/>
      <c r="K519" s="1111"/>
      <c r="L519" s="5"/>
    </row>
    <row r="520" spans="1:12">
      <c r="A520" s="4"/>
      <c r="B520" s="1102"/>
      <c r="C520" s="1102"/>
      <c r="D520" s="1102"/>
      <c r="E520" s="1102"/>
      <c r="F520" s="1111"/>
      <c r="G520" s="1111"/>
      <c r="H520" s="1111"/>
      <c r="I520" s="1111"/>
      <c r="J520" s="1111"/>
      <c r="K520" s="1111"/>
      <c r="L520" s="5"/>
    </row>
    <row r="521" spans="1:12">
      <c r="A521" s="4"/>
      <c r="B521" s="1102" t="s">
        <v>982</v>
      </c>
      <c r="D521" s="7"/>
      <c r="E521" s="7"/>
      <c r="F521" s="1091"/>
      <c r="G521" s="1091"/>
      <c r="H521" s="1144" t="s">
        <v>983</v>
      </c>
      <c r="I521" s="1091"/>
      <c r="J521" s="1091"/>
      <c r="K521" s="1091"/>
      <c r="L521" s="5"/>
    </row>
    <row r="522" spans="1:12">
      <c r="A522" s="4"/>
      <c r="B522" s="1102"/>
      <c r="C522" s="1102"/>
      <c r="D522" s="1102"/>
      <c r="E522" s="1102"/>
      <c r="F522" s="1111"/>
      <c r="G522" s="1111"/>
      <c r="H522" s="1111"/>
      <c r="I522" s="1111"/>
      <c r="J522" s="1111"/>
      <c r="K522" s="1111"/>
      <c r="L522" s="5"/>
    </row>
    <row r="523" spans="1:12">
      <c r="A523" s="4"/>
      <c r="B523" s="1102"/>
      <c r="C523" s="1102"/>
      <c r="D523" s="1102"/>
      <c r="E523" s="1102"/>
      <c r="F523" s="1111"/>
      <c r="G523" s="1111"/>
      <c r="H523" s="1111"/>
      <c r="I523" s="1111"/>
      <c r="J523" s="1111"/>
      <c r="K523" s="1111"/>
      <c r="L523" s="5"/>
    </row>
    <row r="524" spans="1:12">
      <c r="A524" s="4"/>
      <c r="B524" s="1102"/>
      <c r="C524" s="1102"/>
      <c r="D524" s="1102"/>
      <c r="E524" s="1102"/>
      <c r="F524" s="1111"/>
      <c r="G524" s="1111"/>
      <c r="H524" s="1111"/>
      <c r="I524" s="1111"/>
      <c r="J524" s="1111"/>
      <c r="K524" s="1111"/>
      <c r="L524" s="5"/>
    </row>
    <row r="525" spans="1:12">
      <c r="A525" s="4"/>
      <c r="B525" s="1102" t="s">
        <v>984</v>
      </c>
      <c r="D525" s="1102"/>
      <c r="E525" s="7"/>
      <c r="F525" s="1091"/>
      <c r="G525" s="1091"/>
      <c r="H525" s="1091"/>
      <c r="I525" s="1091"/>
      <c r="J525" s="1091"/>
      <c r="K525" s="1091"/>
      <c r="L525" s="5"/>
    </row>
    <row r="526" spans="1:12">
      <c r="A526" s="4"/>
      <c r="B526" s="1102"/>
      <c r="C526" s="1102"/>
      <c r="D526" s="1102"/>
      <c r="E526" s="1102"/>
      <c r="F526" s="1111"/>
      <c r="G526" s="1111"/>
      <c r="H526" s="1111"/>
      <c r="I526" s="1111"/>
      <c r="J526" s="1111"/>
      <c r="K526" s="1111"/>
      <c r="L526" s="5"/>
    </row>
    <row r="527" spans="1:12">
      <c r="A527" s="4"/>
      <c r="B527" s="1102"/>
      <c r="C527" s="1102"/>
      <c r="D527" s="1102"/>
      <c r="E527" s="1102"/>
      <c r="F527" s="1111"/>
      <c r="G527" s="1111"/>
      <c r="H527" s="1111"/>
      <c r="I527" s="1111"/>
      <c r="J527" s="1111"/>
      <c r="K527" s="1111"/>
      <c r="L527" s="5"/>
    </row>
    <row r="528" spans="1:12">
      <c r="A528" s="4"/>
      <c r="B528" s="1102"/>
      <c r="C528" s="1102"/>
      <c r="D528" s="1102"/>
      <c r="E528" s="1102"/>
      <c r="F528" s="1111"/>
      <c r="G528" s="1111"/>
      <c r="H528" s="1111"/>
      <c r="I528" s="1111"/>
      <c r="J528" s="1111"/>
      <c r="K528" s="1111"/>
      <c r="L528" s="5"/>
    </row>
    <row r="529" spans="1:12">
      <c r="A529" s="4"/>
      <c r="B529" s="1102"/>
      <c r="C529" s="1102"/>
      <c r="D529" s="1102"/>
      <c r="E529" s="1102"/>
      <c r="F529" s="1111"/>
      <c r="G529" s="1111"/>
      <c r="H529" s="1111"/>
      <c r="I529" s="1111"/>
      <c r="J529" s="1111"/>
      <c r="K529" s="1111"/>
      <c r="L529" s="5"/>
    </row>
    <row r="530" spans="1:12">
      <c r="A530" s="4"/>
      <c r="B530" s="1102"/>
      <c r="C530" s="1102"/>
      <c r="D530" s="1102"/>
      <c r="E530" s="1102"/>
      <c r="F530" s="1111"/>
      <c r="G530" s="1111"/>
      <c r="H530" s="1111"/>
      <c r="I530" s="1111"/>
      <c r="J530" s="1111"/>
      <c r="K530" s="1111"/>
      <c r="L530" s="5"/>
    </row>
    <row r="531" spans="1:12">
      <c r="A531" s="4"/>
      <c r="B531" s="1102"/>
      <c r="C531" s="1102"/>
      <c r="D531" s="1102"/>
      <c r="E531" s="1102"/>
      <c r="F531" s="1111"/>
      <c r="G531" s="1111"/>
      <c r="H531" s="1111"/>
      <c r="I531" s="1111"/>
      <c r="J531" s="1111"/>
      <c r="K531" s="1111"/>
      <c r="L531" s="5"/>
    </row>
    <row r="532" spans="1:12">
      <c r="A532" s="4"/>
      <c r="B532" s="1102"/>
      <c r="C532" s="1102"/>
      <c r="D532" s="1102"/>
      <c r="E532" s="1102"/>
      <c r="F532" s="1111"/>
      <c r="G532" s="1111"/>
      <c r="H532" s="1111"/>
      <c r="I532" s="1111"/>
      <c r="J532" s="1111"/>
      <c r="K532" s="1111"/>
      <c r="L532" s="5"/>
    </row>
    <row r="533" spans="1:12">
      <c r="A533" s="4"/>
      <c r="B533" s="1102"/>
      <c r="C533" s="1102"/>
      <c r="D533" s="1102"/>
      <c r="E533" s="1102"/>
      <c r="F533" s="1111"/>
      <c r="G533" s="1111"/>
      <c r="H533" s="1111"/>
      <c r="I533" s="1111"/>
      <c r="J533" s="1111"/>
      <c r="K533" s="1111"/>
      <c r="L533" s="5"/>
    </row>
    <row r="534" spans="1:12">
      <c r="A534" s="6"/>
      <c r="B534" s="7"/>
      <c r="C534" s="7"/>
      <c r="D534" s="7"/>
      <c r="E534" s="7"/>
      <c r="F534" s="1091"/>
      <c r="G534" s="1091"/>
      <c r="H534" s="1091"/>
      <c r="I534" s="1091"/>
      <c r="J534" s="1091"/>
      <c r="K534" s="1091"/>
      <c r="L534" s="8"/>
    </row>
    <row r="535" spans="1:12">
      <c r="A535" s="1102"/>
      <c r="F535" s="71"/>
      <c r="G535" s="71"/>
      <c r="H535" s="71"/>
      <c r="I535" s="71"/>
      <c r="J535" s="71"/>
      <c r="K535" s="71"/>
      <c r="L535" s="1102"/>
    </row>
    <row r="536" spans="1:12">
      <c r="A536" s="1102"/>
      <c r="F536" s="71"/>
      <c r="G536" s="71"/>
      <c r="H536" s="71"/>
      <c r="I536" s="71"/>
      <c r="J536" s="71"/>
      <c r="K536" s="71"/>
      <c r="L536" s="1102"/>
    </row>
    <row r="537" spans="1:12">
      <c r="A537" s="1102"/>
      <c r="F537" s="71"/>
      <c r="G537" s="71"/>
      <c r="H537" s="71"/>
      <c r="I537" s="71"/>
      <c r="J537" s="71"/>
      <c r="K537" s="71"/>
      <c r="L537" s="1102"/>
    </row>
    <row r="538" spans="1:12">
      <c r="A538" s="1102"/>
      <c r="F538" s="71"/>
      <c r="G538" s="71"/>
      <c r="H538" s="71"/>
      <c r="I538" s="71"/>
      <c r="J538" s="71"/>
      <c r="K538" s="71"/>
      <c r="L538" s="1102"/>
    </row>
    <row r="539" spans="1:12">
      <c r="A539" s="1102"/>
      <c r="F539" s="71"/>
      <c r="G539" s="71"/>
      <c r="H539" s="71"/>
      <c r="I539" s="71"/>
      <c r="J539" s="71"/>
      <c r="K539" s="71"/>
      <c r="L539" s="1102"/>
    </row>
    <row r="540" spans="1:12">
      <c r="A540" s="1102"/>
      <c r="F540" s="71"/>
      <c r="G540" s="71"/>
      <c r="H540" s="71"/>
      <c r="I540" s="71"/>
      <c r="J540" s="71"/>
      <c r="K540" s="71"/>
      <c r="L540" s="1102"/>
    </row>
    <row r="541" spans="1:12">
      <c r="A541" s="1102"/>
      <c r="F541" s="71"/>
      <c r="G541" s="71"/>
      <c r="H541" s="71"/>
      <c r="I541" s="71"/>
      <c r="J541" s="71"/>
      <c r="K541" s="71"/>
      <c r="L541" s="1102"/>
    </row>
    <row r="542" spans="1:12">
      <c r="A542" s="1102"/>
      <c r="F542" s="71"/>
      <c r="G542" s="71"/>
      <c r="H542" s="71"/>
      <c r="I542" s="71"/>
      <c r="J542" s="71"/>
      <c r="K542" s="71"/>
      <c r="L542" s="1102"/>
    </row>
    <row r="543" spans="1:12">
      <c r="A543" s="1102"/>
      <c r="F543" s="71"/>
      <c r="G543" s="71"/>
      <c r="H543" s="71"/>
      <c r="I543" s="71"/>
      <c r="J543" s="71"/>
      <c r="K543" s="71"/>
      <c r="L543" s="1102"/>
    </row>
    <row r="544" spans="1:12">
      <c r="A544" s="1102"/>
      <c r="F544" s="71"/>
      <c r="G544" s="71"/>
      <c r="H544" s="71"/>
      <c r="I544" s="71"/>
      <c r="J544" s="71"/>
      <c r="K544" s="71"/>
      <c r="L544" s="1102"/>
    </row>
    <row r="545" spans="1:12">
      <c r="A545" s="1102"/>
      <c r="F545" s="71"/>
      <c r="G545" s="71"/>
      <c r="H545" s="71"/>
      <c r="I545" s="71"/>
      <c r="J545" s="71"/>
      <c r="K545" s="71"/>
      <c r="L545" s="1102"/>
    </row>
    <row r="546" spans="1:12">
      <c r="A546" s="1102"/>
      <c r="F546" s="71"/>
      <c r="G546" s="71"/>
      <c r="H546" s="71"/>
      <c r="I546" s="71"/>
      <c r="J546" s="71"/>
      <c r="K546" s="71"/>
      <c r="L546" s="1102"/>
    </row>
    <row r="547" spans="1:12">
      <c r="A547" s="1102"/>
      <c r="F547" s="71"/>
      <c r="G547" s="71"/>
      <c r="H547" s="71"/>
      <c r="I547" s="71"/>
      <c r="J547" s="71"/>
      <c r="K547" s="71"/>
      <c r="L547" s="1102"/>
    </row>
    <row r="548" spans="1:12">
      <c r="A548" s="1102"/>
      <c r="F548" s="71"/>
      <c r="G548" s="71"/>
      <c r="H548" s="71"/>
      <c r="I548" s="71"/>
      <c r="J548" s="71"/>
      <c r="K548" s="71"/>
      <c r="L548" s="1102"/>
    </row>
    <row r="549" spans="1:12">
      <c r="A549" s="1102"/>
      <c r="L549" s="1102"/>
    </row>
    <row r="550" spans="1:12">
      <c r="A550" s="1102"/>
      <c r="B550" s="10" t="s">
        <v>985</v>
      </c>
      <c r="L550" s="1102"/>
    </row>
    <row r="551" spans="1:12">
      <c r="A551" s="1102"/>
      <c r="L551" s="1102"/>
    </row>
    <row r="552" spans="1:12">
      <c r="L552" s="1102"/>
    </row>
  </sheetData>
  <protectedRanges>
    <protectedRange sqref="B15:F15 H15:J15" name="I15"/>
  </protectedRanges>
  <mergeCells count="179">
    <mergeCell ref="A486:L486"/>
    <mergeCell ref="A11:L11"/>
    <mergeCell ref="A58:L58"/>
    <mergeCell ref="A125:L125"/>
    <mergeCell ref="A363:L363"/>
    <mergeCell ref="A296:H296"/>
    <mergeCell ref="A297:H297"/>
    <mergeCell ref="A298:H298"/>
    <mergeCell ref="A299:H299"/>
    <mergeCell ref="A300:H300"/>
    <mergeCell ref="A360:L360"/>
    <mergeCell ref="A432:H437"/>
    <mergeCell ref="A438:H443"/>
    <mergeCell ref="I438:L443"/>
    <mergeCell ref="I432:L437"/>
    <mergeCell ref="A431:H431"/>
    <mergeCell ref="I431:L431"/>
    <mergeCell ref="B389:D389"/>
    <mergeCell ref="A350:L350"/>
    <mergeCell ref="A351:L351"/>
    <mergeCell ref="A352:L352"/>
    <mergeCell ref="A353:L353"/>
    <mergeCell ref="A354:L354"/>
    <mergeCell ref="A355:L355"/>
    <mergeCell ref="A344:L344"/>
    <mergeCell ref="A345:L345"/>
    <mergeCell ref="A346:L346"/>
    <mergeCell ref="A347:L347"/>
    <mergeCell ref="A348:L348"/>
    <mergeCell ref="A349:L349"/>
    <mergeCell ref="A336:L336"/>
    <mergeCell ref="A337:L337"/>
    <mergeCell ref="A338:L338"/>
    <mergeCell ref="A339:L339"/>
    <mergeCell ref="A340:L340"/>
    <mergeCell ref="A341:L341"/>
    <mergeCell ref="A324:L324"/>
    <mergeCell ref="A325:L325"/>
    <mergeCell ref="A326:L326"/>
    <mergeCell ref="A327:L327"/>
    <mergeCell ref="A328:L328"/>
    <mergeCell ref="A329:L329"/>
    <mergeCell ref="A311:L311"/>
    <mergeCell ref="A312:L312"/>
    <mergeCell ref="A313:L313"/>
    <mergeCell ref="A314:L314"/>
    <mergeCell ref="A315:L315"/>
    <mergeCell ref="A316:L316"/>
    <mergeCell ref="H259:L260"/>
    <mergeCell ref="B465:H465"/>
    <mergeCell ref="B467:H467"/>
    <mergeCell ref="B468:H468"/>
    <mergeCell ref="B476:G476"/>
    <mergeCell ref="B481:D481"/>
    <mergeCell ref="B456:H456"/>
    <mergeCell ref="A446:L446"/>
    <mergeCell ref="H395:J395"/>
    <mergeCell ref="H400:J400"/>
    <mergeCell ref="B425:C425"/>
    <mergeCell ref="D425:E425"/>
    <mergeCell ref="E389:G389"/>
    <mergeCell ref="D390:H390"/>
    <mergeCell ref="B392:C392"/>
    <mergeCell ref="D392:E392"/>
    <mergeCell ref="G392:J392"/>
    <mergeCell ref="H389:K389"/>
    <mergeCell ref="A356:L356"/>
    <mergeCell ref="A357:L357"/>
    <mergeCell ref="A358:L358"/>
    <mergeCell ref="A359:L359"/>
    <mergeCell ref="A342:L342"/>
    <mergeCell ref="A343:L343"/>
    <mergeCell ref="A332:L332"/>
    <mergeCell ref="A333:L333"/>
    <mergeCell ref="A334:L334"/>
    <mergeCell ref="A335:L335"/>
    <mergeCell ref="A330:L330"/>
    <mergeCell ref="A331:L331"/>
    <mergeCell ref="A320:L320"/>
    <mergeCell ref="A321:L321"/>
    <mergeCell ref="A322:L322"/>
    <mergeCell ref="A323:L323"/>
    <mergeCell ref="A317:L317"/>
    <mergeCell ref="A318:L318"/>
    <mergeCell ref="A319:L319"/>
    <mergeCell ref="J302:K302"/>
    <mergeCell ref="B303:K303"/>
    <mergeCell ref="B304:K304"/>
    <mergeCell ref="A302:H302"/>
    <mergeCell ref="J299:K299"/>
    <mergeCell ref="J300:K300"/>
    <mergeCell ref="J301:K301"/>
    <mergeCell ref="A301:H301"/>
    <mergeCell ref="J296:K296"/>
    <mergeCell ref="J297:K297"/>
    <mergeCell ref="J298:K298"/>
    <mergeCell ref="B285:K285"/>
    <mergeCell ref="B286:K286"/>
    <mergeCell ref="B290:K290"/>
    <mergeCell ref="B291:K291"/>
    <mergeCell ref="A295:L295"/>
    <mergeCell ref="B270:C270"/>
    <mergeCell ref="D270:E270"/>
    <mergeCell ref="B271:C271"/>
    <mergeCell ref="D271:E271"/>
    <mergeCell ref="H271:J271"/>
    <mergeCell ref="D272:E272"/>
    <mergeCell ref="H272:J272"/>
    <mergeCell ref="B261:C261"/>
    <mergeCell ref="B262:C262"/>
    <mergeCell ref="B267:C267"/>
    <mergeCell ref="B268:C268"/>
    <mergeCell ref="D268:E268"/>
    <mergeCell ref="B269:C269"/>
    <mergeCell ref="D269:E269"/>
    <mergeCell ref="D257:E257"/>
    <mergeCell ref="F257:H257"/>
    <mergeCell ref="D259:E260"/>
    <mergeCell ref="F259:G260"/>
    <mergeCell ref="I257:L257"/>
    <mergeCell ref="A259:C260"/>
    <mergeCell ref="B222:K222"/>
    <mergeCell ref="B224:C224"/>
    <mergeCell ref="H224:K224"/>
    <mergeCell ref="C251:I253"/>
    <mergeCell ref="F162:G162"/>
    <mergeCell ref="F164:G164"/>
    <mergeCell ref="A171:B171"/>
    <mergeCell ref="B186:E186"/>
    <mergeCell ref="B220:J220"/>
    <mergeCell ref="B221:K221"/>
    <mergeCell ref="D130:E130"/>
    <mergeCell ref="H130:J130"/>
    <mergeCell ref="D133:J133"/>
    <mergeCell ref="C140:J140"/>
    <mergeCell ref="D146:J146"/>
    <mergeCell ref="E151:F151"/>
    <mergeCell ref="H151:J151"/>
    <mergeCell ref="A100:G100"/>
    <mergeCell ref="A102:G102"/>
    <mergeCell ref="A105:G105"/>
    <mergeCell ref="A109:F109"/>
    <mergeCell ref="A122:H122"/>
    <mergeCell ref="C79:H79"/>
    <mergeCell ref="C81:H81"/>
    <mergeCell ref="A92:B92"/>
    <mergeCell ref="A94:H94"/>
    <mergeCell ref="A95:G95"/>
    <mergeCell ref="A98:G98"/>
    <mergeCell ref="D65:F65"/>
    <mergeCell ref="C67:F67"/>
    <mergeCell ref="D71:H71"/>
    <mergeCell ref="C73:H73"/>
    <mergeCell ref="C75:H75"/>
    <mergeCell ref="C77:H77"/>
    <mergeCell ref="B43:D43"/>
    <mergeCell ref="B46:E46"/>
    <mergeCell ref="H47:J47"/>
    <mergeCell ref="H50:J50"/>
    <mergeCell ref="C63:F63"/>
    <mergeCell ref="B26:J26"/>
    <mergeCell ref="D27:H27"/>
    <mergeCell ref="B28:E28"/>
    <mergeCell ref="H29:J29"/>
    <mergeCell ref="B41:C41"/>
    <mergeCell ref="D41:E41"/>
    <mergeCell ref="H41:I41"/>
    <mergeCell ref="C16:E16"/>
    <mergeCell ref="H16:I16"/>
    <mergeCell ref="H18:I18"/>
    <mergeCell ref="B20:J21"/>
    <mergeCell ref="E22:G22"/>
    <mergeCell ref="H24:I24"/>
    <mergeCell ref="E3:J4"/>
    <mergeCell ref="E5:J5"/>
    <mergeCell ref="E6:J6"/>
    <mergeCell ref="E7:J7"/>
    <mergeCell ref="B15:F15"/>
    <mergeCell ref="H15:J15"/>
  </mergeCells>
  <pageMargins left="0.70866141732283472" right="0.19685039370078741" top="0.39370078740157483" bottom="0.39370078740157483" header="0" footer="0.19685039370078741"/>
  <pageSetup paperSize="9" scale="74" orientation="portrait" horizontalDpi="4294967293" verticalDpi="4294967293" r:id="rId1"/>
  <headerFooter>
    <oddFooter>&amp;CPágina &amp;P</oddFooter>
  </headerFooter>
  <rowBreaks count="8" manualBreakCount="8">
    <brk id="56" max="11" man="1"/>
    <brk id="123" max="11" man="1"/>
    <brk id="183" max="11" man="1"/>
    <brk id="249" max="11" man="1"/>
    <brk id="309" max="11" man="1"/>
    <brk id="361" max="16383" man="1"/>
    <brk id="427" max="11" man="1"/>
    <brk id="484" max="11" man="1"/>
  </row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86FEED-9197-414B-A4FC-4E0005611104}">
  <sheetPr codeName="Sheet1">
    <tabColor rgb="FF75AD45"/>
  </sheetPr>
  <dimension ref="A1:L716"/>
  <sheetViews>
    <sheetView view="pageBreakPreview" zoomScaleNormal="100" zoomScaleSheetLayoutView="100" workbookViewId="0">
      <selection activeCell="B12" sqref="B12"/>
    </sheetView>
  </sheetViews>
  <sheetFormatPr defaultColWidth="9.140625" defaultRowHeight="15"/>
  <cols>
    <col min="1" max="1" width="2.7109375" customWidth="1"/>
    <col min="2" max="2" width="8.42578125" customWidth="1"/>
    <col min="3" max="3" width="9.42578125" customWidth="1"/>
    <col min="4" max="4" width="9.5703125" customWidth="1"/>
    <col min="5" max="5" width="11.7109375" customWidth="1"/>
    <col min="6" max="6" width="12.140625" customWidth="1"/>
    <col min="7" max="7" width="11.5703125" customWidth="1"/>
    <col min="8" max="8" width="10.28515625" customWidth="1"/>
    <col min="9" max="9" width="11.5703125" customWidth="1"/>
    <col min="10" max="10" width="7.7109375" customWidth="1"/>
    <col min="11" max="11" width="8" customWidth="1"/>
    <col min="12" max="12" width="3.7109375" customWidth="1"/>
  </cols>
  <sheetData>
    <row r="1" spans="1:12" ht="14.1" customHeight="1">
      <c r="J1" s="427" t="str">
        <f>_xlfn.CONCAT(DATOS!D1," ",DATOS!D2)</f>
        <v xml:space="preserve"> KTN</v>
      </c>
      <c r="K1" s="427"/>
    </row>
    <row r="2" spans="1:12" ht="15" customHeight="1">
      <c r="E2" s="428" t="s">
        <v>20</v>
      </c>
      <c r="F2" s="428"/>
      <c r="G2" s="428"/>
      <c r="H2" s="428"/>
      <c r="I2" s="428"/>
      <c r="J2" s="428"/>
      <c r="K2" s="428"/>
      <c r="L2" s="428"/>
    </row>
    <row r="3" spans="1:12" ht="14.1" customHeight="1">
      <c r="E3" s="428"/>
      <c r="F3" s="428"/>
      <c r="G3" s="428"/>
      <c r="H3" s="428"/>
      <c r="I3" s="428"/>
      <c r="J3" s="428"/>
      <c r="K3" s="428"/>
      <c r="L3" s="428"/>
    </row>
    <row r="4" spans="1:12" ht="26.25" customHeight="1">
      <c r="E4" s="428" t="s">
        <v>21</v>
      </c>
      <c r="F4" s="428"/>
      <c r="G4" s="428"/>
      <c r="H4" s="428"/>
      <c r="I4" s="428"/>
      <c r="J4" s="428"/>
      <c r="K4" s="428"/>
      <c r="L4" s="428"/>
    </row>
    <row r="5" spans="1:12" ht="18.600000000000001" customHeight="1">
      <c r="E5" s="429" t="s">
        <v>22</v>
      </c>
      <c r="F5" s="429"/>
      <c r="G5" s="429"/>
      <c r="H5" s="429"/>
      <c r="I5" s="429"/>
      <c r="J5" s="429"/>
      <c r="K5" s="429"/>
      <c r="L5" s="429"/>
    </row>
    <row r="6" spans="1:12" ht="18.600000000000001" customHeight="1">
      <c r="E6" s="429" t="s">
        <v>23</v>
      </c>
      <c r="F6" s="429"/>
      <c r="G6" s="429"/>
      <c r="H6" s="429"/>
      <c r="I6" s="429"/>
      <c r="J6" s="429"/>
      <c r="K6" s="429"/>
      <c r="L6" s="429"/>
    </row>
    <row r="7" spans="1:12" ht="9" customHeight="1">
      <c r="E7" s="430"/>
      <c r="F7" s="430"/>
      <c r="G7" s="430"/>
      <c r="H7" s="430"/>
      <c r="I7" s="430"/>
      <c r="J7" s="430"/>
      <c r="K7" s="430"/>
      <c r="L7" s="430"/>
    </row>
    <row r="8" spans="1:12" ht="18.600000000000001" customHeight="1"/>
    <row r="9" spans="1:12" ht="18.600000000000001" customHeight="1">
      <c r="A9" s="413" t="s">
        <v>0</v>
      </c>
      <c r="B9" s="414"/>
      <c r="C9" s="414"/>
      <c r="D9" s="414"/>
      <c r="E9" s="414"/>
      <c r="F9" s="414"/>
      <c r="G9" s="414"/>
      <c r="H9" s="414"/>
      <c r="I9" s="414"/>
      <c r="J9" s="414"/>
      <c r="K9" s="414"/>
      <c r="L9" s="415"/>
    </row>
    <row r="10" spans="1:12" ht="15" customHeight="1"/>
    <row r="11" spans="1:12" ht="11.25" customHeight="1">
      <c r="A11" s="326"/>
      <c r="B11" s="324"/>
      <c r="C11" s="324"/>
      <c r="D11" s="324"/>
      <c r="E11" s="324"/>
      <c r="F11" s="324"/>
      <c r="G11" s="324"/>
      <c r="H11" s="324"/>
      <c r="I11" s="324"/>
      <c r="J11" s="324"/>
      <c r="K11" s="324"/>
      <c r="L11" s="327"/>
    </row>
    <row r="12" spans="1:12" ht="18.75" customHeight="1">
      <c r="A12" s="328"/>
      <c r="B12" s="15" t="s">
        <v>893</v>
      </c>
      <c r="C12" s="15"/>
      <c r="D12" s="15"/>
      <c r="E12" s="15"/>
      <c r="F12" s="15"/>
      <c r="G12" s="15"/>
      <c r="H12" s="15"/>
      <c r="I12" s="15"/>
      <c r="J12" s="15"/>
      <c r="K12" s="15"/>
      <c r="L12" s="329"/>
    </row>
    <row r="13" spans="1:12" ht="18.75" customHeight="1">
      <c r="A13" s="328"/>
      <c r="B13" s="416" t="str">
        <f>DATOS!D5</f>
        <v>-</v>
      </c>
      <c r="C13" s="417"/>
      <c r="D13" s="417"/>
      <c r="E13" s="417"/>
      <c r="F13" s="418"/>
      <c r="G13" s="70"/>
      <c r="H13" s="416" t="str">
        <f>DATOS!D6</f>
        <v>-</v>
      </c>
      <c r="I13" s="417"/>
      <c r="J13" s="417"/>
      <c r="K13" s="418"/>
      <c r="L13" s="329"/>
    </row>
    <row r="14" spans="1:12" ht="18.75" customHeight="1">
      <c r="A14" s="328"/>
      <c r="B14" s="419" t="s">
        <v>2</v>
      </c>
      <c r="C14" s="419"/>
      <c r="D14" s="419"/>
      <c r="E14" s="419"/>
      <c r="F14" s="419"/>
      <c r="G14" s="15"/>
      <c r="H14" s="419" t="s">
        <v>3</v>
      </c>
      <c r="I14" s="419"/>
      <c r="J14" s="419"/>
      <c r="K14" s="419"/>
      <c r="L14" s="329"/>
    </row>
    <row r="15" spans="1:12" ht="18.75" customHeight="1">
      <c r="A15" s="328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329"/>
    </row>
    <row r="16" spans="1:12" ht="18.75" customHeight="1">
      <c r="A16" s="328"/>
      <c r="B16" s="15" t="s">
        <v>8</v>
      </c>
      <c r="C16" s="15" t="s">
        <v>4</v>
      </c>
      <c r="D16" s="312" t="s">
        <v>5</v>
      </c>
      <c r="E16" s="312" t="s">
        <v>6</v>
      </c>
      <c r="F16" s="15"/>
      <c r="G16" s="335" t="s">
        <v>597</v>
      </c>
      <c r="H16" s="420" t="str">
        <f>DATOS!D7</f>
        <v>-</v>
      </c>
      <c r="I16" s="418"/>
      <c r="J16" s="15"/>
      <c r="K16" s="15"/>
      <c r="L16" s="329"/>
    </row>
    <row r="17" spans="1:12" ht="18.75" customHeight="1">
      <c r="A17" s="328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329"/>
    </row>
    <row r="18" spans="1:12" ht="18.75" customHeight="1">
      <c r="A18" s="328"/>
      <c r="B18" s="432" t="str">
        <f>DATOS!D8</f>
        <v>-</v>
      </c>
      <c r="C18" s="433"/>
      <c r="D18" s="433"/>
      <c r="E18" s="433"/>
      <c r="F18" s="433"/>
      <c r="G18" s="433"/>
      <c r="H18" s="433"/>
      <c r="I18" s="433"/>
      <c r="J18" s="433"/>
      <c r="K18" s="434"/>
      <c r="L18" s="329"/>
    </row>
    <row r="19" spans="1:12" ht="12.75" customHeight="1">
      <c r="A19" s="328"/>
      <c r="B19" s="373"/>
      <c r="C19" s="373"/>
      <c r="D19" s="373"/>
      <c r="E19" s="15"/>
      <c r="F19" s="419" t="s">
        <v>9</v>
      </c>
      <c r="G19" s="419"/>
      <c r="H19" s="373"/>
      <c r="I19" s="373"/>
      <c r="J19" s="373"/>
      <c r="K19" s="373"/>
      <c r="L19" s="329"/>
    </row>
    <row r="20" spans="1:12" ht="18.75" customHeight="1">
      <c r="A20" s="328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329"/>
    </row>
    <row r="21" spans="1:12" ht="18.75" customHeight="1">
      <c r="A21" s="328"/>
      <c r="B21" s="15" t="s">
        <v>892</v>
      </c>
      <c r="C21" s="15"/>
      <c r="D21" s="15" t="s">
        <v>11</v>
      </c>
      <c r="E21" s="15" t="s">
        <v>12</v>
      </c>
      <c r="F21" s="325" t="s">
        <v>13</v>
      </c>
      <c r="G21" s="15" t="s">
        <v>14</v>
      </c>
      <c r="H21" s="15"/>
      <c r="I21" s="15" t="s">
        <v>535</v>
      </c>
      <c r="J21" s="325"/>
      <c r="K21" s="325"/>
      <c r="L21" s="329"/>
    </row>
    <row r="22" spans="1:12" ht="18.75" customHeight="1">
      <c r="A22" s="328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329"/>
    </row>
    <row r="23" spans="1:12" ht="18.75" customHeight="1">
      <c r="A23" s="328"/>
      <c r="B23" s="435" t="str">
        <f>DATOS!D10</f>
        <v>-</v>
      </c>
      <c r="C23" s="436"/>
      <c r="D23" s="436"/>
      <c r="E23" s="436"/>
      <c r="F23" s="436"/>
      <c r="G23" s="436"/>
      <c r="H23" s="436"/>
      <c r="I23" s="436"/>
      <c r="J23" s="436"/>
      <c r="K23" s="437"/>
      <c r="L23" s="329"/>
    </row>
    <row r="24" spans="1:12" ht="18.75" customHeight="1">
      <c r="A24" s="328"/>
      <c r="B24" s="419" t="s">
        <v>536</v>
      </c>
      <c r="C24" s="419"/>
      <c r="D24" s="419"/>
      <c r="E24" s="419"/>
      <c r="F24" s="419"/>
      <c r="G24" s="419"/>
      <c r="H24" s="419"/>
      <c r="I24" s="419"/>
      <c r="J24" s="419"/>
      <c r="K24" s="419"/>
      <c r="L24" s="329"/>
    </row>
    <row r="25" spans="1:12" ht="18.75" customHeight="1">
      <c r="A25" s="328"/>
      <c r="B25" s="312"/>
      <c r="C25" s="312"/>
      <c r="D25" s="312"/>
      <c r="E25" s="312"/>
      <c r="F25" s="312"/>
      <c r="G25" s="312"/>
      <c r="H25" s="312"/>
      <c r="I25" s="312"/>
      <c r="J25" s="312"/>
      <c r="K25" s="312"/>
      <c r="L25" s="329"/>
    </row>
    <row r="26" spans="1:12" ht="18.75" customHeight="1">
      <c r="A26" s="328"/>
      <c r="B26" s="438" t="s">
        <v>894</v>
      </c>
      <c r="C26" s="438"/>
      <c r="D26" s="438"/>
      <c r="E26" s="438"/>
      <c r="F26" s="438"/>
      <c r="G26" s="438"/>
      <c r="H26" s="15"/>
      <c r="I26" s="15"/>
      <c r="J26" s="15"/>
      <c r="K26" s="15"/>
      <c r="L26" s="329"/>
    </row>
    <row r="27" spans="1:12" ht="18.75" customHeight="1">
      <c r="A27" s="328"/>
      <c r="B27" s="390"/>
      <c r="C27" s="422"/>
      <c r="D27" s="422"/>
      <c r="E27" s="422"/>
      <c r="F27" s="422"/>
      <c r="G27" s="391"/>
      <c r="H27" s="15"/>
      <c r="I27" s="390"/>
      <c r="J27" s="422"/>
      <c r="K27" s="391"/>
      <c r="L27" s="329"/>
    </row>
    <row r="28" spans="1:12" ht="18.75" customHeight="1">
      <c r="A28" s="328"/>
      <c r="B28" s="15"/>
      <c r="C28" s="15"/>
      <c r="D28" s="312" t="s">
        <v>2</v>
      </c>
      <c r="E28" s="15"/>
      <c r="F28" s="15"/>
      <c r="G28" s="15"/>
      <c r="H28" s="15"/>
      <c r="I28" s="312" t="s">
        <v>3</v>
      </c>
      <c r="J28" s="312"/>
      <c r="K28" s="312"/>
      <c r="L28" s="329"/>
    </row>
    <row r="29" spans="1:12" ht="18.75" customHeight="1">
      <c r="A29" s="328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329"/>
    </row>
    <row r="30" spans="1:12" ht="18.75" customHeight="1">
      <c r="A30" s="328"/>
      <c r="B30" s="15" t="s">
        <v>8</v>
      </c>
      <c r="C30" s="15" t="s">
        <v>4</v>
      </c>
      <c r="D30" s="15" t="s">
        <v>5</v>
      </c>
      <c r="E30" s="15" t="s">
        <v>6</v>
      </c>
      <c r="F30" s="15"/>
      <c r="G30" s="312" t="s">
        <v>7</v>
      </c>
      <c r="H30" s="390"/>
      <c r="I30" s="422"/>
      <c r="J30" s="422"/>
      <c r="K30" s="391"/>
      <c r="L30" s="329"/>
    </row>
    <row r="31" spans="1:12" ht="18.75" customHeight="1">
      <c r="A31" s="331"/>
      <c r="B31" s="330"/>
      <c r="C31" s="330"/>
      <c r="D31" s="330"/>
      <c r="E31" s="330"/>
      <c r="F31" s="330"/>
      <c r="G31" s="330"/>
      <c r="H31" s="330"/>
      <c r="I31" s="330"/>
      <c r="J31" s="330"/>
      <c r="K31" s="330"/>
      <c r="L31" s="332"/>
    </row>
    <row r="32" spans="1:12" ht="18.600000000000001" customHeight="1">
      <c r="A32" s="15"/>
      <c r="B32" s="15"/>
      <c r="C32" s="15"/>
      <c r="D32" s="15"/>
      <c r="E32" s="15"/>
      <c r="F32" s="15"/>
      <c r="G32" s="15"/>
      <c r="H32" s="15"/>
      <c r="I32" s="15"/>
      <c r="J32" s="15"/>
      <c r="K32" s="15"/>
      <c r="L32" s="15"/>
    </row>
    <row r="33" spans="1:12" ht="18.75" customHeight="1">
      <c r="A33" s="326"/>
      <c r="B33" s="324" t="s">
        <v>537</v>
      </c>
      <c r="C33" s="324"/>
      <c r="D33" s="324"/>
      <c r="E33" s="324"/>
      <c r="F33" s="324"/>
      <c r="G33" s="324"/>
      <c r="H33" s="324"/>
      <c r="I33" s="324"/>
      <c r="J33" s="324"/>
      <c r="K33" s="324"/>
      <c r="L33" s="327"/>
    </row>
    <row r="34" spans="1:12" ht="18.75" customHeight="1">
      <c r="A34" s="328"/>
      <c r="B34" s="326"/>
      <c r="C34" s="324"/>
      <c r="D34" s="324"/>
      <c r="E34" s="324"/>
      <c r="F34" s="324"/>
      <c r="G34" s="324"/>
      <c r="H34" s="324"/>
      <c r="I34" s="324"/>
      <c r="J34" s="324"/>
      <c r="K34" s="327"/>
      <c r="L34" s="329"/>
    </row>
    <row r="35" spans="1:12" ht="18.75" customHeight="1">
      <c r="A35" s="328"/>
      <c r="B35" s="331"/>
      <c r="C35" s="330"/>
      <c r="D35" s="330"/>
      <c r="E35" s="330"/>
      <c r="F35" s="330"/>
      <c r="G35" s="330"/>
      <c r="H35" s="330"/>
      <c r="I35" s="330"/>
      <c r="J35" s="330"/>
      <c r="K35" s="332"/>
      <c r="L35" s="329"/>
    </row>
    <row r="36" spans="1:12" ht="18.75" customHeight="1">
      <c r="A36" s="328"/>
      <c r="B36" s="328"/>
      <c r="C36" s="15"/>
      <c r="D36" s="15"/>
      <c r="E36" s="15" t="s">
        <v>538</v>
      </c>
      <c r="F36" s="15"/>
      <c r="G36" s="15"/>
      <c r="H36" s="15"/>
      <c r="I36" s="15"/>
      <c r="J36" s="15"/>
      <c r="K36" s="329"/>
      <c r="L36" s="329"/>
    </row>
    <row r="37" spans="1:12" ht="18.75" customHeight="1">
      <c r="A37" s="328"/>
      <c r="B37" s="328" t="s">
        <v>18</v>
      </c>
      <c r="C37" s="15"/>
      <c r="D37" s="15"/>
      <c r="E37" s="15"/>
      <c r="F37" s="15"/>
      <c r="G37" s="15" t="s">
        <v>19</v>
      </c>
      <c r="H37" s="15"/>
      <c r="I37" s="15"/>
      <c r="J37" s="15"/>
      <c r="K37" s="329"/>
      <c r="L37" s="329"/>
    </row>
    <row r="38" spans="1:12" ht="18.75" customHeight="1">
      <c r="A38" s="328"/>
      <c r="B38" s="328"/>
      <c r="C38" s="15"/>
      <c r="D38" s="15"/>
      <c r="E38" s="15"/>
      <c r="F38" s="15"/>
      <c r="G38" s="15"/>
      <c r="H38" s="15"/>
      <c r="I38" s="15"/>
      <c r="J38" s="15"/>
      <c r="K38" s="329"/>
      <c r="L38" s="329"/>
    </row>
    <row r="39" spans="1:12" ht="18.75" customHeight="1">
      <c r="A39" s="328"/>
      <c r="B39" s="431" t="s">
        <v>539</v>
      </c>
      <c r="C39" s="426"/>
      <c r="D39" s="426"/>
      <c r="E39" s="339"/>
      <c r="F39" s="337"/>
      <c r="G39" s="340"/>
      <c r="H39" s="15"/>
      <c r="I39" s="390"/>
      <c r="J39" s="422"/>
      <c r="K39" s="336"/>
      <c r="L39" s="329"/>
    </row>
    <row r="40" spans="1:12" ht="18.75" customHeight="1">
      <c r="A40" s="328"/>
      <c r="B40" s="328"/>
      <c r="C40" s="15"/>
      <c r="D40" s="15"/>
      <c r="E40" s="421" t="s">
        <v>540</v>
      </c>
      <c r="F40" s="421"/>
      <c r="G40" s="15"/>
      <c r="H40" s="15"/>
      <c r="I40" s="312" t="s">
        <v>3</v>
      </c>
      <c r="J40" s="15"/>
      <c r="K40" s="329"/>
      <c r="L40" s="329"/>
    </row>
    <row r="41" spans="1:12" ht="18.75" customHeight="1">
      <c r="A41" s="328"/>
      <c r="B41" s="328"/>
      <c r="C41" s="15"/>
      <c r="D41" s="15"/>
      <c r="E41" s="15"/>
      <c r="F41" s="15"/>
      <c r="G41" s="15"/>
      <c r="H41" s="15"/>
      <c r="I41" s="15"/>
      <c r="J41" s="15"/>
      <c r="K41" s="329"/>
      <c r="L41" s="329"/>
    </row>
    <row r="42" spans="1:12" ht="18.75" customHeight="1">
      <c r="A42" s="328"/>
      <c r="B42" s="328" t="s">
        <v>8</v>
      </c>
      <c r="C42" s="15" t="s">
        <v>4</v>
      </c>
      <c r="D42" s="15" t="s">
        <v>5</v>
      </c>
      <c r="E42" s="15" t="s">
        <v>6</v>
      </c>
      <c r="F42" s="15"/>
      <c r="G42" s="312" t="s">
        <v>7</v>
      </c>
      <c r="H42" s="390"/>
      <c r="I42" s="422"/>
      <c r="J42" s="422"/>
      <c r="K42" s="336"/>
      <c r="L42" s="329"/>
    </row>
    <row r="43" spans="1:12" ht="18.75" customHeight="1">
      <c r="A43" s="328"/>
      <c r="B43" s="328"/>
      <c r="C43" s="15"/>
      <c r="D43" s="15"/>
      <c r="E43" s="15"/>
      <c r="F43" s="15"/>
      <c r="G43" s="15"/>
      <c r="H43" s="15"/>
      <c r="I43" s="15"/>
      <c r="J43" s="15"/>
      <c r="K43" s="329"/>
      <c r="L43" s="329"/>
    </row>
    <row r="44" spans="1:12" ht="18.75" customHeight="1">
      <c r="A44" s="328"/>
      <c r="B44" s="331"/>
      <c r="C44" s="330"/>
      <c r="D44" s="330"/>
      <c r="E44" s="330"/>
      <c r="F44" s="330"/>
      <c r="G44" s="330"/>
      <c r="H44" s="330"/>
      <c r="I44" s="330"/>
      <c r="J44" s="330"/>
      <c r="K44" s="332"/>
      <c r="L44" s="329"/>
    </row>
    <row r="45" spans="1:12" ht="18.75" customHeight="1">
      <c r="A45" s="331"/>
      <c r="B45" s="330"/>
      <c r="C45" s="330"/>
      <c r="D45" s="330"/>
      <c r="E45" s="330"/>
      <c r="F45" s="330"/>
      <c r="G45" s="330"/>
      <c r="H45" s="330"/>
      <c r="I45" s="330"/>
      <c r="J45" s="330"/>
      <c r="K45" s="330"/>
      <c r="L45" s="332"/>
    </row>
    <row r="46" spans="1:12" ht="9.9499999999999993" customHeight="1">
      <c r="B46" s="369"/>
      <c r="C46" s="369"/>
      <c r="D46" s="369"/>
      <c r="E46" s="369"/>
      <c r="F46" s="369"/>
      <c r="G46" s="369"/>
      <c r="H46" s="369"/>
      <c r="I46" s="369"/>
      <c r="J46" s="369"/>
      <c r="K46" s="369"/>
      <c r="L46" s="369"/>
    </row>
    <row r="47" spans="1:12" ht="15" customHeight="1">
      <c r="A47" s="306" t="s">
        <v>541</v>
      </c>
      <c r="B47" s="306"/>
      <c r="C47" s="306"/>
      <c r="D47" s="306"/>
      <c r="E47" s="306"/>
      <c r="F47" s="306"/>
      <c r="G47" s="306"/>
      <c r="H47" s="306"/>
      <c r="I47" s="306"/>
      <c r="J47" s="306"/>
      <c r="K47" s="306"/>
      <c r="L47" s="306"/>
    </row>
    <row r="48" spans="1:12" ht="15" customHeight="1">
      <c r="A48" s="306" t="s">
        <v>900</v>
      </c>
      <c r="B48" s="306"/>
      <c r="C48" s="306"/>
      <c r="D48" s="306"/>
      <c r="E48" s="306"/>
      <c r="F48" s="306"/>
      <c r="G48" s="306"/>
      <c r="H48" s="306"/>
      <c r="I48" s="306"/>
      <c r="J48" s="306"/>
      <c r="K48" s="306"/>
      <c r="L48" s="306"/>
    </row>
    <row r="49" spans="1:12" ht="15" customHeight="1">
      <c r="A49" s="306" t="s">
        <v>901</v>
      </c>
      <c r="B49" s="306"/>
      <c r="C49" s="306"/>
      <c r="D49" s="306"/>
      <c r="E49" s="306"/>
      <c r="F49" s="306"/>
      <c r="G49" s="306"/>
      <c r="H49" s="306"/>
      <c r="I49" s="306"/>
      <c r="J49" s="306"/>
      <c r="K49" s="306"/>
      <c r="L49" s="306"/>
    </row>
    <row r="50" spans="1:12" ht="15" customHeight="1">
      <c r="A50" s="413" t="s">
        <v>482</v>
      </c>
      <c r="B50" s="414"/>
      <c r="C50" s="414"/>
      <c r="D50" s="414"/>
      <c r="E50" s="414"/>
      <c r="F50" s="414"/>
      <c r="G50" s="414"/>
      <c r="H50" s="414"/>
      <c r="I50" s="414"/>
      <c r="J50" s="414"/>
      <c r="K50" s="414"/>
      <c r="L50" s="415"/>
    </row>
    <row r="51" spans="1:12" ht="14.1" customHeight="1"/>
    <row r="52" spans="1:12" ht="15.75" customHeight="1">
      <c r="A52" s="326"/>
      <c r="B52" s="324"/>
      <c r="C52" s="324"/>
      <c r="D52" s="324"/>
      <c r="E52" s="324"/>
      <c r="F52" s="324"/>
      <c r="G52" s="324"/>
      <c r="H52" s="324"/>
      <c r="I52" s="324"/>
      <c r="J52" s="324"/>
      <c r="K52" s="324"/>
      <c r="L52" s="327"/>
    </row>
    <row r="53" spans="1:12" ht="15.75" customHeight="1">
      <c r="A53" s="328"/>
      <c r="B53" s="15" t="s">
        <v>877</v>
      </c>
      <c r="C53" s="15"/>
      <c r="D53" s="15"/>
      <c r="E53" s="15"/>
      <c r="F53" s="15"/>
      <c r="G53" s="15"/>
      <c r="H53" s="15"/>
      <c r="I53" s="15"/>
      <c r="J53" s="15"/>
      <c r="K53" s="15"/>
      <c r="L53" s="329"/>
    </row>
    <row r="54" spans="1:12" ht="15.75" customHeight="1">
      <c r="A54" s="328"/>
      <c r="B54" s="15"/>
      <c r="C54" s="15"/>
      <c r="D54" s="15"/>
      <c r="E54" s="15"/>
      <c r="F54" s="15"/>
      <c r="G54" s="15"/>
      <c r="H54" s="15"/>
      <c r="I54" s="15"/>
      <c r="J54" s="15"/>
      <c r="K54" s="15"/>
      <c r="L54" s="329"/>
    </row>
    <row r="55" spans="1:12" ht="15.75" customHeight="1">
      <c r="A55" s="328"/>
      <c r="B55" s="15" t="s">
        <v>882</v>
      </c>
      <c r="C55" s="15"/>
      <c r="D55" s="330"/>
      <c r="E55" s="330"/>
      <c r="F55" s="15" t="s">
        <v>883</v>
      </c>
      <c r="G55" s="330"/>
      <c r="H55" s="7"/>
      <c r="I55" s="338" t="s">
        <v>881</v>
      </c>
      <c r="J55" s="330"/>
      <c r="K55" s="330"/>
      <c r="L55" s="329"/>
    </row>
    <row r="56" spans="1:12" ht="15.75" customHeight="1">
      <c r="A56" s="328"/>
      <c r="B56" s="15"/>
      <c r="C56" s="15"/>
      <c r="D56" s="15"/>
      <c r="E56" s="15"/>
      <c r="F56" s="15"/>
      <c r="G56" s="15"/>
      <c r="H56" s="15"/>
      <c r="I56" s="338"/>
      <c r="J56" s="15"/>
      <c r="K56" s="15"/>
      <c r="L56" s="329"/>
    </row>
    <row r="57" spans="1:12" ht="15.75" customHeight="1">
      <c r="A57" s="328"/>
      <c r="B57" s="15" t="s">
        <v>884</v>
      </c>
      <c r="C57" s="15"/>
      <c r="D57" s="15"/>
      <c r="E57" s="423"/>
      <c r="F57" s="423"/>
      <c r="G57" s="423"/>
      <c r="H57" s="15" t="s">
        <v>879</v>
      </c>
      <c r="I57" s="338" t="s">
        <v>880</v>
      </c>
      <c r="J57" s="330"/>
      <c r="K57" s="330"/>
      <c r="L57" s="329"/>
    </row>
    <row r="58" spans="1:12" ht="15.75" customHeight="1">
      <c r="A58" s="328"/>
      <c r="B58" s="15"/>
      <c r="C58" s="15"/>
      <c r="D58" s="15"/>
      <c r="E58" s="15"/>
      <c r="F58" s="15"/>
      <c r="G58" s="15"/>
      <c r="H58" s="15"/>
      <c r="I58" s="338"/>
      <c r="J58" s="15"/>
      <c r="K58" s="15"/>
      <c r="L58" s="329"/>
    </row>
    <row r="59" spans="1:12" ht="15.75" customHeight="1">
      <c r="A59" s="328"/>
      <c r="B59" s="15" t="s">
        <v>886</v>
      </c>
      <c r="C59" s="15"/>
      <c r="D59" s="423"/>
      <c r="E59" s="423"/>
      <c r="F59" s="423"/>
      <c r="G59" s="423"/>
      <c r="H59" s="7"/>
      <c r="I59" s="338" t="s">
        <v>529</v>
      </c>
      <c r="J59" s="330"/>
      <c r="K59" s="330"/>
      <c r="L59" s="329"/>
    </row>
    <row r="60" spans="1:12" ht="15.75" customHeight="1">
      <c r="A60" s="328"/>
      <c r="B60" s="15"/>
      <c r="C60" s="15"/>
      <c r="D60" s="15"/>
      <c r="E60" s="15"/>
      <c r="F60" s="15"/>
      <c r="G60" s="15"/>
      <c r="H60" s="15"/>
      <c r="I60" s="15"/>
      <c r="J60" s="15"/>
      <c r="K60" s="15"/>
      <c r="L60" s="329"/>
    </row>
    <row r="61" spans="1:12" ht="15.75" customHeight="1">
      <c r="A61" s="328"/>
      <c r="B61" s="15" t="s">
        <v>885</v>
      </c>
      <c r="C61" s="330"/>
      <c r="D61" s="330"/>
      <c r="E61" s="330"/>
      <c r="F61" s="330"/>
      <c r="G61" s="330"/>
      <c r="H61" s="330"/>
      <c r="I61" s="330"/>
      <c r="J61" s="330"/>
      <c r="K61" s="330"/>
      <c r="L61" s="329"/>
    </row>
    <row r="62" spans="1:12" ht="15.75" customHeight="1">
      <c r="A62" s="328"/>
      <c r="B62" s="15"/>
      <c r="C62" s="15"/>
      <c r="D62" s="15"/>
      <c r="E62" s="15"/>
      <c r="F62" s="15"/>
      <c r="G62" s="15"/>
      <c r="H62" s="15"/>
      <c r="I62" s="15"/>
      <c r="J62" s="15"/>
      <c r="K62" s="15"/>
      <c r="L62" s="329"/>
    </row>
    <row r="63" spans="1:12" ht="15.75" customHeight="1">
      <c r="A63" s="328"/>
      <c r="B63" s="15" t="s">
        <v>878</v>
      </c>
      <c r="C63" s="15"/>
      <c r="D63" s="15"/>
      <c r="E63" s="426"/>
      <c r="F63" s="426"/>
      <c r="G63" s="426"/>
      <c r="H63" s="426"/>
      <c r="I63" s="426"/>
      <c r="J63" s="15"/>
      <c r="K63" s="15"/>
      <c r="L63" s="329"/>
    </row>
    <row r="64" spans="1:12" ht="15.75" customHeight="1">
      <c r="A64" s="328"/>
      <c r="B64" s="15"/>
      <c r="C64" s="15"/>
      <c r="D64" s="15"/>
      <c r="E64" s="15"/>
      <c r="F64" s="15"/>
      <c r="G64" s="15"/>
      <c r="H64" s="15"/>
      <c r="I64" s="15"/>
      <c r="J64" s="15"/>
      <c r="K64" s="15"/>
      <c r="L64" s="329"/>
    </row>
    <row r="65" spans="1:12" ht="15.75" customHeight="1">
      <c r="A65" s="328"/>
      <c r="B65" s="15" t="s">
        <v>887</v>
      </c>
      <c r="C65" s="15"/>
      <c r="D65" s="423"/>
      <c r="E65" s="423"/>
      <c r="F65" s="423"/>
      <c r="G65" s="423"/>
      <c r="H65" s="423"/>
      <c r="I65" s="423"/>
      <c r="J65" s="330"/>
      <c r="K65" s="330"/>
      <c r="L65" s="329"/>
    </row>
    <row r="66" spans="1:12" ht="15.75" customHeight="1">
      <c r="A66" s="328"/>
      <c r="B66" s="15"/>
      <c r="C66" s="15"/>
      <c r="D66" s="15"/>
      <c r="E66" s="15"/>
      <c r="F66" s="15"/>
      <c r="G66" s="15"/>
      <c r="H66" s="15"/>
      <c r="I66" s="15"/>
      <c r="J66" s="15"/>
      <c r="K66" s="15"/>
      <c r="L66" s="329"/>
    </row>
    <row r="67" spans="1:12" ht="15.75" customHeight="1">
      <c r="A67" s="328"/>
      <c r="B67" s="15" t="s">
        <v>888</v>
      </c>
      <c r="C67" s="15"/>
      <c r="D67" s="423"/>
      <c r="E67" s="423"/>
      <c r="F67" s="423"/>
      <c r="G67" s="423"/>
      <c r="H67" s="423"/>
      <c r="I67" s="423"/>
      <c r="J67" s="330"/>
      <c r="K67" s="330"/>
      <c r="L67" s="329"/>
    </row>
    <row r="68" spans="1:12" ht="15.75" customHeight="1">
      <c r="A68" s="328"/>
      <c r="B68" s="15"/>
      <c r="C68" s="15"/>
      <c r="D68" s="15"/>
      <c r="E68" s="15"/>
      <c r="F68" s="15"/>
      <c r="G68" s="15"/>
      <c r="H68" s="15"/>
      <c r="I68" s="15"/>
      <c r="J68" s="15"/>
      <c r="K68" s="15"/>
      <c r="L68" s="329"/>
    </row>
    <row r="69" spans="1:12" ht="15.75" customHeight="1">
      <c r="A69" s="328"/>
      <c r="B69" s="15" t="s">
        <v>889</v>
      </c>
      <c r="C69" s="15"/>
      <c r="D69" s="423"/>
      <c r="E69" s="423"/>
      <c r="F69" s="423"/>
      <c r="G69" s="423"/>
      <c r="H69" s="423"/>
      <c r="I69" s="423"/>
      <c r="J69" s="330"/>
      <c r="K69" s="330"/>
      <c r="L69" s="329"/>
    </row>
    <row r="70" spans="1:12" ht="15.75" customHeight="1">
      <c r="A70" s="328"/>
      <c r="B70" s="15"/>
      <c r="C70" s="15"/>
      <c r="D70" s="15"/>
      <c r="E70" s="15"/>
      <c r="F70" s="15"/>
      <c r="G70" s="15"/>
      <c r="H70" s="15"/>
      <c r="I70" s="15"/>
      <c r="J70" s="15"/>
      <c r="K70" s="15"/>
      <c r="L70" s="329"/>
    </row>
    <row r="71" spans="1:12" ht="15.75" customHeight="1">
      <c r="A71" s="328"/>
      <c r="B71" s="15" t="s">
        <v>890</v>
      </c>
      <c r="C71" s="15"/>
      <c r="D71" s="423"/>
      <c r="E71" s="423"/>
      <c r="F71" s="423"/>
      <c r="G71" s="423"/>
      <c r="H71" s="423"/>
      <c r="I71" s="423"/>
      <c r="J71" s="330"/>
      <c r="K71" s="330"/>
      <c r="L71" s="329"/>
    </row>
    <row r="72" spans="1:12" ht="15.75" customHeight="1">
      <c r="A72" s="328"/>
      <c r="B72" s="15"/>
      <c r="C72" s="15"/>
      <c r="D72" s="15"/>
      <c r="E72" s="15"/>
      <c r="F72" s="15"/>
      <c r="G72" s="15"/>
      <c r="H72" s="15"/>
      <c r="I72" s="15"/>
      <c r="J72" s="15"/>
      <c r="K72" s="15"/>
      <c r="L72" s="329"/>
    </row>
    <row r="73" spans="1:12" ht="15.75" customHeight="1">
      <c r="A73" s="328"/>
      <c r="B73" s="15" t="s">
        <v>891</v>
      </c>
      <c r="C73" s="15"/>
      <c r="D73" s="423"/>
      <c r="E73" s="423"/>
      <c r="F73" s="423"/>
      <c r="G73" s="423"/>
      <c r="H73" s="423"/>
      <c r="I73" s="423"/>
      <c r="J73" s="330"/>
      <c r="K73" s="330"/>
      <c r="L73" s="329"/>
    </row>
    <row r="74" spans="1:12" ht="15.75" customHeight="1">
      <c r="A74" s="328"/>
      <c r="B74" s="15"/>
      <c r="C74" s="15"/>
      <c r="D74" s="15"/>
      <c r="E74" s="15"/>
      <c r="F74" s="15"/>
      <c r="G74" s="15"/>
      <c r="H74" s="15"/>
      <c r="I74" s="15"/>
      <c r="J74" s="15"/>
      <c r="K74" s="15"/>
      <c r="L74" s="329"/>
    </row>
    <row r="75" spans="1:12" ht="15.75" customHeight="1">
      <c r="A75" s="328"/>
      <c r="B75" s="330"/>
      <c r="C75" s="330"/>
      <c r="D75" s="330"/>
      <c r="E75" s="330"/>
      <c r="F75" s="330"/>
      <c r="G75" s="330"/>
      <c r="H75" s="330"/>
      <c r="I75" s="330"/>
      <c r="J75" s="330"/>
      <c r="K75" s="330"/>
      <c r="L75" s="329"/>
    </row>
    <row r="76" spans="1:12" ht="15.75" customHeight="1">
      <c r="A76" s="328"/>
      <c r="B76" s="15"/>
      <c r="C76" s="15"/>
      <c r="D76" s="15"/>
      <c r="E76" s="15"/>
      <c r="F76" s="15"/>
      <c r="G76" s="15"/>
      <c r="H76" s="15"/>
      <c r="I76" s="15"/>
      <c r="J76" s="15"/>
      <c r="K76" s="15"/>
      <c r="L76" s="329"/>
    </row>
    <row r="77" spans="1:12" ht="15.75" customHeight="1">
      <c r="A77" s="331"/>
      <c r="B77" s="330"/>
      <c r="C77" s="330"/>
      <c r="D77" s="330"/>
      <c r="E77" s="330"/>
      <c r="F77" s="330"/>
      <c r="G77" s="330"/>
      <c r="H77" s="330"/>
      <c r="I77" s="330"/>
      <c r="J77" s="330"/>
      <c r="K77" s="330"/>
      <c r="L77" s="332"/>
    </row>
    <row r="78" spans="1:12" ht="15.75" customHeight="1">
      <c r="A78" s="15"/>
      <c r="B78" s="15"/>
      <c r="C78" s="15"/>
      <c r="D78" s="15"/>
      <c r="E78" s="15"/>
      <c r="F78" s="15"/>
      <c r="G78" s="15"/>
      <c r="H78" s="15"/>
      <c r="I78" s="15"/>
      <c r="J78" s="15"/>
      <c r="K78" s="15"/>
      <c r="L78" s="15"/>
    </row>
    <row r="79" spans="1:12" ht="15.75" customHeight="1">
      <c r="A79" s="326"/>
      <c r="B79" s="324"/>
      <c r="C79" s="324"/>
      <c r="D79" s="324"/>
      <c r="E79" s="324"/>
      <c r="F79" s="324"/>
      <c r="G79" s="324"/>
      <c r="H79" s="324"/>
      <c r="I79" s="324"/>
      <c r="J79" s="324"/>
      <c r="K79" s="324"/>
      <c r="L79" s="327"/>
    </row>
    <row r="80" spans="1:12" ht="15.75" customHeight="1">
      <c r="A80" s="328"/>
      <c r="B80" s="333" t="s">
        <v>33</v>
      </c>
      <c r="C80" s="15"/>
      <c r="D80" s="15"/>
      <c r="E80" s="15"/>
      <c r="F80" s="15"/>
      <c r="G80" s="15"/>
      <c r="H80" s="15"/>
      <c r="I80" s="15"/>
      <c r="J80" s="15"/>
      <c r="K80" s="15"/>
      <c r="L80" s="329"/>
    </row>
    <row r="81" spans="1:12" ht="15.75" customHeight="1">
      <c r="A81" s="328"/>
      <c r="B81" s="15"/>
      <c r="C81" s="15"/>
      <c r="D81" s="15"/>
      <c r="E81" s="15"/>
      <c r="F81" s="15"/>
      <c r="G81" s="15"/>
      <c r="H81" s="15"/>
      <c r="I81" s="15"/>
      <c r="J81" s="15"/>
      <c r="K81" s="15"/>
      <c r="L81" s="329"/>
    </row>
    <row r="82" spans="1:12" ht="15.75" customHeight="1">
      <c r="A82" s="328"/>
      <c r="B82" s="424" t="s">
        <v>34</v>
      </c>
      <c r="C82" s="424"/>
      <c r="D82" s="424"/>
      <c r="E82" s="330"/>
      <c r="F82" s="330"/>
      <c r="G82" s="330"/>
      <c r="H82" s="15" t="s">
        <v>35</v>
      </c>
      <c r="I82" s="15"/>
      <c r="J82" s="15"/>
      <c r="K82" s="15"/>
      <c r="L82" s="329"/>
    </row>
    <row r="83" spans="1:12" ht="15.75" customHeight="1">
      <c r="A83" s="328"/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329"/>
    </row>
    <row r="84" spans="1:12" ht="15.75" customHeight="1">
      <c r="A84" s="328"/>
      <c r="B84" s="372" t="s">
        <v>872</v>
      </c>
      <c r="C84" s="371"/>
      <c r="D84" s="371"/>
      <c r="E84" s="371"/>
      <c r="F84" s="371"/>
      <c r="G84" s="371"/>
      <c r="H84" s="371"/>
      <c r="I84" s="371"/>
      <c r="J84" s="371"/>
      <c r="K84" s="15"/>
      <c r="L84" s="329"/>
    </row>
    <row r="85" spans="1:12" ht="15.75" customHeight="1">
      <c r="A85" s="328"/>
      <c r="B85" s="372" t="s">
        <v>906</v>
      </c>
      <c r="C85" s="371"/>
      <c r="D85" s="371"/>
      <c r="E85" s="371"/>
      <c r="F85" s="371"/>
      <c r="G85" s="371"/>
      <c r="H85" s="371"/>
      <c r="I85" s="371"/>
      <c r="J85" s="371"/>
      <c r="K85" s="15"/>
      <c r="L85" s="329"/>
    </row>
    <row r="86" spans="1:12" ht="15.75" customHeight="1">
      <c r="A86" s="328"/>
      <c r="B86" s="15"/>
      <c r="C86" s="15"/>
      <c r="D86" s="15"/>
      <c r="E86" s="15"/>
      <c r="F86" s="15"/>
      <c r="G86" s="15"/>
      <c r="H86" s="15"/>
      <c r="I86" s="15"/>
      <c r="J86" s="15"/>
      <c r="K86" s="15"/>
      <c r="L86" s="329"/>
    </row>
    <row r="87" spans="1:12" ht="15.75" customHeight="1">
      <c r="A87" s="328"/>
      <c r="B87" s="372" t="s">
        <v>873</v>
      </c>
      <c r="C87" s="372"/>
      <c r="D87" s="372"/>
      <c r="E87" s="372"/>
      <c r="F87" s="372"/>
      <c r="G87" s="372"/>
      <c r="H87" s="372"/>
      <c r="I87" s="372"/>
      <c r="J87" s="372"/>
      <c r="K87" s="15"/>
      <c r="L87" s="329"/>
    </row>
    <row r="88" spans="1:12" ht="15.75" customHeight="1">
      <c r="A88" s="328"/>
      <c r="B88" s="372" t="s">
        <v>907</v>
      </c>
      <c r="C88" s="372"/>
      <c r="D88" s="372"/>
      <c r="E88" s="372"/>
      <c r="F88" s="372"/>
      <c r="G88" s="372"/>
      <c r="H88" s="372"/>
      <c r="I88" s="372"/>
      <c r="J88" s="372"/>
      <c r="K88" s="15"/>
      <c r="L88" s="329"/>
    </row>
    <row r="89" spans="1:12" ht="15.75" customHeight="1">
      <c r="A89" s="328"/>
      <c r="B89" s="15"/>
      <c r="C89" s="15"/>
      <c r="D89" s="15"/>
      <c r="E89" s="15"/>
      <c r="F89" s="15"/>
      <c r="G89" s="15"/>
      <c r="H89" s="15"/>
      <c r="I89" s="15"/>
      <c r="J89" s="15"/>
      <c r="K89" s="15"/>
      <c r="L89" s="329"/>
    </row>
    <row r="90" spans="1:12" ht="15.75" customHeight="1">
      <c r="A90" s="328"/>
      <c r="B90" s="425" t="s">
        <v>874</v>
      </c>
      <c r="C90" s="424"/>
      <c r="D90" s="424"/>
      <c r="E90" s="424"/>
      <c r="F90" s="424"/>
      <c r="G90" s="424"/>
      <c r="H90" s="424"/>
      <c r="I90" s="15"/>
      <c r="J90" s="15"/>
      <c r="K90" s="15"/>
      <c r="L90" s="329"/>
    </row>
    <row r="91" spans="1:12" ht="15.75" customHeight="1">
      <c r="A91" s="328"/>
      <c r="B91" s="15"/>
      <c r="C91" s="15"/>
      <c r="D91" s="15"/>
      <c r="E91" s="15"/>
      <c r="F91" s="15"/>
      <c r="G91" s="15"/>
      <c r="H91" s="15"/>
      <c r="I91" s="15"/>
      <c r="J91" s="15"/>
      <c r="K91" s="15"/>
      <c r="L91" s="329"/>
    </row>
    <row r="92" spans="1:12" ht="15.75" customHeight="1">
      <c r="A92" s="328"/>
      <c r="B92" s="425" t="s">
        <v>875</v>
      </c>
      <c r="C92" s="424"/>
      <c r="D92" s="424"/>
      <c r="E92" s="424"/>
      <c r="F92" s="424"/>
      <c r="G92" s="424"/>
      <c r="H92" s="424"/>
      <c r="I92" s="15"/>
      <c r="J92" s="15"/>
      <c r="K92" s="15"/>
      <c r="L92" s="329"/>
    </row>
    <row r="93" spans="1:12" ht="15.75" customHeight="1">
      <c r="A93" s="328"/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329"/>
    </row>
    <row r="94" spans="1:12" ht="15.75" customHeight="1">
      <c r="A94" s="328"/>
      <c r="B94" s="372" t="s">
        <v>908</v>
      </c>
      <c r="C94" s="372"/>
      <c r="D94" s="372"/>
      <c r="E94" s="372"/>
      <c r="F94" s="372"/>
      <c r="G94" s="372"/>
      <c r="H94" s="372"/>
      <c r="I94" s="372"/>
      <c r="J94" s="372"/>
      <c r="K94" s="15"/>
      <c r="L94" s="329"/>
    </row>
    <row r="95" spans="1:12" ht="15.75" customHeight="1">
      <c r="A95" s="328"/>
      <c r="B95" s="372" t="s">
        <v>909</v>
      </c>
      <c r="C95" s="372"/>
      <c r="D95" s="372"/>
      <c r="E95" s="372"/>
      <c r="F95" s="372"/>
      <c r="G95" s="372"/>
      <c r="H95" s="372"/>
      <c r="I95" s="372"/>
      <c r="J95" s="372"/>
      <c r="L95" s="329"/>
    </row>
    <row r="96" spans="1:12" ht="15.75" customHeight="1">
      <c r="A96" s="328"/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329"/>
    </row>
    <row r="97" spans="1:12" ht="15.75" customHeight="1">
      <c r="A97" s="328"/>
      <c r="B97" s="15" t="s">
        <v>910</v>
      </c>
      <c r="C97" s="15"/>
      <c r="D97" s="15"/>
      <c r="E97" s="15"/>
      <c r="F97" s="15"/>
      <c r="G97" s="15"/>
      <c r="H97" s="15"/>
      <c r="I97" s="15"/>
      <c r="J97" s="15"/>
      <c r="K97" s="15"/>
      <c r="L97" s="329"/>
    </row>
    <row r="98" spans="1:12" ht="15.75" customHeight="1">
      <c r="A98" s="328"/>
      <c r="B98" s="15"/>
      <c r="C98" s="15"/>
      <c r="D98" s="15"/>
      <c r="E98" s="15"/>
      <c r="F98" s="15"/>
      <c r="G98" s="15"/>
      <c r="H98" s="15"/>
      <c r="I98" s="15"/>
      <c r="J98" s="15"/>
      <c r="K98" s="15"/>
      <c r="L98" s="329"/>
    </row>
    <row r="99" spans="1:12" ht="15.75" customHeight="1">
      <c r="A99" s="328"/>
      <c r="B99" s="424" t="s">
        <v>37</v>
      </c>
      <c r="C99" s="424"/>
      <c r="D99" s="424"/>
      <c r="E99" s="424"/>
      <c r="F99" s="424"/>
      <c r="G99" s="424"/>
      <c r="H99" s="15"/>
      <c r="I99" s="15"/>
      <c r="J99" s="15"/>
      <c r="K99" s="15"/>
      <c r="L99" s="329"/>
    </row>
    <row r="100" spans="1:12" ht="15.75" customHeight="1">
      <c r="A100" s="328"/>
      <c r="B100" s="15"/>
      <c r="C100" s="15"/>
      <c r="D100" s="15"/>
      <c r="E100" s="15"/>
      <c r="F100" s="15"/>
      <c r="G100" s="15"/>
      <c r="H100" s="15"/>
      <c r="I100" s="15"/>
      <c r="J100" s="15"/>
      <c r="K100" s="15"/>
      <c r="L100" s="329"/>
    </row>
    <row r="101" spans="1:12" ht="15.75" customHeight="1">
      <c r="A101" s="328"/>
      <c r="B101" s="15" t="s">
        <v>527</v>
      </c>
      <c r="C101" s="15"/>
      <c r="D101" s="15"/>
      <c r="E101" s="15"/>
      <c r="F101" s="15"/>
      <c r="G101" s="15"/>
      <c r="H101" s="15"/>
      <c r="I101" s="15"/>
      <c r="J101" s="15"/>
      <c r="K101" s="15"/>
      <c r="L101" s="329"/>
    </row>
    <row r="102" spans="1:12" ht="15.75" customHeight="1">
      <c r="A102" s="331"/>
      <c r="B102" s="330"/>
      <c r="C102" s="330"/>
      <c r="D102" s="330"/>
      <c r="E102" s="330"/>
      <c r="F102" s="330"/>
      <c r="G102" s="330"/>
      <c r="H102" s="330"/>
      <c r="I102" s="330"/>
      <c r="J102" s="330"/>
      <c r="K102" s="330"/>
      <c r="L102" s="332"/>
    </row>
    <row r="103" spans="1:12" ht="15" customHeight="1">
      <c r="A103" s="309" t="s">
        <v>904</v>
      </c>
      <c r="B103" s="309"/>
      <c r="C103" s="309"/>
      <c r="D103" s="309"/>
      <c r="E103" s="309"/>
      <c r="F103" s="309"/>
      <c r="G103" s="309"/>
      <c r="H103" s="309"/>
      <c r="I103" s="309"/>
      <c r="J103" s="309"/>
      <c r="K103" s="309"/>
      <c r="L103" s="309"/>
    </row>
    <row r="104" spans="1:12" ht="15" customHeight="1">
      <c r="A104" s="370" t="s">
        <v>905</v>
      </c>
      <c r="B104" s="370"/>
      <c r="C104" s="370"/>
      <c r="D104" s="370"/>
      <c r="E104" s="370"/>
      <c r="F104" s="370"/>
      <c r="G104" s="370"/>
      <c r="H104" s="370"/>
      <c r="I104" s="370"/>
      <c r="J104" s="370"/>
      <c r="K104" s="370"/>
      <c r="L104" s="370"/>
    </row>
    <row r="105" spans="1:12" ht="15" customHeight="1">
      <c r="A105" s="370" t="s">
        <v>903</v>
      </c>
      <c r="B105" s="370"/>
      <c r="C105" s="370"/>
      <c r="D105" s="370"/>
      <c r="E105" s="370"/>
      <c r="F105" s="370"/>
      <c r="G105" s="370"/>
      <c r="H105" s="370"/>
      <c r="I105" s="370"/>
      <c r="J105" s="370"/>
      <c r="K105" s="370"/>
      <c r="L105" s="370"/>
    </row>
    <row r="106" spans="1:12">
      <c r="A106" s="413" t="s">
        <v>38</v>
      </c>
      <c r="B106" s="414"/>
      <c r="C106" s="414"/>
      <c r="D106" s="414"/>
      <c r="E106" s="414"/>
      <c r="F106" s="414"/>
      <c r="G106" s="414"/>
      <c r="H106" s="414"/>
      <c r="I106" s="414"/>
      <c r="J106" s="414"/>
      <c r="K106" s="414"/>
      <c r="L106" s="415"/>
    </row>
    <row r="108" spans="1:12" ht="16.5" customHeight="1">
      <c r="A108" s="326"/>
      <c r="B108" s="324"/>
      <c r="C108" s="324"/>
      <c r="D108" s="324"/>
      <c r="E108" s="324"/>
      <c r="F108" s="324"/>
      <c r="G108" s="324"/>
      <c r="H108" s="324"/>
      <c r="I108" s="324"/>
      <c r="J108" s="324"/>
      <c r="K108" s="324"/>
      <c r="L108" s="327"/>
    </row>
    <row r="109" spans="1:12" ht="16.5" customHeight="1">
      <c r="A109" s="328"/>
      <c r="B109" s="15" t="s">
        <v>543</v>
      </c>
      <c r="C109" s="15"/>
      <c r="D109" s="15"/>
      <c r="E109" s="15"/>
      <c r="F109" s="15"/>
      <c r="G109" s="15"/>
      <c r="H109" s="15"/>
      <c r="I109" s="15"/>
      <c r="J109" s="15"/>
      <c r="K109" s="15"/>
      <c r="L109" s="329"/>
    </row>
    <row r="110" spans="1:12" ht="16.5" customHeight="1">
      <c r="A110" s="328"/>
      <c r="B110" s="15"/>
      <c r="C110" s="15"/>
      <c r="D110" s="15"/>
      <c r="E110" s="15"/>
      <c r="F110" s="15"/>
      <c r="G110" s="15"/>
      <c r="H110" s="15"/>
      <c r="I110" s="15"/>
      <c r="J110" s="15"/>
      <c r="K110" s="15"/>
      <c r="L110" s="329"/>
    </row>
    <row r="111" spans="1:12" ht="16.5" customHeight="1">
      <c r="A111" s="328"/>
      <c r="B111" s="15" t="s">
        <v>895</v>
      </c>
      <c r="C111" s="421" t="s">
        <v>896</v>
      </c>
      <c r="D111" s="439"/>
      <c r="E111" s="440" t="s">
        <v>49</v>
      </c>
      <c r="F111" s="441"/>
      <c r="G111" s="442" t="s">
        <v>544</v>
      </c>
      <c r="H111" s="421"/>
      <c r="I111" s="439"/>
      <c r="J111" s="416" t="str">
        <f>DATOS!D12</f>
        <v>-</v>
      </c>
      <c r="K111" s="418"/>
      <c r="L111" s="329"/>
    </row>
    <row r="112" spans="1:12" ht="16.5" customHeight="1">
      <c r="A112" s="328"/>
      <c r="B112" s="15"/>
      <c r="C112" s="15"/>
      <c r="D112" s="15"/>
      <c r="E112" s="15"/>
      <c r="F112" s="15"/>
      <c r="G112" s="15"/>
      <c r="H112" s="15"/>
      <c r="I112" s="15"/>
      <c r="J112" s="15"/>
      <c r="K112" s="15"/>
      <c r="L112" s="329"/>
    </row>
    <row r="113" spans="1:12" ht="16.5" customHeight="1">
      <c r="A113" s="328"/>
      <c r="B113" s="15"/>
      <c r="C113" s="15"/>
      <c r="D113" s="15"/>
      <c r="E113" s="15"/>
      <c r="F113" s="15"/>
      <c r="G113" s="15"/>
      <c r="H113" s="15"/>
      <c r="I113" s="15"/>
      <c r="J113" s="15"/>
      <c r="K113" s="15"/>
      <c r="L113" s="329"/>
    </row>
    <row r="114" spans="1:12" ht="16.5" customHeight="1">
      <c r="A114" s="328"/>
      <c r="B114" s="15" t="s">
        <v>39</v>
      </c>
      <c r="C114" s="15"/>
      <c r="D114" s="15"/>
      <c r="E114" s="416" t="s">
        <v>201</v>
      </c>
      <c r="F114" s="417"/>
      <c r="G114" s="417"/>
      <c r="H114" s="417"/>
      <c r="I114" s="417"/>
      <c r="J114" s="417"/>
      <c r="K114" s="418"/>
      <c r="L114" s="329"/>
    </row>
    <row r="115" spans="1:12" ht="16.5" customHeight="1">
      <c r="A115" s="328"/>
      <c r="B115" s="15"/>
      <c r="C115" s="15"/>
      <c r="D115" s="15"/>
      <c r="E115" s="15"/>
      <c r="F115" s="15"/>
      <c r="G115" s="15"/>
      <c r="H115" s="15"/>
      <c r="I115" s="15"/>
      <c r="J115" s="15"/>
      <c r="K115" s="15"/>
      <c r="L115" s="329"/>
    </row>
    <row r="116" spans="1:12" ht="16.5" customHeight="1">
      <c r="A116" s="331"/>
      <c r="B116" s="330"/>
      <c r="C116" s="330"/>
      <c r="D116" s="330"/>
      <c r="E116" s="330"/>
      <c r="F116" s="330"/>
      <c r="G116" s="330"/>
      <c r="H116" s="330"/>
      <c r="I116" s="330"/>
      <c r="J116" s="330"/>
      <c r="K116" s="330"/>
      <c r="L116" s="332"/>
    </row>
    <row r="117" spans="1:12">
      <c r="A117" s="15"/>
      <c r="B117" s="15"/>
      <c r="C117" s="15"/>
      <c r="D117" s="15"/>
      <c r="E117" s="15"/>
      <c r="F117" s="15"/>
      <c r="G117" s="15"/>
      <c r="H117" s="15"/>
      <c r="I117" s="15"/>
      <c r="J117" s="15"/>
      <c r="K117" s="15"/>
      <c r="L117" s="15"/>
    </row>
    <row r="118" spans="1:12" ht="16.5" customHeight="1">
      <c r="A118" s="326"/>
      <c r="B118" s="324"/>
      <c r="C118" s="324"/>
      <c r="D118" s="324"/>
      <c r="E118" s="324"/>
      <c r="F118" s="324"/>
      <c r="G118" s="324"/>
      <c r="H118" s="324"/>
      <c r="I118" s="324"/>
      <c r="J118" s="324"/>
      <c r="K118" s="324"/>
      <c r="L118" s="327"/>
    </row>
    <row r="119" spans="1:12" ht="16.5" customHeight="1">
      <c r="A119" s="328"/>
      <c r="B119" s="15" t="s">
        <v>545</v>
      </c>
      <c r="C119" s="15"/>
      <c r="D119" s="15"/>
      <c r="E119" s="15"/>
      <c r="F119" s="15"/>
      <c r="G119" s="15"/>
      <c r="H119" s="15"/>
      <c r="I119" s="15"/>
      <c r="J119" s="15"/>
      <c r="K119" s="15"/>
      <c r="L119" s="329"/>
    </row>
    <row r="120" spans="1:12" ht="16.5" customHeight="1">
      <c r="A120" s="328"/>
      <c r="B120" s="15"/>
      <c r="C120" s="15"/>
      <c r="D120" s="15"/>
      <c r="E120" s="15"/>
      <c r="F120" s="15"/>
      <c r="G120" s="15"/>
      <c r="H120" s="15"/>
      <c r="I120" s="15"/>
      <c r="J120" s="15"/>
      <c r="K120" s="15"/>
      <c r="L120" s="329"/>
    </row>
    <row r="121" spans="1:12" ht="16.5" customHeight="1">
      <c r="A121" s="328"/>
      <c r="B121" s="15" t="s">
        <v>40</v>
      </c>
      <c r="C121" s="15"/>
      <c r="D121" s="390"/>
      <c r="E121" s="422"/>
      <c r="F121" s="422"/>
      <c r="G121" s="422"/>
      <c r="H121" s="422"/>
      <c r="I121" s="422"/>
      <c r="J121" s="422"/>
      <c r="K121" s="391"/>
      <c r="L121" s="329"/>
    </row>
    <row r="122" spans="1:12" ht="16.5" customHeight="1">
      <c r="A122" s="328"/>
      <c r="B122" s="15"/>
      <c r="C122" s="15"/>
      <c r="D122" s="15"/>
      <c r="E122" s="15"/>
      <c r="F122" s="15"/>
      <c r="G122" s="15"/>
      <c r="H122" s="15"/>
      <c r="I122" s="15"/>
      <c r="J122" s="15"/>
      <c r="K122" s="15"/>
      <c r="L122" s="329"/>
    </row>
    <row r="123" spans="1:12" ht="16.5" customHeight="1">
      <c r="A123" s="328"/>
      <c r="B123" s="15"/>
      <c r="C123" s="15"/>
      <c r="D123" s="15"/>
      <c r="E123" s="15"/>
      <c r="F123" s="15"/>
      <c r="G123" s="15"/>
      <c r="H123" s="15"/>
      <c r="I123" s="15"/>
      <c r="J123" s="15"/>
      <c r="K123" s="15"/>
      <c r="L123" s="329"/>
    </row>
    <row r="124" spans="1:12" ht="16.5" customHeight="1">
      <c r="A124" s="328"/>
      <c r="B124" s="15"/>
      <c r="C124" s="15"/>
      <c r="D124" s="15"/>
      <c r="E124" s="15"/>
      <c r="F124" s="15"/>
      <c r="G124" s="15"/>
      <c r="H124" s="15"/>
      <c r="I124" s="15"/>
      <c r="J124" s="15"/>
      <c r="K124" s="15"/>
      <c r="L124" s="329"/>
    </row>
    <row r="125" spans="1:12" ht="16.5" customHeight="1">
      <c r="A125" s="328"/>
      <c r="B125" s="15" t="s">
        <v>546</v>
      </c>
      <c r="C125" s="15"/>
      <c r="D125" s="15"/>
      <c r="E125" s="15"/>
      <c r="F125" s="15"/>
      <c r="G125" s="15"/>
      <c r="H125" s="15"/>
      <c r="I125" s="15"/>
      <c r="J125" s="15"/>
      <c r="K125" s="15"/>
      <c r="L125" s="329"/>
    </row>
    <row r="126" spans="1:12" ht="16.5" customHeight="1">
      <c r="A126" s="328"/>
      <c r="B126" s="15" t="s">
        <v>547</v>
      </c>
      <c r="C126" s="15"/>
      <c r="D126" s="15"/>
      <c r="E126" s="390"/>
      <c r="F126" s="422"/>
      <c r="G126" s="422"/>
      <c r="H126" s="422"/>
      <c r="I126" s="422"/>
      <c r="J126" s="422"/>
      <c r="K126" s="391"/>
      <c r="L126" s="329"/>
    </row>
    <row r="127" spans="1:12" ht="16.5" customHeight="1">
      <c r="A127" s="328"/>
      <c r="B127" s="15"/>
      <c r="C127" s="15"/>
      <c r="D127" s="15"/>
      <c r="E127" s="15"/>
      <c r="F127" s="15"/>
      <c r="G127" s="15"/>
      <c r="H127" s="15"/>
      <c r="I127" s="15"/>
      <c r="J127" s="15"/>
      <c r="K127" s="15"/>
      <c r="L127" s="329"/>
    </row>
    <row r="128" spans="1:12" ht="16.5" customHeight="1">
      <c r="A128" s="328"/>
      <c r="B128" s="15"/>
      <c r="C128" s="15"/>
      <c r="D128" s="15"/>
      <c r="E128" s="15"/>
      <c r="F128" s="15"/>
      <c r="G128" s="15"/>
      <c r="H128" s="15"/>
      <c r="I128" s="15"/>
      <c r="J128" s="15"/>
      <c r="K128" s="15"/>
      <c r="L128" s="329"/>
    </row>
    <row r="129" spans="1:12" ht="16.5" customHeight="1">
      <c r="A129" s="328"/>
      <c r="B129" s="15"/>
      <c r="C129" s="15"/>
      <c r="D129" s="15"/>
      <c r="E129" s="15"/>
      <c r="F129" s="15"/>
      <c r="G129" s="15"/>
      <c r="H129" s="15"/>
      <c r="I129" s="15"/>
      <c r="J129" s="15"/>
      <c r="K129" s="15"/>
      <c r="L129" s="329"/>
    </row>
    <row r="130" spans="1:12" ht="16.5" customHeight="1">
      <c r="A130" s="328"/>
      <c r="B130" s="15" t="s">
        <v>548</v>
      </c>
      <c r="C130" s="15"/>
      <c r="D130" s="15"/>
      <c r="E130" s="15" t="s">
        <v>42</v>
      </c>
      <c r="F130" s="390"/>
      <c r="G130" s="391"/>
      <c r="H130" s="335" t="s">
        <v>41</v>
      </c>
      <c r="I130" s="390"/>
      <c r="J130" s="422"/>
      <c r="K130" s="391"/>
      <c r="L130" s="329"/>
    </row>
    <row r="131" spans="1:12" ht="16.5" customHeight="1">
      <c r="A131" s="328"/>
      <c r="B131" s="15"/>
      <c r="C131" s="15"/>
      <c r="D131" s="15"/>
      <c r="E131" s="15"/>
      <c r="F131" s="15"/>
      <c r="G131" s="15"/>
      <c r="H131" s="15"/>
      <c r="I131" s="15"/>
      <c r="J131" s="15"/>
      <c r="K131" s="15"/>
      <c r="L131" s="329"/>
    </row>
    <row r="132" spans="1:12" ht="16.5" customHeight="1">
      <c r="A132" s="328"/>
      <c r="B132" s="15"/>
      <c r="C132" s="15"/>
      <c r="D132" s="15"/>
      <c r="E132" s="15"/>
      <c r="F132" s="15"/>
      <c r="G132" s="15"/>
      <c r="H132" s="15"/>
      <c r="I132" s="15"/>
      <c r="J132" s="15"/>
      <c r="K132" s="15"/>
      <c r="L132" s="329"/>
    </row>
    <row r="133" spans="1:12" ht="16.5" customHeight="1">
      <c r="A133" s="331"/>
      <c r="B133" s="330"/>
      <c r="C133" s="330"/>
      <c r="D133" s="330"/>
      <c r="E133" s="330"/>
      <c r="F133" s="330"/>
      <c r="G133" s="330"/>
      <c r="H133" s="330"/>
      <c r="I133" s="330"/>
      <c r="J133" s="330"/>
      <c r="K133" s="330"/>
      <c r="L133" s="332"/>
    </row>
    <row r="134" spans="1:12">
      <c r="A134" s="15"/>
      <c r="B134" s="15"/>
      <c r="C134" s="15"/>
      <c r="D134" s="15"/>
      <c r="E134" s="15"/>
      <c r="F134" s="15"/>
      <c r="G134" s="15"/>
      <c r="H134" s="15"/>
      <c r="I134" s="15"/>
      <c r="J134" s="15"/>
      <c r="K134" s="15"/>
      <c r="L134" s="15"/>
    </row>
    <row r="135" spans="1:12" ht="16.5" customHeight="1">
      <c r="A135" s="326"/>
      <c r="B135" s="324"/>
      <c r="C135" s="324"/>
      <c r="D135" s="324"/>
      <c r="E135" s="324"/>
      <c r="F135" s="324"/>
      <c r="G135" s="324"/>
      <c r="H135" s="324"/>
      <c r="I135" s="324"/>
      <c r="J135" s="324"/>
      <c r="K135" s="324"/>
      <c r="L135" s="327"/>
    </row>
    <row r="136" spans="1:12" ht="16.5" customHeight="1">
      <c r="A136" s="328"/>
      <c r="B136" s="15"/>
      <c r="C136" s="15"/>
      <c r="D136" s="15"/>
      <c r="E136" s="15"/>
      <c r="F136" s="15"/>
      <c r="G136" s="15"/>
      <c r="H136" s="15"/>
      <c r="I136" s="15"/>
      <c r="J136" s="15"/>
      <c r="K136" s="15"/>
      <c r="L136" s="329"/>
    </row>
    <row r="137" spans="1:12" ht="16.5" customHeight="1">
      <c r="A137" s="328"/>
      <c r="B137" s="15" t="s">
        <v>549</v>
      </c>
      <c r="C137" s="15"/>
      <c r="D137" s="15"/>
      <c r="E137" s="15"/>
      <c r="F137" s="15"/>
      <c r="G137" s="15"/>
      <c r="H137" s="15"/>
      <c r="I137" s="15"/>
      <c r="J137" s="15"/>
      <c r="K137" s="15"/>
      <c r="L137" s="329"/>
    </row>
    <row r="138" spans="1:12" ht="16.5" customHeight="1">
      <c r="A138" s="328"/>
      <c r="B138" s="15" t="s">
        <v>550</v>
      </c>
      <c r="C138" s="15"/>
      <c r="D138" s="15"/>
      <c r="E138" s="15"/>
      <c r="F138" s="15"/>
      <c r="G138" s="15"/>
      <c r="H138" s="15"/>
      <c r="I138" s="15"/>
      <c r="J138" s="15"/>
      <c r="K138" s="15"/>
      <c r="L138" s="329"/>
    </row>
    <row r="139" spans="1:12" ht="16.5" customHeight="1">
      <c r="A139" s="328"/>
      <c r="B139" s="15"/>
      <c r="C139" s="15"/>
      <c r="D139" s="15"/>
      <c r="E139" s="15"/>
      <c r="F139" s="15"/>
      <c r="G139" s="15"/>
      <c r="H139" s="15"/>
      <c r="I139" s="15"/>
      <c r="J139" s="15"/>
      <c r="K139" s="15"/>
      <c r="L139" s="329"/>
    </row>
    <row r="140" spans="1:12" ht="16.5" customHeight="1">
      <c r="A140" s="328"/>
      <c r="B140" s="15" t="s">
        <v>43</v>
      </c>
      <c r="C140" s="15"/>
      <c r="D140" s="15"/>
      <c r="E140" s="312" t="s">
        <v>44</v>
      </c>
      <c r="F140" s="15"/>
      <c r="H140" s="15" t="s">
        <v>551</v>
      </c>
      <c r="I140" s="15"/>
      <c r="J140" s="15"/>
      <c r="K140" s="15"/>
      <c r="L140" s="329"/>
    </row>
    <row r="141" spans="1:12" ht="16.5" customHeight="1">
      <c r="A141" s="328"/>
      <c r="B141" s="15"/>
      <c r="C141" s="15"/>
      <c r="D141" s="15"/>
      <c r="E141" s="312"/>
      <c r="F141" s="15"/>
      <c r="H141" s="15"/>
      <c r="I141" s="15"/>
      <c r="J141" s="15"/>
      <c r="K141" s="15"/>
      <c r="L141" s="329"/>
    </row>
    <row r="142" spans="1:12" ht="16.5" customHeight="1">
      <c r="A142" s="328"/>
      <c r="B142" s="15" t="s">
        <v>552</v>
      </c>
      <c r="C142" s="15"/>
      <c r="D142" s="15"/>
      <c r="E142" s="312" t="s">
        <v>553</v>
      </c>
      <c r="F142" s="15"/>
      <c r="H142" s="325" t="s">
        <v>554</v>
      </c>
      <c r="I142" s="325"/>
      <c r="J142" s="15"/>
      <c r="K142" s="15"/>
      <c r="L142" s="329"/>
    </row>
    <row r="143" spans="1:12" ht="16.5" customHeight="1">
      <c r="A143" s="328"/>
      <c r="B143" s="15"/>
      <c r="C143" s="15"/>
      <c r="D143" s="15"/>
      <c r="E143" s="15"/>
      <c r="F143" s="15"/>
      <c r="G143" s="15"/>
      <c r="H143" s="15"/>
      <c r="I143" s="15"/>
      <c r="J143" s="15"/>
      <c r="K143" s="15"/>
      <c r="L143" s="329"/>
    </row>
    <row r="144" spans="1:12" ht="16.5" customHeight="1">
      <c r="A144" s="328"/>
      <c r="B144" s="15"/>
      <c r="C144" s="15"/>
      <c r="D144" s="15"/>
      <c r="E144" s="15"/>
      <c r="F144" s="15"/>
      <c r="G144" s="15"/>
      <c r="H144" s="15"/>
      <c r="I144" s="15"/>
      <c r="J144" s="15"/>
      <c r="K144" s="15"/>
      <c r="L144" s="329"/>
    </row>
    <row r="145" spans="1:12" ht="16.5" customHeight="1">
      <c r="A145" s="328"/>
      <c r="B145" s="15"/>
      <c r="C145" s="15"/>
      <c r="D145" s="15"/>
      <c r="E145" s="15"/>
      <c r="F145" s="15"/>
      <c r="G145" s="15"/>
      <c r="H145" s="15"/>
      <c r="I145" s="15"/>
      <c r="J145" s="15"/>
      <c r="K145" s="15"/>
      <c r="L145" s="329"/>
    </row>
    <row r="146" spans="1:12" ht="16.5" customHeight="1">
      <c r="A146" s="328"/>
      <c r="B146" s="15"/>
      <c r="C146" s="15"/>
      <c r="D146" s="15"/>
      <c r="E146" s="15"/>
      <c r="F146" s="15"/>
      <c r="G146" s="15"/>
      <c r="H146" s="15"/>
      <c r="I146" s="15"/>
      <c r="J146" s="15"/>
      <c r="K146" s="15"/>
      <c r="L146" s="329"/>
    </row>
    <row r="147" spans="1:12" ht="16.5" customHeight="1">
      <c r="A147" s="328"/>
      <c r="B147" s="424" t="s">
        <v>45</v>
      </c>
      <c r="C147" s="424"/>
      <c r="D147" s="423"/>
      <c r="E147" s="423"/>
      <c r="F147" s="423"/>
      <c r="G147" s="423"/>
      <c r="H147" s="423"/>
      <c r="I147" s="423"/>
      <c r="J147" s="423"/>
      <c r="K147" s="15"/>
      <c r="L147" s="329"/>
    </row>
    <row r="148" spans="1:12" ht="16.5" customHeight="1">
      <c r="A148" s="328"/>
      <c r="B148" s="15"/>
      <c r="C148" s="15"/>
      <c r="D148" s="15"/>
      <c r="E148" s="15"/>
      <c r="F148" s="15"/>
      <c r="G148" s="15"/>
      <c r="H148" s="15"/>
      <c r="I148" s="15"/>
      <c r="J148" s="15"/>
      <c r="K148" s="15"/>
      <c r="L148" s="329"/>
    </row>
    <row r="149" spans="1:12" ht="16.5" customHeight="1">
      <c r="A149" s="328"/>
      <c r="B149" s="15"/>
      <c r="C149" s="15"/>
      <c r="D149" s="15"/>
      <c r="E149" s="15"/>
      <c r="F149" s="15"/>
      <c r="G149" s="15"/>
      <c r="H149" s="15"/>
      <c r="I149" s="15"/>
      <c r="J149" s="15"/>
      <c r="K149" s="15"/>
      <c r="L149" s="329"/>
    </row>
    <row r="150" spans="1:12" ht="16.5" customHeight="1">
      <c r="A150" s="328"/>
      <c r="B150" s="15" t="s">
        <v>46</v>
      </c>
      <c r="C150" s="15"/>
      <c r="D150" s="423"/>
      <c r="E150" s="423"/>
      <c r="F150" s="423"/>
      <c r="G150" s="423"/>
      <c r="H150" s="423"/>
      <c r="I150" s="423"/>
      <c r="J150" s="423"/>
      <c r="K150" s="15"/>
      <c r="L150" s="329"/>
    </row>
    <row r="151" spans="1:12" ht="16.5" customHeight="1">
      <c r="A151" s="328"/>
      <c r="B151" s="15"/>
      <c r="C151" s="15"/>
      <c r="D151" s="15"/>
      <c r="E151" s="15"/>
      <c r="F151" s="15"/>
      <c r="G151" s="15"/>
      <c r="H151" s="15"/>
      <c r="I151" s="15"/>
      <c r="J151" s="15"/>
      <c r="K151" s="15"/>
      <c r="L151" s="329"/>
    </row>
    <row r="152" spans="1:12" ht="16.5" customHeight="1">
      <c r="A152" s="328"/>
      <c r="B152" s="15"/>
      <c r="C152" s="15"/>
      <c r="D152" s="15"/>
      <c r="E152" s="15"/>
      <c r="F152" s="15"/>
      <c r="G152" s="15"/>
      <c r="H152" s="15"/>
      <c r="I152" s="15"/>
      <c r="J152" s="15"/>
      <c r="K152" s="15"/>
      <c r="L152" s="329"/>
    </row>
    <row r="153" spans="1:12" ht="16.5" customHeight="1">
      <c r="A153" s="328"/>
      <c r="B153" s="15"/>
      <c r="C153" s="15"/>
      <c r="D153" s="15"/>
      <c r="E153" s="15"/>
      <c r="F153" s="15"/>
      <c r="G153" s="15"/>
      <c r="H153" s="15"/>
      <c r="I153" s="15"/>
      <c r="J153" s="15"/>
      <c r="K153" s="15"/>
      <c r="L153" s="329"/>
    </row>
    <row r="154" spans="1:12" ht="16.5" customHeight="1">
      <c r="A154" s="331"/>
      <c r="B154" s="330"/>
      <c r="C154" s="330"/>
      <c r="D154" s="330"/>
      <c r="E154" s="330"/>
      <c r="F154" s="330"/>
      <c r="G154" s="330"/>
      <c r="H154" s="330"/>
      <c r="I154" s="330"/>
      <c r="J154" s="330"/>
      <c r="K154" s="330"/>
      <c r="L154" s="332"/>
    </row>
    <row r="155" spans="1:12" ht="16.5" customHeight="1">
      <c r="A155" s="326"/>
      <c r="B155" s="324"/>
      <c r="C155" s="324"/>
      <c r="D155" s="324"/>
      <c r="E155" s="324"/>
      <c r="F155" s="324"/>
      <c r="G155" s="324"/>
      <c r="H155" s="324"/>
      <c r="I155" s="324"/>
      <c r="J155" s="324"/>
      <c r="K155" s="324"/>
      <c r="L155" s="327"/>
    </row>
    <row r="156" spans="1:12" ht="16.5" customHeight="1">
      <c r="A156" s="328"/>
      <c r="B156" s="449" t="s">
        <v>47</v>
      </c>
      <c r="C156" s="449"/>
      <c r="D156" s="449"/>
      <c r="E156" s="449"/>
      <c r="F156" s="15"/>
      <c r="G156" s="15"/>
      <c r="H156" s="15"/>
      <c r="I156" s="15"/>
      <c r="J156" s="15"/>
      <c r="K156" s="15"/>
      <c r="L156" s="329"/>
    </row>
    <row r="157" spans="1:12" ht="16.5" customHeight="1">
      <c r="A157" s="328"/>
      <c r="B157" s="15"/>
      <c r="C157" s="15"/>
      <c r="D157" s="15"/>
      <c r="E157" s="15"/>
      <c r="F157" s="15"/>
      <c r="G157" s="15"/>
      <c r="H157" s="15"/>
      <c r="I157" s="15"/>
      <c r="J157" s="15"/>
      <c r="K157" s="15"/>
      <c r="L157" s="329"/>
    </row>
    <row r="158" spans="1:12" ht="16.5" customHeight="1">
      <c r="A158" s="328"/>
      <c r="B158" s="15" t="s">
        <v>913</v>
      </c>
      <c r="C158" s="15"/>
      <c r="D158" s="15"/>
      <c r="E158" s="15"/>
      <c r="F158" s="15"/>
      <c r="G158" s="15"/>
      <c r="H158" s="15"/>
      <c r="I158" s="15"/>
      <c r="J158" s="15"/>
      <c r="K158" s="15"/>
      <c r="L158" s="329"/>
    </row>
    <row r="159" spans="1:12" ht="16.5" customHeight="1">
      <c r="A159" s="328"/>
      <c r="B159" s="15" t="s">
        <v>914</v>
      </c>
      <c r="C159" s="15"/>
      <c r="D159" s="15"/>
      <c r="E159" s="15"/>
      <c r="F159" s="15"/>
      <c r="G159" s="15"/>
      <c r="H159" s="15"/>
      <c r="I159" s="15"/>
      <c r="J159" s="15"/>
      <c r="K159" s="15"/>
      <c r="L159" s="329"/>
    </row>
    <row r="160" spans="1:12" ht="16.5" customHeight="1">
      <c r="A160" s="328"/>
      <c r="B160" s="15"/>
      <c r="C160" s="15"/>
      <c r="D160" s="15"/>
      <c r="E160" s="15"/>
      <c r="F160" s="15"/>
      <c r="G160" s="15"/>
      <c r="H160" s="15"/>
      <c r="I160" s="15"/>
      <c r="J160" s="15"/>
      <c r="K160" s="15"/>
      <c r="L160" s="329"/>
    </row>
    <row r="161" spans="1:12" ht="16.5" customHeight="1">
      <c r="A161" s="328"/>
      <c r="B161" s="15" t="s">
        <v>34</v>
      </c>
      <c r="C161" s="15"/>
      <c r="D161" s="330"/>
      <c r="E161" s="330"/>
      <c r="F161" s="330"/>
      <c r="G161" s="330"/>
      <c r="H161" s="15" t="s">
        <v>48</v>
      </c>
      <c r="I161" s="15"/>
      <c r="J161" s="15"/>
      <c r="K161" s="15"/>
      <c r="L161" s="329"/>
    </row>
    <row r="162" spans="1:12" ht="16.5" customHeight="1">
      <c r="A162" s="328"/>
      <c r="B162" s="15"/>
      <c r="C162" s="15"/>
      <c r="D162" s="15"/>
      <c r="E162" s="15"/>
      <c r="F162" s="15"/>
      <c r="G162" s="15"/>
      <c r="H162" s="15"/>
      <c r="I162" s="15"/>
      <c r="J162" s="15"/>
      <c r="K162" s="15"/>
      <c r="L162" s="329"/>
    </row>
    <row r="163" spans="1:12" ht="16.5" customHeight="1">
      <c r="A163" s="328"/>
      <c r="B163" s="341" t="s">
        <v>911</v>
      </c>
      <c r="C163" s="15"/>
      <c r="D163" s="15"/>
      <c r="E163" s="15"/>
      <c r="F163" s="15"/>
      <c r="G163" s="15"/>
      <c r="H163" s="15"/>
      <c r="I163" s="15"/>
      <c r="J163" s="15"/>
      <c r="K163" s="15"/>
      <c r="L163" s="329"/>
    </row>
    <row r="164" spans="1:12" ht="16.5" customHeight="1">
      <c r="A164" s="328"/>
      <c r="B164" s="15"/>
      <c r="C164" s="15"/>
      <c r="D164" s="15"/>
      <c r="E164" s="15"/>
      <c r="F164" s="15"/>
      <c r="G164" s="15"/>
      <c r="H164" s="15"/>
      <c r="I164" s="15"/>
      <c r="J164" s="15"/>
      <c r="K164" s="15"/>
      <c r="L164" s="329"/>
    </row>
    <row r="165" spans="1:12" ht="16.5" customHeight="1">
      <c r="A165" s="328"/>
      <c r="B165" s="330"/>
      <c r="C165" s="330"/>
      <c r="D165" s="330"/>
      <c r="E165" s="330"/>
      <c r="F165" s="330"/>
      <c r="G165" s="330"/>
      <c r="H165" s="330"/>
      <c r="I165" s="330"/>
      <c r="J165" s="15"/>
      <c r="K165" s="15"/>
      <c r="L165" s="329"/>
    </row>
    <row r="166" spans="1:12" ht="16.5" customHeight="1">
      <c r="A166" s="328"/>
      <c r="B166" s="15"/>
      <c r="C166" s="15"/>
      <c r="D166" s="15"/>
      <c r="E166" s="15"/>
      <c r="F166" s="15"/>
      <c r="G166" s="15"/>
      <c r="H166" s="15"/>
      <c r="I166" s="15"/>
      <c r="J166" s="15"/>
      <c r="K166" s="15"/>
      <c r="L166" s="329"/>
    </row>
    <row r="167" spans="1:12" ht="16.5" customHeight="1">
      <c r="A167" s="328"/>
      <c r="B167" s="341" t="s">
        <v>912</v>
      </c>
      <c r="C167" s="15"/>
      <c r="D167" s="15"/>
      <c r="E167" s="15"/>
      <c r="F167" s="15"/>
      <c r="G167" s="15"/>
      <c r="H167" s="15"/>
      <c r="I167" s="15"/>
      <c r="J167" s="15"/>
      <c r="K167" s="15"/>
      <c r="L167" s="329"/>
    </row>
    <row r="168" spans="1:12" ht="16.5" customHeight="1">
      <c r="A168" s="328"/>
      <c r="B168" s="15" t="s">
        <v>555</v>
      </c>
      <c r="D168" s="15"/>
      <c r="E168" s="15"/>
      <c r="F168" s="15"/>
      <c r="G168" s="15"/>
      <c r="H168" s="15"/>
      <c r="I168" s="15"/>
      <c r="J168" s="15"/>
      <c r="K168" s="15"/>
      <c r="L168" s="329"/>
    </row>
    <row r="169" spans="1:12" ht="16.5" customHeight="1">
      <c r="A169" s="328"/>
      <c r="B169" s="15"/>
      <c r="D169" s="15"/>
      <c r="E169" s="15"/>
      <c r="F169" s="15"/>
      <c r="G169" s="15"/>
      <c r="H169" s="15"/>
      <c r="I169" s="15"/>
      <c r="J169" s="15"/>
      <c r="K169" s="15"/>
      <c r="L169" s="329"/>
    </row>
    <row r="170" spans="1:12" ht="16.5" customHeight="1">
      <c r="A170" s="328"/>
      <c r="B170" s="15" t="s">
        <v>50</v>
      </c>
      <c r="C170" s="15"/>
      <c r="D170" s="15"/>
      <c r="E170" s="15"/>
      <c r="F170" s="15"/>
      <c r="G170" s="15"/>
      <c r="H170" s="15"/>
      <c r="I170" s="15"/>
      <c r="J170" s="15"/>
      <c r="K170" s="15"/>
      <c r="L170" s="329"/>
    </row>
    <row r="171" spans="1:12" ht="16.5" customHeight="1">
      <c r="A171" s="328"/>
      <c r="B171" s="15"/>
      <c r="D171" s="15"/>
      <c r="E171" s="15"/>
      <c r="F171" s="15"/>
      <c r="G171" s="15"/>
      <c r="H171" s="15"/>
      <c r="I171" s="15"/>
      <c r="J171" s="15"/>
      <c r="K171" s="15"/>
      <c r="L171" s="329"/>
    </row>
    <row r="172" spans="1:12" ht="16.5" customHeight="1">
      <c r="A172" s="328"/>
      <c r="B172" s="15" t="s">
        <v>51</v>
      </c>
      <c r="C172" s="15"/>
      <c r="D172" s="15"/>
      <c r="E172" s="15"/>
      <c r="F172" s="15"/>
      <c r="G172" s="15"/>
      <c r="H172" s="15"/>
      <c r="I172" s="15"/>
      <c r="J172" s="15"/>
      <c r="K172" s="15"/>
      <c r="L172" s="329"/>
    </row>
    <row r="173" spans="1:12" ht="30" customHeight="1">
      <c r="A173" s="328"/>
      <c r="B173" s="15"/>
      <c r="C173" s="15"/>
      <c r="D173" s="15"/>
      <c r="E173" s="15"/>
      <c r="F173" s="15"/>
      <c r="G173" s="15"/>
      <c r="H173" s="15"/>
      <c r="I173" s="15"/>
      <c r="J173" s="15"/>
      <c r="K173" s="15"/>
      <c r="L173" s="329"/>
    </row>
    <row r="174" spans="1:12" ht="16.5" customHeight="1">
      <c r="A174" s="328"/>
      <c r="B174" s="15"/>
      <c r="C174" s="15"/>
      <c r="D174" s="15"/>
      <c r="E174" s="15"/>
      <c r="F174" s="15"/>
      <c r="G174" s="15"/>
      <c r="H174" s="15"/>
      <c r="I174" s="15"/>
      <c r="J174" s="15"/>
      <c r="K174" s="15"/>
      <c r="L174" s="329"/>
    </row>
    <row r="175" spans="1:12" ht="16.5" customHeight="1">
      <c r="A175" s="328"/>
      <c r="B175" s="15" t="s">
        <v>556</v>
      </c>
      <c r="C175" s="15"/>
      <c r="D175" s="15"/>
      <c r="E175" s="15"/>
      <c r="F175" s="15"/>
      <c r="G175" s="15"/>
      <c r="H175" s="15"/>
      <c r="I175" s="15"/>
      <c r="J175" s="15"/>
      <c r="K175" s="15"/>
      <c r="L175" s="329"/>
    </row>
    <row r="176" spans="1:12" ht="16.5" customHeight="1">
      <c r="A176" s="331"/>
      <c r="B176" s="330"/>
      <c r="C176" s="330"/>
      <c r="D176" s="330"/>
      <c r="E176" s="330"/>
      <c r="F176" s="330"/>
      <c r="G176" s="330"/>
      <c r="H176" s="330"/>
      <c r="I176" s="330"/>
      <c r="J176" s="330"/>
      <c r="K176" s="330"/>
      <c r="L176" s="332"/>
    </row>
    <row r="177" spans="1:12" ht="16.5" customHeight="1">
      <c r="A177" s="337"/>
      <c r="B177" s="15"/>
      <c r="C177" s="15"/>
      <c r="D177" s="15"/>
      <c r="E177" s="15"/>
      <c r="F177" s="15"/>
      <c r="G177" s="15"/>
      <c r="H177" s="15"/>
      <c r="I177" s="15"/>
      <c r="J177" s="15"/>
      <c r="K177" s="15"/>
      <c r="L177" s="337"/>
    </row>
    <row r="178" spans="1:12">
      <c r="A178" s="326"/>
      <c r="B178" s="324"/>
      <c r="C178" s="324"/>
      <c r="D178" s="324"/>
      <c r="E178" s="324"/>
      <c r="F178" s="324"/>
      <c r="G178" s="324"/>
      <c r="H178" s="324"/>
      <c r="I178" s="324"/>
      <c r="J178" s="324"/>
      <c r="K178" s="324"/>
      <c r="L178" s="327"/>
    </row>
    <row r="179" spans="1:12" ht="16.5" customHeight="1">
      <c r="A179" s="328"/>
      <c r="B179" s="333" t="s">
        <v>52</v>
      </c>
      <c r="C179" s="15"/>
      <c r="D179" s="15"/>
      <c r="E179" s="15"/>
      <c r="F179" s="15"/>
      <c r="G179" s="15"/>
      <c r="H179" s="15"/>
      <c r="I179" s="15"/>
      <c r="J179" s="15"/>
      <c r="K179" s="15"/>
      <c r="L179" s="329"/>
    </row>
    <row r="180" spans="1:12" ht="16.5" customHeight="1">
      <c r="A180" s="328"/>
      <c r="B180" s="15"/>
      <c r="C180" s="15"/>
      <c r="D180" s="15"/>
      <c r="E180" s="15"/>
      <c r="F180" s="15"/>
      <c r="G180" s="15"/>
      <c r="H180" s="15"/>
      <c r="I180" s="15"/>
      <c r="J180" s="15"/>
      <c r="K180" s="15"/>
      <c r="L180" s="329"/>
    </row>
    <row r="181" spans="1:12" ht="16.5" customHeight="1">
      <c r="A181" s="328"/>
      <c r="B181" s="424" t="s">
        <v>557</v>
      </c>
      <c r="C181" s="424"/>
      <c r="D181" s="424"/>
      <c r="E181" s="424"/>
      <c r="F181" s="424"/>
      <c r="G181" s="424"/>
      <c r="H181" s="424"/>
      <c r="I181" s="424"/>
      <c r="J181" s="424"/>
      <c r="K181" s="424"/>
      <c r="L181" s="329"/>
    </row>
    <row r="182" spans="1:12" ht="16.5" customHeight="1">
      <c r="A182" s="328"/>
      <c r="B182" s="424" t="s">
        <v>897</v>
      </c>
      <c r="C182" s="424"/>
      <c r="D182" s="424"/>
      <c r="E182" s="424"/>
      <c r="F182" s="424"/>
      <c r="G182" s="424"/>
      <c r="H182" s="424"/>
      <c r="I182" s="424"/>
      <c r="J182" s="424"/>
      <c r="K182" s="424"/>
      <c r="L182" s="329"/>
    </row>
    <row r="183" spans="1:12" ht="16.5" customHeight="1">
      <c r="A183" s="328"/>
      <c r="B183" s="424" t="s">
        <v>558</v>
      </c>
      <c r="C183" s="424"/>
      <c r="D183" s="424"/>
      <c r="E183" s="424"/>
      <c r="F183" s="424"/>
      <c r="G183" s="424"/>
      <c r="H183" s="424"/>
      <c r="I183" s="424"/>
      <c r="J183" s="424"/>
      <c r="K183" s="424"/>
      <c r="L183" s="329"/>
    </row>
    <row r="184" spans="1:12" ht="16.5" customHeight="1">
      <c r="A184" s="328"/>
      <c r="B184" s="15"/>
      <c r="C184" s="15"/>
      <c r="D184" s="15"/>
      <c r="E184" s="15"/>
      <c r="F184" s="15"/>
      <c r="G184" s="15"/>
      <c r="H184" s="15"/>
      <c r="I184" s="15"/>
      <c r="J184" s="15"/>
      <c r="K184" s="15"/>
      <c r="L184" s="329"/>
    </row>
    <row r="185" spans="1:12" ht="16.5" customHeight="1">
      <c r="A185" s="328"/>
      <c r="B185" s="15" t="s">
        <v>34</v>
      </c>
      <c r="C185" s="15"/>
      <c r="D185" s="330"/>
      <c r="E185" s="330"/>
      <c r="F185" s="330"/>
      <c r="G185" s="330"/>
      <c r="H185" s="424" t="s">
        <v>53</v>
      </c>
      <c r="I185" s="424"/>
      <c r="J185" s="424"/>
      <c r="K185" s="424"/>
      <c r="L185" s="329"/>
    </row>
    <row r="186" spans="1:12" ht="16.5" customHeight="1">
      <c r="A186" s="328"/>
      <c r="B186" s="15"/>
      <c r="C186" s="15"/>
      <c r="D186" s="15"/>
      <c r="E186" s="15"/>
      <c r="F186" s="15"/>
      <c r="G186" s="15"/>
      <c r="H186" s="15"/>
      <c r="I186" s="15"/>
      <c r="J186" s="15"/>
      <c r="K186" s="15"/>
      <c r="L186" s="329"/>
    </row>
    <row r="187" spans="1:12" ht="16.5" customHeight="1">
      <c r="A187" s="328"/>
      <c r="B187" s="335" t="s">
        <v>49</v>
      </c>
      <c r="C187" s="15" t="s">
        <v>559</v>
      </c>
      <c r="D187" s="15"/>
      <c r="E187" s="15"/>
      <c r="F187" s="15"/>
      <c r="G187" s="15"/>
      <c r="H187" s="15"/>
      <c r="I187" s="15"/>
      <c r="J187" s="15"/>
      <c r="K187" s="15"/>
      <c r="L187" s="329"/>
    </row>
    <row r="188" spans="1:12" ht="16.5" customHeight="1">
      <c r="A188" s="328"/>
      <c r="B188" s="335"/>
      <c r="C188" s="15"/>
      <c r="D188" s="15"/>
      <c r="E188" s="15"/>
      <c r="F188" s="15"/>
      <c r="G188" s="15"/>
      <c r="H188" s="15"/>
      <c r="I188" s="15"/>
      <c r="J188" s="15"/>
      <c r="K188" s="15"/>
      <c r="L188" s="329"/>
    </row>
    <row r="189" spans="1:12" ht="16.5" customHeight="1">
      <c r="A189" s="328"/>
      <c r="B189" s="335" t="s">
        <v>49</v>
      </c>
      <c r="C189" s="15" t="s">
        <v>560</v>
      </c>
      <c r="D189" s="15"/>
      <c r="E189" s="15"/>
      <c r="F189" s="15"/>
      <c r="G189" s="15"/>
      <c r="H189" s="15"/>
      <c r="I189" s="15"/>
      <c r="J189" s="15"/>
      <c r="K189" s="15"/>
      <c r="L189" s="329"/>
    </row>
    <row r="190" spans="1:12" ht="16.5" customHeight="1">
      <c r="A190" s="328"/>
      <c r="B190" s="335"/>
      <c r="C190" s="15" t="s">
        <v>54</v>
      </c>
      <c r="D190" s="15"/>
      <c r="E190" s="15"/>
      <c r="F190" s="15"/>
      <c r="G190" s="15"/>
      <c r="H190" s="15"/>
      <c r="I190" s="15"/>
      <c r="J190" s="15"/>
      <c r="K190" s="15"/>
      <c r="L190" s="329"/>
    </row>
    <row r="191" spans="1:12" ht="16.5" customHeight="1">
      <c r="A191" s="328"/>
      <c r="B191" s="15"/>
      <c r="C191" s="15"/>
      <c r="D191" s="15"/>
      <c r="E191" s="15"/>
      <c r="F191" s="15"/>
      <c r="G191" s="15"/>
      <c r="H191" s="15"/>
      <c r="I191" s="15"/>
      <c r="J191" s="15"/>
      <c r="K191" s="15"/>
      <c r="L191" s="329"/>
    </row>
    <row r="192" spans="1:12" ht="16.5" customHeight="1">
      <c r="A192" s="328"/>
      <c r="B192" s="15" t="s">
        <v>51</v>
      </c>
      <c r="C192" s="15"/>
      <c r="D192" s="15"/>
      <c r="E192" s="15"/>
      <c r="F192" s="15"/>
      <c r="G192" s="15"/>
      <c r="H192" s="15"/>
      <c r="I192" s="15"/>
      <c r="J192" s="15"/>
      <c r="K192" s="15"/>
      <c r="L192" s="329"/>
    </row>
    <row r="193" spans="1:12" ht="16.5" customHeight="1">
      <c r="A193" s="328"/>
      <c r="B193" s="15"/>
      <c r="C193" s="15"/>
      <c r="D193" s="15"/>
      <c r="E193" s="15"/>
      <c r="F193" s="15"/>
      <c r="G193" s="15"/>
      <c r="H193" s="15"/>
      <c r="I193" s="15"/>
      <c r="J193" s="15"/>
      <c r="K193" s="15"/>
      <c r="L193" s="329"/>
    </row>
    <row r="194" spans="1:12" ht="16.5" customHeight="1">
      <c r="A194" s="328"/>
      <c r="B194" s="326"/>
      <c r="C194" s="324"/>
      <c r="D194" s="324"/>
      <c r="E194" s="324"/>
      <c r="F194" s="324"/>
      <c r="G194" s="324"/>
      <c r="H194" s="324"/>
      <c r="I194" s="324"/>
      <c r="J194" s="327"/>
      <c r="K194" s="15"/>
      <c r="L194" s="329"/>
    </row>
    <row r="195" spans="1:12" ht="16.5" customHeight="1">
      <c r="A195" s="328"/>
      <c r="B195" s="331"/>
      <c r="C195" s="330"/>
      <c r="D195" s="330"/>
      <c r="E195" s="330"/>
      <c r="F195" s="330"/>
      <c r="G195" s="330"/>
      <c r="H195" s="330"/>
      <c r="I195" s="330"/>
      <c r="J195" s="332"/>
      <c r="K195" s="15"/>
      <c r="L195" s="329"/>
    </row>
    <row r="196" spans="1:12" ht="16.5" customHeight="1">
      <c r="A196" s="328"/>
      <c r="B196" s="326"/>
      <c r="C196" s="324"/>
      <c r="D196" s="324"/>
      <c r="E196" s="324"/>
      <c r="F196" s="324"/>
      <c r="G196" s="324"/>
      <c r="H196" s="324"/>
      <c r="I196" s="324"/>
      <c r="J196" s="327"/>
      <c r="K196" s="15"/>
      <c r="L196" s="329"/>
    </row>
    <row r="197" spans="1:12" ht="16.5" customHeight="1">
      <c r="A197" s="328"/>
      <c r="B197" s="331"/>
      <c r="C197" s="330"/>
      <c r="D197" s="330"/>
      <c r="E197" s="330"/>
      <c r="F197" s="330"/>
      <c r="G197" s="330"/>
      <c r="H197" s="330"/>
      <c r="I197" s="330"/>
      <c r="J197" s="332"/>
      <c r="K197" s="15"/>
      <c r="L197" s="329"/>
    </row>
    <row r="198" spans="1:12" ht="16.5" customHeight="1">
      <c r="A198" s="328"/>
      <c r="B198" s="326"/>
      <c r="C198" s="324"/>
      <c r="D198" s="324"/>
      <c r="E198" s="324"/>
      <c r="F198" s="324"/>
      <c r="G198" s="324"/>
      <c r="H198" s="324"/>
      <c r="I198" s="324"/>
      <c r="J198" s="327"/>
      <c r="K198" s="15"/>
      <c r="L198" s="329"/>
    </row>
    <row r="199" spans="1:12" ht="16.5" customHeight="1">
      <c r="A199" s="328"/>
      <c r="B199" s="331"/>
      <c r="C199" s="330"/>
      <c r="D199" s="330"/>
      <c r="E199" s="330"/>
      <c r="F199" s="330"/>
      <c r="G199" s="330"/>
      <c r="H199" s="330"/>
      <c r="I199" s="330"/>
      <c r="J199" s="332"/>
      <c r="K199" s="15"/>
      <c r="L199" s="329"/>
    </row>
    <row r="200" spans="1:12" ht="16.5" customHeight="1">
      <c r="A200" s="328"/>
      <c r="B200" s="324"/>
      <c r="C200" s="324"/>
      <c r="D200" s="324"/>
      <c r="E200" s="324"/>
      <c r="F200" s="324"/>
      <c r="G200" s="324"/>
      <c r="H200" s="324"/>
      <c r="I200" s="324"/>
      <c r="J200" s="324"/>
      <c r="K200" s="15"/>
      <c r="L200" s="329"/>
    </row>
    <row r="201" spans="1:12" ht="16.5" customHeight="1">
      <c r="A201" s="331"/>
      <c r="B201" s="330"/>
      <c r="C201" s="330"/>
      <c r="D201" s="330"/>
      <c r="E201" s="330"/>
      <c r="F201" s="330"/>
      <c r="G201" s="330"/>
      <c r="H201" s="330"/>
      <c r="I201" s="330"/>
      <c r="J201" s="330"/>
      <c r="K201" s="330"/>
      <c r="L201" s="332"/>
    </row>
    <row r="202" spans="1:12" ht="9.9499999999999993" customHeight="1">
      <c r="A202" s="15"/>
      <c r="B202" s="15"/>
      <c r="C202" s="15"/>
      <c r="D202" s="15"/>
      <c r="E202" s="15"/>
      <c r="F202" s="15"/>
      <c r="G202" s="15"/>
      <c r="H202" s="15"/>
      <c r="I202" s="15"/>
      <c r="J202" s="15"/>
      <c r="K202" s="15"/>
      <c r="L202" s="15"/>
    </row>
    <row r="203" spans="1:12">
      <c r="A203" s="443" t="s">
        <v>561</v>
      </c>
      <c r="B203" s="443"/>
      <c r="C203" s="443"/>
      <c r="D203" s="443"/>
      <c r="E203" s="443"/>
      <c r="F203" s="443"/>
      <c r="G203" s="443"/>
      <c r="H203" s="443"/>
      <c r="I203" s="443"/>
      <c r="J203" s="443"/>
      <c r="K203" s="443"/>
      <c r="L203" s="443"/>
    </row>
    <row r="204" spans="1:12">
      <c r="A204" s="306" t="s">
        <v>902</v>
      </c>
      <c r="B204" s="306"/>
      <c r="C204" s="306"/>
      <c r="D204" s="306"/>
      <c r="E204" s="306"/>
      <c r="F204" s="306"/>
      <c r="G204" s="306"/>
      <c r="H204" s="306"/>
      <c r="I204" s="306"/>
      <c r="J204" s="306"/>
      <c r="K204" s="306"/>
      <c r="L204" s="306"/>
    </row>
    <row r="205" spans="1:12">
      <c r="A205" s="444" t="s">
        <v>562</v>
      </c>
      <c r="B205" s="444"/>
      <c r="C205" s="444"/>
      <c r="D205" s="444"/>
      <c r="E205" s="444"/>
      <c r="F205" s="444"/>
      <c r="G205" s="444"/>
      <c r="H205" s="444"/>
      <c r="I205" s="444"/>
      <c r="J205" s="444"/>
      <c r="K205" s="444"/>
      <c r="L205" s="444"/>
    </row>
    <row r="206" spans="1:12" ht="9.9499999999999993" customHeight="1"/>
    <row r="207" spans="1:12" ht="34.5" customHeight="1">
      <c r="D207" s="445" t="s">
        <v>917</v>
      </c>
      <c r="E207" s="445"/>
      <c r="F207" s="445"/>
      <c r="G207" s="445"/>
      <c r="H207" s="445"/>
      <c r="I207" s="445"/>
    </row>
    <row r="209" spans="1:12">
      <c r="A209" s="413" t="s">
        <v>918</v>
      </c>
      <c r="B209" s="414"/>
      <c r="C209" s="414"/>
      <c r="D209" s="414"/>
      <c r="E209" s="414"/>
      <c r="F209" s="414"/>
      <c r="G209" s="414"/>
      <c r="H209" s="414"/>
      <c r="I209" s="414"/>
      <c r="J209" s="414"/>
      <c r="K209" s="414"/>
      <c r="L209" s="415"/>
    </row>
    <row r="210" spans="1:12" ht="11.25" customHeight="1">
      <c r="D210" s="67"/>
    </row>
    <row r="211" spans="1:12" ht="19.5" customHeight="1">
      <c r="A211" s="15" t="s">
        <v>563</v>
      </c>
      <c r="B211" s="15"/>
      <c r="C211" s="329"/>
      <c r="D211" s="446" t="e">
        <f>G226*G227</f>
        <v>#VALUE!</v>
      </c>
      <c r="E211" s="447"/>
      <c r="G211" s="325" t="s">
        <v>928</v>
      </c>
      <c r="I211" s="354"/>
      <c r="J211" s="448"/>
      <c r="K211" s="448"/>
      <c r="L211" s="448"/>
    </row>
    <row r="213" spans="1:12" ht="12" customHeight="1">
      <c r="A213" s="450" t="s">
        <v>56</v>
      </c>
      <c r="B213" s="450"/>
      <c r="C213" s="450"/>
      <c r="D213" s="450"/>
      <c r="E213" s="450" t="s">
        <v>57</v>
      </c>
      <c r="F213" s="450"/>
      <c r="G213" s="450" t="s">
        <v>58</v>
      </c>
      <c r="H213" s="450"/>
      <c r="I213" s="450" t="s">
        <v>59</v>
      </c>
      <c r="J213" s="450"/>
      <c r="K213" s="450"/>
      <c r="L213" s="450"/>
    </row>
    <row r="214" spans="1:12" ht="16.5" customHeight="1">
      <c r="A214" s="450"/>
      <c r="B214" s="450"/>
      <c r="C214" s="450"/>
      <c r="D214" s="450"/>
      <c r="E214" s="450"/>
      <c r="F214" s="450"/>
      <c r="G214" s="450"/>
      <c r="H214" s="450"/>
      <c r="I214" s="450"/>
      <c r="J214" s="450"/>
      <c r="K214" s="450"/>
      <c r="L214" s="450"/>
    </row>
    <row r="215" spans="1:12" s="60" customFormat="1" ht="19.5" customHeight="1">
      <c r="A215" s="451"/>
      <c r="B215" s="451"/>
      <c r="C215" s="451"/>
      <c r="D215" s="451"/>
      <c r="E215" s="355"/>
      <c r="F215" s="356"/>
      <c r="G215" s="357"/>
      <c r="H215" s="356"/>
      <c r="I215" s="452"/>
      <c r="J215" s="453"/>
      <c r="K215" s="454"/>
      <c r="L215" s="455"/>
    </row>
    <row r="216" spans="1:12" s="60" customFormat="1" ht="19.5" customHeight="1">
      <c r="A216" s="451"/>
      <c r="B216" s="451"/>
      <c r="C216" s="451"/>
      <c r="D216" s="451"/>
      <c r="E216" s="355"/>
      <c r="F216" s="356"/>
      <c r="G216" s="357"/>
      <c r="H216" s="356"/>
      <c r="I216" s="452"/>
      <c r="J216" s="453"/>
      <c r="K216" s="454"/>
      <c r="L216" s="455"/>
    </row>
    <row r="217" spans="1:12" s="60" customFormat="1" ht="19.5" customHeight="1">
      <c r="A217" s="451"/>
      <c r="B217" s="451"/>
      <c r="C217" s="451"/>
      <c r="D217" s="451"/>
      <c r="E217" s="355"/>
      <c r="F217" s="356"/>
      <c r="G217" s="357"/>
      <c r="H217" s="356"/>
      <c r="I217" s="452"/>
      <c r="J217" s="453"/>
      <c r="K217" s="454"/>
      <c r="L217" s="455"/>
    </row>
    <row r="218" spans="1:12" s="60" customFormat="1" ht="19.5" customHeight="1">
      <c r="A218" s="451"/>
      <c r="B218" s="451"/>
      <c r="C218" s="451"/>
      <c r="D218" s="451"/>
      <c r="E218" s="355"/>
      <c r="F218" s="356"/>
      <c r="G218" s="357"/>
      <c r="H218" s="356"/>
      <c r="I218" s="452"/>
      <c r="J218" s="453"/>
      <c r="K218" s="454"/>
      <c r="L218" s="455"/>
    </row>
    <row r="219" spans="1:12" s="60" customFormat="1" ht="19.5" customHeight="1">
      <c r="A219" s="451"/>
      <c r="B219" s="451"/>
      <c r="C219" s="451"/>
      <c r="D219" s="451"/>
      <c r="E219" s="355"/>
      <c r="F219" s="356"/>
      <c r="G219" s="357"/>
      <c r="H219" s="356"/>
      <c r="I219" s="452"/>
      <c r="J219" s="453"/>
      <c r="K219" s="454"/>
      <c r="L219" s="455"/>
    </row>
    <row r="220" spans="1:12" s="60" customFormat="1" ht="19.5" customHeight="1">
      <c r="A220" s="451"/>
      <c r="B220" s="451"/>
      <c r="C220" s="451"/>
      <c r="D220" s="451"/>
      <c r="E220" s="355"/>
      <c r="F220" s="356"/>
      <c r="G220" s="357"/>
      <c r="H220" s="356"/>
      <c r="I220" s="452"/>
      <c r="J220" s="453"/>
      <c r="K220" s="454"/>
      <c r="L220" s="455"/>
    </row>
    <row r="221" spans="1:12" s="60" customFormat="1" ht="19.5" customHeight="1">
      <c r="A221" s="451"/>
      <c r="B221" s="451"/>
      <c r="C221" s="451"/>
      <c r="D221" s="451"/>
      <c r="E221" s="355"/>
      <c r="F221" s="356"/>
      <c r="G221" s="357"/>
      <c r="H221" s="356"/>
      <c r="I221" s="452"/>
      <c r="J221" s="453"/>
      <c r="K221" s="454"/>
      <c r="L221" s="455"/>
    </row>
    <row r="222" spans="1:12" s="60" customFormat="1" ht="19.5" customHeight="1" thickBot="1">
      <c r="A222" s="456"/>
      <c r="B222" s="456"/>
      <c r="C222" s="456"/>
      <c r="D222" s="456"/>
      <c r="E222" s="361"/>
      <c r="F222" s="362"/>
      <c r="G222" s="363"/>
      <c r="H222" s="362"/>
      <c r="I222" s="457"/>
      <c r="J222" s="458"/>
      <c r="K222" s="458"/>
      <c r="L222" s="459"/>
    </row>
    <row r="223" spans="1:12" s="60" customFormat="1" ht="19.5" customHeight="1">
      <c r="A223" s="456"/>
      <c r="B223" s="456"/>
      <c r="C223" s="456"/>
      <c r="D223" s="416"/>
      <c r="E223" s="467" t="s">
        <v>438</v>
      </c>
      <c r="F223" s="468"/>
      <c r="G223" s="364">
        <f>SUM(G215:G222)</f>
        <v>0</v>
      </c>
      <c r="H223" s="365" t="s">
        <v>198</v>
      </c>
      <c r="I223" s="462"/>
      <c r="J223" s="463"/>
      <c r="K223" s="463"/>
      <c r="L223" s="464"/>
    </row>
    <row r="224" spans="1:12" s="60" customFormat="1" ht="19.5" customHeight="1">
      <c r="A224" s="456"/>
      <c r="B224" s="456"/>
      <c r="C224" s="456"/>
      <c r="D224" s="416"/>
      <c r="E224" s="460" t="s">
        <v>434</v>
      </c>
      <c r="F224" s="461"/>
      <c r="G224" s="358">
        <v>0</v>
      </c>
      <c r="H224" s="366" t="s">
        <v>198</v>
      </c>
      <c r="I224" s="462"/>
      <c r="J224" s="463"/>
      <c r="K224" s="463"/>
      <c r="L224" s="464"/>
    </row>
    <row r="225" spans="1:12" s="60" customFormat="1" ht="19.5" customHeight="1">
      <c r="A225" s="456"/>
      <c r="B225" s="456"/>
      <c r="C225" s="456"/>
      <c r="D225" s="416"/>
      <c r="E225" s="460"/>
      <c r="F225" s="461"/>
      <c r="G225" s="359"/>
      <c r="H225" s="366"/>
      <c r="I225" s="462"/>
      <c r="J225" s="463"/>
      <c r="K225" s="463"/>
      <c r="L225" s="464"/>
    </row>
    <row r="226" spans="1:12" s="60" customFormat="1" ht="19.5" customHeight="1">
      <c r="A226" s="456"/>
      <c r="B226" s="456"/>
      <c r="C226" s="456"/>
      <c r="D226" s="416"/>
      <c r="E226" s="465" t="s">
        <v>435</v>
      </c>
      <c r="F226" s="466"/>
      <c r="G226" s="358">
        <f>G223</f>
        <v>0</v>
      </c>
      <c r="H226" s="366" t="s">
        <v>198</v>
      </c>
      <c r="I226" s="462"/>
      <c r="J226" s="463"/>
      <c r="K226" s="463"/>
      <c r="L226" s="464"/>
    </row>
    <row r="227" spans="1:12" s="60" customFormat="1" ht="19.5" customHeight="1">
      <c r="A227" s="456"/>
      <c r="B227" s="456"/>
      <c r="C227" s="456"/>
      <c r="D227" s="416"/>
      <c r="E227" s="465" t="s">
        <v>436</v>
      </c>
      <c r="F227" s="466"/>
      <c r="G227" s="357" t="str">
        <f>DATOS!D13</f>
        <v>-</v>
      </c>
      <c r="H227" s="366" t="s">
        <v>437</v>
      </c>
      <c r="I227" s="462"/>
      <c r="J227" s="463"/>
      <c r="K227" s="463"/>
      <c r="L227" s="464"/>
    </row>
    <row r="228" spans="1:12" s="60" customFormat="1" ht="19.5" customHeight="1" thickBot="1">
      <c r="A228" s="456"/>
      <c r="B228" s="456"/>
      <c r="C228" s="456"/>
      <c r="D228" s="416"/>
      <c r="E228" s="469" t="s">
        <v>496</v>
      </c>
      <c r="F228" s="470"/>
      <c r="G228" s="360">
        <v>0</v>
      </c>
      <c r="H228" s="367" t="s">
        <v>198</v>
      </c>
      <c r="I228" s="417"/>
      <c r="J228" s="471"/>
      <c r="K228" s="471"/>
      <c r="L228" s="472"/>
    </row>
    <row r="229" spans="1:12" ht="15" customHeight="1">
      <c r="H229" s="427"/>
      <c r="I229" s="427"/>
      <c r="J229" s="427"/>
    </row>
    <row r="230" spans="1:12" ht="16.5" customHeight="1">
      <c r="A230" s="413" t="s">
        <v>864</v>
      </c>
      <c r="B230" s="414"/>
      <c r="C230" s="414"/>
      <c r="D230" s="414"/>
      <c r="E230" s="414"/>
      <c r="F230" s="414"/>
      <c r="G230" s="414"/>
      <c r="H230" s="414"/>
      <c r="I230" s="414"/>
      <c r="J230" s="414"/>
      <c r="K230" s="414"/>
      <c r="L230" s="415"/>
    </row>
    <row r="231" spans="1:12" ht="19.5" customHeight="1">
      <c r="A231" s="15"/>
      <c r="B231" s="15"/>
      <c r="C231" s="15"/>
      <c r="D231" s="15"/>
      <c r="E231" s="15"/>
      <c r="F231" s="15"/>
      <c r="G231" s="15" t="s">
        <v>60</v>
      </c>
      <c r="H231" s="15"/>
      <c r="I231" s="15"/>
      <c r="J231" s="15"/>
      <c r="K231" s="15"/>
      <c r="L231" s="15"/>
    </row>
    <row r="232" spans="1:12" ht="19.5" customHeight="1">
      <c r="A232" s="15"/>
      <c r="B232" s="15" t="s">
        <v>564</v>
      </c>
      <c r="C232" s="15"/>
      <c r="D232" s="15"/>
      <c r="E232" s="15" t="s">
        <v>565</v>
      </c>
      <c r="F232" s="15"/>
      <c r="G232" s="15"/>
      <c r="H232" s="15"/>
      <c r="I232" s="15" t="s">
        <v>566</v>
      </c>
      <c r="J232" s="15"/>
      <c r="K232" s="15"/>
      <c r="L232" s="15"/>
    </row>
    <row r="233" spans="1:12" ht="19.5" customHeight="1">
      <c r="A233" s="15"/>
      <c r="B233" s="15"/>
      <c r="C233" s="15"/>
      <c r="D233" s="15"/>
      <c r="E233" s="15"/>
      <c r="F233" s="15"/>
      <c r="G233" s="15" t="s">
        <v>61</v>
      </c>
      <c r="H233" s="15"/>
      <c r="I233" s="15"/>
      <c r="J233" s="15"/>
      <c r="K233" s="15"/>
      <c r="L233" s="15"/>
    </row>
    <row r="234" spans="1:12" ht="14.25" customHeight="1">
      <c r="A234" s="15"/>
      <c r="B234" s="15"/>
      <c r="C234" s="15"/>
      <c r="D234" s="15"/>
      <c r="E234" s="15"/>
      <c r="F234" s="15"/>
      <c r="G234" s="15"/>
      <c r="H234" s="15"/>
      <c r="I234" s="15"/>
      <c r="J234" s="15"/>
      <c r="K234" s="15"/>
      <c r="L234" s="15"/>
    </row>
    <row r="235" spans="1:12" ht="13.5" customHeight="1">
      <c r="A235" s="15"/>
      <c r="B235" s="15"/>
      <c r="C235" s="15"/>
      <c r="D235" s="15"/>
      <c r="E235" s="15"/>
      <c r="F235" s="15"/>
      <c r="G235" s="15"/>
      <c r="H235" s="15"/>
      <c r="I235" s="15"/>
      <c r="J235" s="15"/>
      <c r="K235" s="15"/>
      <c r="L235" s="15"/>
    </row>
    <row r="236" spans="1:12" ht="19.5" customHeight="1">
      <c r="A236" s="15"/>
      <c r="B236" s="15" t="s">
        <v>567</v>
      </c>
      <c r="C236" s="15"/>
      <c r="D236" s="15"/>
      <c r="E236" s="15" t="s">
        <v>568</v>
      </c>
      <c r="F236" s="15"/>
      <c r="G236" s="15"/>
      <c r="H236" s="15"/>
      <c r="I236" s="15" t="s">
        <v>569</v>
      </c>
      <c r="J236" s="15"/>
      <c r="K236" s="15"/>
      <c r="L236" s="15"/>
    </row>
    <row r="237" spans="1:12">
      <c r="A237" s="15"/>
      <c r="B237" s="15"/>
      <c r="C237" s="15"/>
      <c r="D237" s="15"/>
      <c r="E237" s="15"/>
      <c r="F237" s="15"/>
      <c r="G237" s="15"/>
      <c r="H237" s="15"/>
      <c r="I237" s="15"/>
      <c r="J237" s="15"/>
      <c r="K237" s="15"/>
      <c r="L237" s="15"/>
    </row>
    <row r="238" spans="1:12" ht="18" customHeight="1">
      <c r="A238" s="140" t="s">
        <v>865</v>
      </c>
      <c r="B238" s="140"/>
    </row>
    <row r="239" spans="1:12" ht="18" customHeight="1">
      <c r="A239" s="473" t="s">
        <v>927</v>
      </c>
      <c r="B239" s="473"/>
      <c r="C239" s="473"/>
      <c r="D239" s="473"/>
      <c r="E239" s="473"/>
      <c r="F239" s="473"/>
      <c r="G239" s="473"/>
      <c r="H239" s="473"/>
      <c r="I239" s="473"/>
      <c r="J239" s="473"/>
      <c r="K239" s="473"/>
      <c r="L239" s="473"/>
    </row>
    <row r="240" spans="1:12" ht="18" customHeight="1">
      <c r="A240" s="473"/>
      <c r="B240" s="473"/>
      <c r="C240" s="473"/>
      <c r="D240" s="473"/>
      <c r="E240" s="473"/>
      <c r="F240" s="473"/>
      <c r="G240" s="473"/>
      <c r="H240" s="473"/>
      <c r="I240" s="473"/>
      <c r="J240" s="473"/>
      <c r="K240" s="473"/>
      <c r="L240" s="473"/>
    </row>
    <row r="241" spans="1:12" ht="18" customHeight="1">
      <c r="A241" s="473"/>
      <c r="B241" s="473"/>
      <c r="C241" s="473"/>
      <c r="D241" s="473"/>
      <c r="E241" s="473"/>
      <c r="F241" s="473"/>
      <c r="G241" s="473"/>
      <c r="H241" s="473"/>
      <c r="I241" s="473"/>
      <c r="J241" s="473"/>
      <c r="K241" s="473"/>
      <c r="L241" s="473"/>
    </row>
    <row r="242" spans="1:12" ht="18" customHeight="1">
      <c r="A242" s="473"/>
      <c r="B242" s="473"/>
      <c r="C242" s="473"/>
      <c r="D242" s="473"/>
      <c r="E242" s="473"/>
      <c r="F242" s="473"/>
      <c r="G242" s="473"/>
      <c r="H242" s="473"/>
      <c r="I242" s="473"/>
      <c r="J242" s="473"/>
      <c r="K242" s="473"/>
      <c r="L242" s="473"/>
    </row>
    <row r="243" spans="1:12" ht="18" customHeight="1">
      <c r="A243" s="473"/>
      <c r="B243" s="473"/>
      <c r="C243" s="473"/>
      <c r="D243" s="473"/>
      <c r="E243" s="473"/>
      <c r="F243" s="473"/>
      <c r="G243" s="473"/>
      <c r="H243" s="473"/>
      <c r="I243" s="473"/>
      <c r="J243" s="473"/>
      <c r="K243" s="473"/>
      <c r="L243" s="473"/>
    </row>
    <row r="244" spans="1:12" ht="18" customHeight="1">
      <c r="A244" s="473"/>
      <c r="B244" s="473"/>
      <c r="C244" s="473"/>
      <c r="D244" s="473"/>
      <c r="E244" s="473"/>
      <c r="F244" s="473"/>
      <c r="G244" s="473"/>
      <c r="H244" s="473"/>
      <c r="I244" s="473"/>
      <c r="J244" s="473"/>
      <c r="K244" s="473"/>
      <c r="L244" s="473"/>
    </row>
    <row r="245" spans="1:12" ht="18" customHeight="1">
      <c r="A245" s="473"/>
      <c r="B245" s="473"/>
      <c r="C245" s="473"/>
      <c r="D245" s="473"/>
      <c r="E245" s="473"/>
      <c r="F245" s="473"/>
      <c r="G245" s="473"/>
      <c r="H245" s="473"/>
      <c r="I245" s="473"/>
      <c r="J245" s="473"/>
      <c r="K245" s="473"/>
      <c r="L245" s="473"/>
    </row>
    <row r="246" spans="1:12" ht="18" customHeight="1">
      <c r="A246" s="473"/>
      <c r="B246" s="473"/>
      <c r="C246" s="473"/>
      <c r="D246" s="473"/>
      <c r="E246" s="473"/>
      <c r="F246" s="473"/>
      <c r="G246" s="473"/>
      <c r="H246" s="473"/>
      <c r="I246" s="473"/>
      <c r="J246" s="473"/>
      <c r="K246" s="473"/>
      <c r="L246" s="473"/>
    </row>
    <row r="247" spans="1:12" ht="18" customHeight="1">
      <c r="A247" s="473"/>
      <c r="B247" s="473"/>
      <c r="C247" s="473"/>
      <c r="D247" s="473"/>
      <c r="E247" s="473"/>
      <c r="F247" s="473"/>
      <c r="G247" s="473"/>
      <c r="H247" s="473"/>
      <c r="I247" s="473"/>
      <c r="J247" s="473"/>
      <c r="K247" s="473"/>
      <c r="L247" s="473"/>
    </row>
    <row r="248" spans="1:12" ht="18" customHeight="1">
      <c r="A248" s="474"/>
      <c r="B248" s="474"/>
      <c r="C248" s="474"/>
      <c r="D248" s="474"/>
      <c r="E248" s="474"/>
      <c r="F248" s="474"/>
      <c r="G248" s="474"/>
      <c r="H248" s="474"/>
      <c r="I248" s="474"/>
      <c r="J248" s="474"/>
      <c r="K248" s="474"/>
      <c r="L248" s="474"/>
    </row>
    <row r="249" spans="1:12" ht="10.5" customHeight="1">
      <c r="A249" s="474"/>
      <c r="B249" s="474"/>
      <c r="C249" s="474"/>
      <c r="D249" s="474"/>
      <c r="E249" s="474"/>
      <c r="F249" s="474"/>
      <c r="G249" s="474"/>
      <c r="H249" s="474"/>
      <c r="I249" s="474"/>
      <c r="J249" s="474"/>
      <c r="K249" s="474"/>
      <c r="L249" s="474"/>
    </row>
    <row r="250" spans="1:12" ht="18" customHeight="1">
      <c r="A250" s="475" t="s">
        <v>69</v>
      </c>
      <c r="B250" s="475"/>
      <c r="C250" s="475"/>
      <c r="D250" s="475"/>
      <c r="E250" s="475"/>
      <c r="F250" s="475"/>
      <c r="G250" s="475"/>
      <c r="H250" s="475"/>
      <c r="I250" s="475"/>
      <c r="J250" s="475"/>
      <c r="K250" s="475"/>
      <c r="L250" s="475"/>
    </row>
    <row r="251" spans="1:12" s="66" customFormat="1" ht="15" customHeight="1">
      <c r="A251" s="397" t="s">
        <v>70</v>
      </c>
      <c r="B251" s="397"/>
      <c r="C251" s="397"/>
      <c r="D251" s="397"/>
      <c r="E251" s="397"/>
      <c r="F251" s="397"/>
      <c r="G251" s="397"/>
      <c r="H251" s="397"/>
      <c r="I251" s="392"/>
      <c r="J251" s="476" t="s">
        <v>62</v>
      </c>
      <c r="K251" s="477"/>
      <c r="L251" s="477"/>
    </row>
    <row r="252" spans="1:12" s="66" customFormat="1" ht="15.75" customHeight="1">
      <c r="A252" s="397" t="s">
        <v>71</v>
      </c>
      <c r="B252" s="397"/>
      <c r="C252" s="397"/>
      <c r="D252" s="397"/>
      <c r="E252" s="397"/>
      <c r="F252" s="397"/>
      <c r="G252" s="397"/>
      <c r="H252" s="397"/>
      <c r="I252" s="392"/>
      <c r="J252" s="476" t="s">
        <v>63</v>
      </c>
      <c r="K252" s="477"/>
      <c r="L252" s="477"/>
    </row>
    <row r="253" spans="1:12" s="66" customFormat="1" ht="15" customHeight="1">
      <c r="A253" s="397" t="s">
        <v>72</v>
      </c>
      <c r="B253" s="397"/>
      <c r="C253" s="397"/>
      <c r="D253" s="397"/>
      <c r="E253" s="397"/>
      <c r="F253" s="397"/>
      <c r="G253" s="397"/>
      <c r="H253" s="397"/>
      <c r="I253" s="392"/>
      <c r="J253" s="476" t="s">
        <v>64</v>
      </c>
      <c r="K253" s="477"/>
      <c r="L253" s="477"/>
    </row>
    <row r="254" spans="1:12" s="66" customFormat="1" ht="15.75" customHeight="1">
      <c r="A254" s="397" t="s">
        <v>73</v>
      </c>
      <c r="B254" s="397"/>
      <c r="C254" s="397"/>
      <c r="D254" s="397"/>
      <c r="E254" s="397"/>
      <c r="F254" s="397"/>
      <c r="G254" s="397"/>
      <c r="H254" s="397"/>
      <c r="I254" s="392"/>
      <c r="J254" s="476" t="s">
        <v>65</v>
      </c>
      <c r="K254" s="477"/>
      <c r="L254" s="477"/>
    </row>
    <row r="255" spans="1:12" s="66" customFormat="1" ht="15" customHeight="1">
      <c r="A255" s="397" t="s">
        <v>74</v>
      </c>
      <c r="B255" s="397"/>
      <c r="C255" s="397"/>
      <c r="D255" s="397"/>
      <c r="E255" s="397"/>
      <c r="F255" s="397"/>
      <c r="G255" s="397"/>
      <c r="H255" s="397"/>
      <c r="I255" s="392"/>
      <c r="J255" s="476" t="s">
        <v>66</v>
      </c>
      <c r="K255" s="477"/>
      <c r="L255" s="477"/>
    </row>
    <row r="256" spans="1:12" s="66" customFormat="1" ht="15" customHeight="1">
      <c r="A256" s="397" t="s">
        <v>75</v>
      </c>
      <c r="B256" s="397"/>
      <c r="C256" s="397"/>
      <c r="D256" s="397"/>
      <c r="E256" s="397"/>
      <c r="F256" s="397"/>
      <c r="G256" s="397"/>
      <c r="H256" s="397"/>
      <c r="I256" s="392"/>
      <c r="J256" s="476" t="s">
        <v>67</v>
      </c>
      <c r="K256" s="477"/>
      <c r="L256" s="477"/>
    </row>
    <row r="257" spans="1:12" s="66" customFormat="1" ht="15" customHeight="1">
      <c r="A257" s="397" t="s">
        <v>76</v>
      </c>
      <c r="B257" s="397"/>
      <c r="C257" s="397"/>
      <c r="D257" s="397"/>
      <c r="E257" s="397"/>
      <c r="F257" s="397"/>
      <c r="G257" s="397"/>
      <c r="H257" s="397"/>
      <c r="I257" s="392"/>
      <c r="J257" s="476" t="s">
        <v>68</v>
      </c>
      <c r="K257" s="477"/>
      <c r="L257" s="477"/>
    </row>
    <row r="258" spans="1:12" s="66" customFormat="1" ht="15" customHeight="1">
      <c r="A258" s="15"/>
      <c r="B258" s="15"/>
      <c r="C258" s="15"/>
      <c r="D258" s="15"/>
      <c r="E258" s="15"/>
      <c r="F258" s="15"/>
      <c r="G258" s="15"/>
      <c r="H258" s="15"/>
      <c r="I258" s="15"/>
      <c r="J258" s="374"/>
      <c r="K258" s="374"/>
      <c r="L258" s="374"/>
    </row>
    <row r="259" spans="1:12">
      <c r="A259" s="306" t="s">
        <v>570</v>
      </c>
    </row>
    <row r="260" spans="1:12">
      <c r="A260" s="306" t="s">
        <v>571</v>
      </c>
    </row>
    <row r="261" spans="1:12">
      <c r="A261" s="306" t="s">
        <v>572</v>
      </c>
    </row>
    <row r="262" spans="1:12">
      <c r="A262" s="413" t="s">
        <v>77</v>
      </c>
      <c r="B262" s="414"/>
      <c r="C262" s="414"/>
      <c r="D262" s="414"/>
      <c r="E262" s="414"/>
      <c r="F262" s="414"/>
      <c r="G262" s="414"/>
      <c r="H262" s="414"/>
      <c r="I262" s="414"/>
      <c r="J262" s="414"/>
      <c r="K262" s="414"/>
      <c r="L262" s="415"/>
    </row>
    <row r="263" spans="1:12">
      <c r="A263" s="9"/>
      <c r="B263" s="9"/>
      <c r="C263" s="9"/>
      <c r="D263" s="9"/>
      <c r="E263" s="9"/>
      <c r="F263" s="9"/>
      <c r="G263" s="9"/>
      <c r="H263" s="9"/>
      <c r="I263" s="9"/>
      <c r="J263" s="9"/>
      <c r="K263" s="9"/>
      <c r="L263" s="9"/>
    </row>
    <row r="264" spans="1:12" ht="19.7" customHeight="1">
      <c r="A264" s="474"/>
      <c r="B264" s="474"/>
      <c r="C264" s="474"/>
      <c r="D264" s="474"/>
      <c r="E264" s="474"/>
      <c r="F264" s="474"/>
      <c r="G264" s="474"/>
      <c r="H264" s="474"/>
      <c r="I264" s="474"/>
      <c r="J264" s="474"/>
      <c r="K264" s="474"/>
      <c r="L264" s="474"/>
    </row>
    <row r="265" spans="1:12" ht="19.7" customHeight="1">
      <c r="A265" s="474"/>
      <c r="B265" s="474"/>
      <c r="C265" s="474"/>
      <c r="D265" s="474"/>
      <c r="E265" s="474"/>
      <c r="F265" s="474"/>
      <c r="G265" s="474"/>
      <c r="H265" s="474"/>
      <c r="I265" s="474"/>
      <c r="J265" s="474"/>
      <c r="K265" s="474"/>
      <c r="L265" s="474"/>
    </row>
    <row r="266" spans="1:12" ht="19.7" customHeight="1">
      <c r="A266" s="474"/>
      <c r="B266" s="474"/>
      <c r="C266" s="474"/>
      <c r="D266" s="474"/>
      <c r="E266" s="474"/>
      <c r="F266" s="474"/>
      <c r="G266" s="474"/>
      <c r="H266" s="474"/>
      <c r="I266" s="474"/>
      <c r="J266" s="474"/>
      <c r="K266" s="474"/>
      <c r="L266" s="474"/>
    </row>
    <row r="267" spans="1:12" ht="19.7" customHeight="1">
      <c r="A267" s="474"/>
      <c r="B267" s="474"/>
      <c r="C267" s="474"/>
      <c r="D267" s="474"/>
      <c r="E267" s="474"/>
      <c r="F267" s="474"/>
      <c r="G267" s="474"/>
      <c r="H267" s="474"/>
      <c r="I267" s="474"/>
      <c r="J267" s="474"/>
      <c r="K267" s="474"/>
      <c r="L267" s="474"/>
    </row>
    <row r="268" spans="1:12" ht="19.7" customHeight="1">
      <c r="A268" s="474"/>
      <c r="B268" s="474"/>
      <c r="C268" s="474"/>
      <c r="D268" s="474"/>
      <c r="E268" s="474"/>
      <c r="F268" s="474"/>
      <c r="G268" s="474"/>
      <c r="H268" s="474"/>
      <c r="I268" s="474"/>
      <c r="J268" s="474"/>
      <c r="K268" s="474"/>
      <c r="L268" s="474"/>
    </row>
    <row r="269" spans="1:12" ht="19.7" customHeight="1">
      <c r="A269" s="474"/>
      <c r="B269" s="474"/>
      <c r="C269" s="474"/>
      <c r="D269" s="474"/>
      <c r="E269" s="474"/>
      <c r="F269" s="474"/>
      <c r="G269" s="474"/>
      <c r="H269" s="474"/>
      <c r="I269" s="474"/>
      <c r="J269" s="474"/>
      <c r="K269" s="474"/>
      <c r="L269" s="474"/>
    </row>
    <row r="270" spans="1:12" ht="19.7" customHeight="1">
      <c r="A270" s="474"/>
      <c r="B270" s="474"/>
      <c r="C270" s="474"/>
      <c r="D270" s="474"/>
      <c r="E270" s="474"/>
      <c r="F270" s="474"/>
      <c r="G270" s="474"/>
      <c r="H270" s="474"/>
      <c r="I270" s="474"/>
      <c r="J270" s="474"/>
      <c r="K270" s="474"/>
      <c r="L270" s="474"/>
    </row>
    <row r="271" spans="1:12" ht="19.7" customHeight="1">
      <c r="A271" s="474"/>
      <c r="B271" s="474"/>
      <c r="C271" s="474"/>
      <c r="D271" s="474"/>
      <c r="E271" s="474"/>
      <c r="F271" s="474"/>
      <c r="G271" s="474"/>
      <c r="H271" s="474"/>
      <c r="I271" s="474"/>
      <c r="J271" s="474"/>
      <c r="K271" s="474"/>
      <c r="L271" s="474"/>
    </row>
    <row r="272" spans="1:12" ht="19.7" customHeight="1">
      <c r="A272" s="474"/>
      <c r="B272" s="474"/>
      <c r="C272" s="474"/>
      <c r="D272" s="474"/>
      <c r="E272" s="474"/>
      <c r="F272" s="474"/>
      <c r="G272" s="474"/>
      <c r="H272" s="474"/>
      <c r="I272" s="474"/>
      <c r="J272" s="474"/>
      <c r="K272" s="474"/>
      <c r="L272" s="474"/>
    </row>
    <row r="273" spans="1:12">
      <c r="A273" s="9"/>
      <c r="B273" s="9"/>
      <c r="C273" s="9"/>
      <c r="D273" s="9"/>
      <c r="E273" s="9"/>
      <c r="F273" s="9"/>
      <c r="G273" s="9"/>
      <c r="H273" s="9"/>
      <c r="I273" s="9"/>
      <c r="J273" s="9"/>
      <c r="K273" s="9"/>
      <c r="L273" s="9"/>
    </row>
    <row r="274" spans="1:12">
      <c r="A274" s="413" t="s">
        <v>78</v>
      </c>
      <c r="B274" s="414"/>
      <c r="C274" s="414"/>
      <c r="D274" s="414"/>
      <c r="E274" s="414"/>
      <c r="F274" s="414"/>
      <c r="G274" s="414"/>
      <c r="H274" s="414"/>
      <c r="I274" s="414"/>
      <c r="J274" s="414"/>
      <c r="K274" s="414"/>
      <c r="L274" s="415"/>
    </row>
    <row r="275" spans="1:12">
      <c r="A275" s="9"/>
      <c r="B275" s="9"/>
      <c r="C275" s="9"/>
      <c r="D275" s="9"/>
      <c r="E275" s="9"/>
      <c r="F275" s="9"/>
      <c r="G275" s="9"/>
      <c r="H275" s="9"/>
      <c r="I275" s="9"/>
      <c r="J275" s="9"/>
      <c r="K275" s="9"/>
      <c r="L275" s="9"/>
    </row>
    <row r="276" spans="1:12">
      <c r="A276" s="326"/>
      <c r="B276" s="324"/>
      <c r="C276" s="324"/>
      <c r="D276" s="324"/>
      <c r="E276" s="324"/>
      <c r="F276" s="324"/>
      <c r="G276" s="324"/>
      <c r="H276" s="324"/>
      <c r="I276" s="324"/>
      <c r="J276" s="324"/>
      <c r="K276" s="324"/>
      <c r="L276" s="327"/>
    </row>
    <row r="277" spans="1:12">
      <c r="A277" s="328"/>
      <c r="B277" s="15" t="s">
        <v>79</v>
      </c>
      <c r="D277" s="15"/>
      <c r="E277" s="15"/>
      <c r="F277" s="15"/>
      <c r="G277" s="15" t="s">
        <v>81</v>
      </c>
      <c r="H277" s="15"/>
      <c r="I277" s="15"/>
      <c r="J277" s="15"/>
      <c r="K277" s="15"/>
      <c r="L277" s="329"/>
    </row>
    <row r="278" spans="1:12">
      <c r="A278" s="328"/>
      <c r="B278" s="15"/>
      <c r="D278" s="15"/>
      <c r="E278" s="15"/>
      <c r="F278" s="15"/>
      <c r="G278" s="15"/>
      <c r="H278" s="15"/>
      <c r="I278" s="15"/>
      <c r="J278" s="15"/>
      <c r="K278" s="15"/>
      <c r="L278" s="329"/>
    </row>
    <row r="279" spans="1:12">
      <c r="A279" s="328"/>
      <c r="B279" s="15" t="s">
        <v>573</v>
      </c>
      <c r="D279" s="15"/>
      <c r="E279" s="15"/>
      <c r="F279" s="15"/>
      <c r="G279" s="15" t="s">
        <v>574</v>
      </c>
      <c r="H279" s="15"/>
      <c r="I279" s="15"/>
      <c r="J279" s="15"/>
      <c r="K279" s="15"/>
      <c r="L279" s="329"/>
    </row>
    <row r="280" spans="1:12">
      <c r="A280" s="328"/>
      <c r="B280" s="15" t="s">
        <v>575</v>
      </c>
      <c r="D280" s="15"/>
      <c r="E280" s="15"/>
      <c r="F280" s="15"/>
      <c r="G280" s="15" t="s">
        <v>82</v>
      </c>
      <c r="H280" s="15"/>
      <c r="I280" s="15"/>
      <c r="J280" s="15"/>
      <c r="K280" s="15"/>
      <c r="L280" s="329"/>
    </row>
    <row r="281" spans="1:12">
      <c r="A281" s="328"/>
      <c r="B281" s="15"/>
      <c r="D281" s="15"/>
      <c r="E281" s="15"/>
      <c r="F281" s="15"/>
      <c r="G281" s="15"/>
      <c r="H281" s="15"/>
      <c r="I281" s="15"/>
      <c r="J281" s="15"/>
      <c r="K281" s="15"/>
      <c r="L281" s="329"/>
    </row>
    <row r="282" spans="1:12">
      <c r="A282" s="328"/>
      <c r="B282" s="15" t="s">
        <v>80</v>
      </c>
      <c r="D282" s="15"/>
      <c r="E282" s="15"/>
      <c r="F282" s="15"/>
      <c r="G282" s="15" t="s">
        <v>576</v>
      </c>
      <c r="H282" s="15"/>
      <c r="I282" s="15"/>
      <c r="J282" s="15"/>
      <c r="K282" s="15"/>
      <c r="L282" s="329"/>
    </row>
    <row r="283" spans="1:12">
      <c r="A283" s="328"/>
      <c r="B283" s="15"/>
      <c r="C283" s="15"/>
      <c r="D283" s="15"/>
      <c r="E283" s="15"/>
      <c r="F283" s="15"/>
      <c r="G283" s="15"/>
      <c r="H283" s="15"/>
      <c r="I283" s="15"/>
      <c r="J283" s="15"/>
      <c r="K283" s="15"/>
      <c r="L283" s="329"/>
    </row>
    <row r="284" spans="1:12">
      <c r="A284" s="328"/>
      <c r="B284" s="15"/>
      <c r="C284" s="15"/>
      <c r="D284" s="15"/>
      <c r="E284" s="15"/>
      <c r="F284" s="15"/>
      <c r="G284" s="15" t="s">
        <v>83</v>
      </c>
      <c r="H284" s="330"/>
      <c r="I284" s="330"/>
      <c r="J284" s="330"/>
      <c r="K284" s="15"/>
      <c r="L284" s="329"/>
    </row>
    <row r="285" spans="1:12">
      <c r="A285" s="328"/>
      <c r="B285" s="15"/>
      <c r="C285" s="15"/>
      <c r="D285" s="15"/>
      <c r="E285" s="15"/>
      <c r="F285" s="15"/>
      <c r="G285" s="15"/>
      <c r="H285" s="15"/>
      <c r="I285" s="15"/>
      <c r="J285" s="15"/>
      <c r="K285" s="15"/>
      <c r="L285" s="329"/>
    </row>
    <row r="286" spans="1:12">
      <c r="A286" s="331"/>
      <c r="B286" s="330"/>
      <c r="C286" s="330"/>
      <c r="D286" s="330"/>
      <c r="E286" s="330"/>
      <c r="F286" s="330"/>
      <c r="G286" s="330"/>
      <c r="H286" s="330"/>
      <c r="I286" s="330"/>
      <c r="J286" s="330"/>
      <c r="K286" s="330"/>
      <c r="L286" s="332"/>
    </row>
    <row r="287" spans="1:12">
      <c r="A287" s="9"/>
      <c r="B287" s="9"/>
      <c r="C287" s="9"/>
      <c r="D287" s="9"/>
      <c r="E287" s="9"/>
      <c r="F287" s="9"/>
      <c r="G287" s="9"/>
      <c r="H287" s="9"/>
      <c r="I287" s="9"/>
      <c r="J287" s="9"/>
      <c r="K287" s="9"/>
      <c r="L287" s="9"/>
    </row>
    <row r="288" spans="1:12">
      <c r="A288" s="413" t="s">
        <v>84</v>
      </c>
      <c r="B288" s="414"/>
      <c r="C288" s="414"/>
      <c r="D288" s="414"/>
      <c r="E288" s="414"/>
      <c r="F288" s="414"/>
      <c r="G288" s="414"/>
      <c r="H288" s="414"/>
      <c r="I288" s="414"/>
      <c r="J288" s="414"/>
      <c r="K288" s="414"/>
      <c r="L288" s="415"/>
    </row>
    <row r="289" spans="1:12">
      <c r="A289" s="9"/>
      <c r="B289" s="9"/>
      <c r="C289" s="9"/>
      <c r="D289" s="9"/>
      <c r="E289" s="9"/>
      <c r="F289" s="9"/>
      <c r="G289" s="9"/>
      <c r="H289" s="9"/>
      <c r="I289" s="9"/>
      <c r="J289" s="9"/>
      <c r="K289" s="9"/>
      <c r="L289" s="9"/>
    </row>
    <row r="290" spans="1:12" ht="22.5" customHeight="1">
      <c r="A290" s="480" t="s">
        <v>85</v>
      </c>
      <c r="B290" s="480"/>
      <c r="C290" s="478" t="s">
        <v>577</v>
      </c>
      <c r="D290" s="478"/>
      <c r="E290" s="478" t="s">
        <v>86</v>
      </c>
      <c r="F290" s="480" t="s">
        <v>87</v>
      </c>
      <c r="G290" s="478" t="s">
        <v>88</v>
      </c>
      <c r="H290" s="478" t="s">
        <v>578</v>
      </c>
      <c r="I290" s="478" t="s">
        <v>579</v>
      </c>
      <c r="J290" s="478" t="s">
        <v>580</v>
      </c>
      <c r="K290" s="479"/>
      <c r="L290" s="479"/>
    </row>
    <row r="291" spans="1:12" ht="22.5" customHeight="1">
      <c r="A291" s="480"/>
      <c r="B291" s="480"/>
      <c r="C291" s="478"/>
      <c r="D291" s="478"/>
      <c r="E291" s="478"/>
      <c r="F291" s="480"/>
      <c r="G291" s="478"/>
      <c r="H291" s="478"/>
      <c r="I291" s="478"/>
      <c r="J291" s="478"/>
      <c r="K291" s="479"/>
      <c r="L291" s="479"/>
    </row>
    <row r="292" spans="1:12" ht="22.5" customHeight="1">
      <c r="A292" s="480"/>
      <c r="B292" s="480"/>
      <c r="C292" s="478"/>
      <c r="D292" s="478"/>
      <c r="E292" s="478"/>
      <c r="F292" s="480"/>
      <c r="G292" s="478"/>
      <c r="H292" s="478"/>
      <c r="I292" s="478"/>
      <c r="J292" s="478"/>
      <c r="K292" s="479"/>
      <c r="L292" s="479"/>
    </row>
    <row r="293" spans="1:12" ht="22.5" customHeight="1">
      <c r="A293" s="394"/>
      <c r="B293" s="394"/>
      <c r="C293" s="395"/>
      <c r="D293" s="395"/>
      <c r="E293" s="344"/>
      <c r="F293" s="343"/>
      <c r="G293" s="344"/>
      <c r="H293" s="345"/>
      <c r="I293" s="345"/>
      <c r="J293" s="481"/>
      <c r="K293" s="481"/>
      <c r="L293" s="481"/>
    </row>
    <row r="294" spans="1:12" ht="22.5" customHeight="1">
      <c r="A294" s="394"/>
      <c r="B294" s="394"/>
      <c r="C294" s="395"/>
      <c r="D294" s="395"/>
      <c r="E294" s="344"/>
      <c r="F294" s="343"/>
      <c r="G294" s="344"/>
      <c r="H294" s="345"/>
      <c r="I294" s="345"/>
      <c r="J294" s="481"/>
      <c r="K294" s="481"/>
      <c r="L294" s="481"/>
    </row>
    <row r="295" spans="1:12" ht="22.5" customHeight="1">
      <c r="A295" s="394"/>
      <c r="B295" s="394"/>
      <c r="C295" s="395"/>
      <c r="D295" s="395"/>
      <c r="E295" s="344"/>
      <c r="F295" s="343"/>
      <c r="G295" s="344"/>
      <c r="H295" s="345"/>
      <c r="I295" s="345"/>
      <c r="J295" s="481"/>
      <c r="K295" s="481"/>
      <c r="L295" s="481"/>
    </row>
    <row r="296" spans="1:12" ht="22.5" customHeight="1">
      <c r="A296" s="394"/>
      <c r="B296" s="394"/>
      <c r="C296" s="395"/>
      <c r="D296" s="395"/>
      <c r="E296" s="344"/>
      <c r="F296" s="343"/>
      <c r="G296" s="344"/>
      <c r="H296" s="345"/>
      <c r="I296" s="345"/>
      <c r="J296" s="481"/>
      <c r="K296" s="481"/>
      <c r="L296" s="481"/>
    </row>
    <row r="297" spans="1:12" ht="22.5" customHeight="1">
      <c r="A297" s="394"/>
      <c r="B297" s="394"/>
      <c r="C297" s="395"/>
      <c r="D297" s="395"/>
      <c r="E297" s="343"/>
      <c r="F297" s="343"/>
      <c r="G297" s="344"/>
      <c r="H297" s="345"/>
      <c r="I297" s="345"/>
      <c r="J297" s="396"/>
      <c r="K297" s="396"/>
      <c r="L297" s="396"/>
    </row>
    <row r="298" spans="1:12" ht="22.5" customHeight="1">
      <c r="A298" s="394"/>
      <c r="B298" s="394"/>
      <c r="C298" s="395"/>
      <c r="D298" s="395"/>
      <c r="E298" s="343"/>
      <c r="F298" s="343"/>
      <c r="G298" s="344"/>
      <c r="H298" s="345"/>
      <c r="I298" s="345"/>
      <c r="J298" s="396"/>
      <c r="K298" s="396"/>
      <c r="L298" s="396"/>
    </row>
    <row r="299" spans="1:12" ht="22.5" customHeight="1">
      <c r="A299" s="392"/>
      <c r="B299" s="393"/>
      <c r="C299" s="482"/>
      <c r="D299" s="483"/>
      <c r="E299" s="343"/>
      <c r="F299" s="343"/>
      <c r="G299" s="344"/>
      <c r="H299" s="345"/>
      <c r="I299" s="345"/>
      <c r="J299" s="396"/>
      <c r="K299" s="484"/>
      <c r="L299" s="484"/>
    </row>
    <row r="300" spans="1:12" ht="22.5" customHeight="1">
      <c r="A300" s="392"/>
      <c r="B300" s="393"/>
      <c r="C300" s="482"/>
      <c r="D300" s="483"/>
      <c r="E300" s="343"/>
      <c r="F300" s="343"/>
      <c r="G300" s="344"/>
      <c r="H300" s="345"/>
      <c r="I300" s="342"/>
      <c r="J300" s="396"/>
      <c r="K300" s="484"/>
      <c r="L300" s="484"/>
    </row>
    <row r="301" spans="1:12" ht="22.5" customHeight="1">
      <c r="A301" s="397"/>
      <c r="B301" s="397"/>
      <c r="C301" s="394"/>
      <c r="D301" s="394"/>
      <c r="E301" s="342"/>
      <c r="F301" s="342"/>
      <c r="G301" s="342"/>
      <c r="H301" s="342"/>
      <c r="I301" s="342"/>
      <c r="J301" s="394"/>
      <c r="K301" s="398"/>
      <c r="L301" s="398"/>
    </row>
    <row r="302" spans="1:12" ht="22.5" customHeight="1">
      <c r="A302" s="397"/>
      <c r="B302" s="397"/>
      <c r="C302" s="394"/>
      <c r="D302" s="394"/>
      <c r="E302" s="342"/>
      <c r="F302" s="342"/>
      <c r="G302" s="342"/>
      <c r="H302" s="342"/>
      <c r="I302" s="342"/>
      <c r="J302" s="394"/>
      <c r="K302" s="398"/>
      <c r="L302" s="398"/>
    </row>
    <row r="303" spans="1:12" ht="22.5" customHeight="1">
      <c r="A303" s="397"/>
      <c r="B303" s="397"/>
      <c r="C303" s="394"/>
      <c r="D303" s="394"/>
      <c r="E303" s="342"/>
      <c r="F303" s="342"/>
      <c r="G303" s="342"/>
      <c r="H303" s="342"/>
      <c r="I303" s="342"/>
      <c r="J303" s="394"/>
      <c r="K303" s="398"/>
      <c r="L303" s="398"/>
    </row>
    <row r="304" spans="1:12" ht="22.5" customHeight="1">
      <c r="A304" s="392"/>
      <c r="B304" s="393"/>
      <c r="C304" s="390"/>
      <c r="D304" s="391"/>
      <c r="E304" s="342"/>
      <c r="F304" s="342"/>
      <c r="G304" s="342"/>
      <c r="H304" s="342"/>
      <c r="I304" s="346" t="s">
        <v>159</v>
      </c>
      <c r="J304" s="387">
        <v>100</v>
      </c>
      <c r="K304" s="388"/>
      <c r="L304" s="389"/>
    </row>
    <row r="305" spans="1:12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</row>
    <row r="306" spans="1:12">
      <c r="A306" s="306" t="s">
        <v>915</v>
      </c>
    </row>
    <row r="307" spans="1:12">
      <c r="A307" s="306" t="s">
        <v>916</v>
      </c>
    </row>
    <row r="308" spans="1:12">
      <c r="A308" s="306"/>
    </row>
    <row r="310" spans="1:12" ht="44.25" customHeight="1">
      <c r="D310" s="499" t="s">
        <v>89</v>
      </c>
      <c r="E310" s="499"/>
      <c r="F310" s="499"/>
      <c r="G310" s="499"/>
      <c r="H310" s="499"/>
      <c r="I310" s="499"/>
    </row>
    <row r="311" spans="1:12" ht="9.9499999999999993" customHeight="1"/>
    <row r="312" spans="1:12" ht="16.5" customHeight="1">
      <c r="A312" s="500" t="s">
        <v>90</v>
      </c>
      <c r="B312" s="500"/>
      <c r="C312" s="500"/>
      <c r="D312" s="500"/>
      <c r="E312" s="500"/>
      <c r="F312" s="500"/>
      <c r="G312" s="500"/>
      <c r="H312" s="500"/>
      <c r="I312" s="500"/>
      <c r="J312" s="500"/>
      <c r="K312" s="500"/>
      <c r="L312" s="500"/>
    </row>
    <row r="313" spans="1:12" ht="11.25" customHeight="1" thickBot="1"/>
    <row r="314" spans="1:12" ht="27.75" customHeight="1" thickBot="1">
      <c r="A314" s="501" t="s">
        <v>93</v>
      </c>
      <c r="B314" s="502"/>
      <c r="C314" s="503"/>
      <c r="D314" s="504" t="s">
        <v>650</v>
      </c>
      <c r="E314" s="505"/>
      <c r="F314" s="506" t="s">
        <v>651</v>
      </c>
      <c r="G314" s="502"/>
      <c r="H314" s="502"/>
      <c r="I314" s="502"/>
      <c r="J314" s="502"/>
      <c r="K314" s="502"/>
      <c r="L314" s="507"/>
    </row>
    <row r="315" spans="1:12" ht="15" customHeight="1">
      <c r="A315" s="508" t="s">
        <v>830</v>
      </c>
      <c r="B315" s="509"/>
      <c r="C315" s="510"/>
      <c r="D315" s="514" t="s">
        <v>57</v>
      </c>
      <c r="E315" s="516"/>
      <c r="F315" s="517" t="s">
        <v>91</v>
      </c>
      <c r="G315" s="518"/>
      <c r="H315" s="519"/>
      <c r="I315" s="520"/>
      <c r="J315" s="520"/>
      <c r="K315" s="520"/>
      <c r="L315" s="521"/>
    </row>
    <row r="316" spans="1:12" ht="15" customHeight="1">
      <c r="A316" s="511"/>
      <c r="B316" s="512"/>
      <c r="C316" s="513"/>
      <c r="D316" s="515"/>
      <c r="E316" s="493"/>
      <c r="F316" s="347"/>
      <c r="G316" s="348" t="s">
        <v>813</v>
      </c>
      <c r="H316" s="485"/>
      <c r="I316" s="486"/>
      <c r="J316" s="486"/>
      <c r="K316" s="486"/>
      <c r="L316" s="487"/>
    </row>
    <row r="317" spans="1:12" ht="15" customHeight="1">
      <c r="A317" s="511"/>
      <c r="B317" s="512"/>
      <c r="C317" s="513"/>
      <c r="D317" s="488" t="s">
        <v>58</v>
      </c>
      <c r="E317" s="491"/>
      <c r="F317" s="494" t="s">
        <v>92</v>
      </c>
      <c r="G317" s="495"/>
      <c r="H317" s="496"/>
      <c r="I317" s="497"/>
      <c r="J317" s="497"/>
      <c r="K317" s="497"/>
      <c r="L317" s="498"/>
    </row>
    <row r="318" spans="1:12" ht="15" customHeight="1">
      <c r="A318" s="511"/>
      <c r="B318" s="512"/>
      <c r="C318" s="513"/>
      <c r="D318" s="489"/>
      <c r="E318" s="492"/>
      <c r="F318" s="347"/>
      <c r="G318" s="348" t="s">
        <v>813</v>
      </c>
      <c r="H318" s="485"/>
      <c r="I318" s="486"/>
      <c r="J318" s="486"/>
      <c r="K318" s="486"/>
      <c r="L318" s="487"/>
    </row>
    <row r="319" spans="1:12">
      <c r="A319" s="522" t="s">
        <v>652</v>
      </c>
      <c r="B319" s="419"/>
      <c r="C319" s="523"/>
      <c r="D319" s="490"/>
      <c r="E319" s="493"/>
      <c r="F319" s="494" t="s">
        <v>30</v>
      </c>
      <c r="G319" s="495"/>
      <c r="H319" s="496"/>
      <c r="I319" s="497"/>
      <c r="J319" s="497"/>
      <c r="K319" s="497"/>
      <c r="L319" s="498"/>
    </row>
    <row r="320" spans="1:12">
      <c r="A320" s="524"/>
      <c r="B320" s="525"/>
      <c r="C320" s="526"/>
      <c r="D320" s="527" t="s">
        <v>59</v>
      </c>
      <c r="E320" s="491">
        <f>E315-E317</f>
        <v>0</v>
      </c>
      <c r="F320" s="347"/>
      <c r="G320" s="348" t="s">
        <v>813</v>
      </c>
      <c r="H320" s="485"/>
      <c r="I320" s="486"/>
      <c r="J320" s="486"/>
      <c r="K320" s="486"/>
      <c r="L320" s="487"/>
    </row>
    <row r="321" spans="1:12" ht="15" customHeight="1">
      <c r="A321" s="522" t="s">
        <v>653</v>
      </c>
      <c r="B321" s="419"/>
      <c r="C321" s="523"/>
      <c r="D321" s="528"/>
      <c r="E321" s="492"/>
      <c r="F321" s="494" t="s">
        <v>31</v>
      </c>
      <c r="G321" s="495"/>
      <c r="H321" s="531"/>
      <c r="I321" s="532"/>
      <c r="J321" s="532"/>
      <c r="K321" s="532"/>
      <c r="L321" s="533"/>
    </row>
    <row r="322" spans="1:12" ht="15" customHeight="1" thickBot="1">
      <c r="A322" s="534"/>
      <c r="B322" s="535"/>
      <c r="C322" s="536"/>
      <c r="D322" s="529"/>
      <c r="E322" s="530"/>
      <c r="F322" s="351"/>
      <c r="G322" s="352" t="s">
        <v>813</v>
      </c>
      <c r="H322" s="537"/>
      <c r="I322" s="538"/>
      <c r="J322" s="538"/>
      <c r="K322" s="538"/>
      <c r="L322" s="539"/>
    </row>
    <row r="323" spans="1:12" ht="15" customHeight="1">
      <c r="A323" s="508"/>
      <c r="B323" s="509"/>
      <c r="C323" s="510"/>
      <c r="D323" s="514"/>
      <c r="E323" s="516"/>
      <c r="F323" s="517"/>
      <c r="G323" s="518"/>
      <c r="H323" s="519"/>
      <c r="I323" s="520"/>
      <c r="J323" s="520"/>
      <c r="K323" s="520"/>
      <c r="L323" s="521"/>
    </row>
    <row r="324" spans="1:12" ht="15" customHeight="1">
      <c r="A324" s="511"/>
      <c r="B324" s="512"/>
      <c r="C324" s="513"/>
      <c r="D324" s="515"/>
      <c r="E324" s="493"/>
      <c r="F324" s="347"/>
      <c r="G324" s="348"/>
      <c r="H324" s="531"/>
      <c r="I324" s="532"/>
      <c r="J324" s="532"/>
      <c r="K324" s="532"/>
      <c r="L324" s="533"/>
    </row>
    <row r="325" spans="1:12" ht="15" customHeight="1">
      <c r="A325" s="511"/>
      <c r="B325" s="512"/>
      <c r="C325" s="513"/>
      <c r="D325" s="488"/>
      <c r="E325" s="491"/>
      <c r="F325" s="494"/>
      <c r="G325" s="495"/>
      <c r="H325" s="496"/>
      <c r="I325" s="497"/>
      <c r="J325" s="497"/>
      <c r="K325" s="497"/>
      <c r="L325" s="498"/>
    </row>
    <row r="326" spans="1:12" ht="15" customHeight="1">
      <c r="A326" s="511"/>
      <c r="B326" s="512"/>
      <c r="C326" s="513"/>
      <c r="D326" s="489"/>
      <c r="E326" s="492"/>
      <c r="F326" s="347"/>
      <c r="G326" s="348"/>
      <c r="H326" s="485"/>
      <c r="I326" s="486"/>
      <c r="J326" s="486"/>
      <c r="K326" s="486"/>
      <c r="L326" s="487"/>
    </row>
    <row r="327" spans="1:12" ht="15" customHeight="1">
      <c r="A327" s="522"/>
      <c r="B327" s="419"/>
      <c r="C327" s="523"/>
      <c r="D327" s="490"/>
      <c r="E327" s="493"/>
      <c r="F327" s="494"/>
      <c r="G327" s="495"/>
      <c r="H327" s="496"/>
      <c r="I327" s="497"/>
      <c r="J327" s="497"/>
      <c r="K327" s="497"/>
      <c r="L327" s="498"/>
    </row>
    <row r="328" spans="1:12" ht="15" customHeight="1">
      <c r="A328" s="524"/>
      <c r="B328" s="525"/>
      <c r="C328" s="526"/>
      <c r="D328" s="527"/>
      <c r="E328" s="491"/>
      <c r="F328" s="347"/>
      <c r="G328" s="348"/>
      <c r="H328" s="485"/>
      <c r="I328" s="486"/>
      <c r="J328" s="486"/>
      <c r="K328" s="486"/>
      <c r="L328" s="487"/>
    </row>
    <row r="329" spans="1:12" ht="15" customHeight="1">
      <c r="A329" s="522"/>
      <c r="B329" s="419"/>
      <c r="C329" s="523"/>
      <c r="D329" s="528"/>
      <c r="E329" s="492"/>
      <c r="F329" s="494"/>
      <c r="G329" s="495"/>
      <c r="H329" s="531"/>
      <c r="I329" s="532"/>
      <c r="J329" s="532"/>
      <c r="K329" s="532"/>
      <c r="L329" s="533"/>
    </row>
    <row r="330" spans="1:12" ht="15" customHeight="1" thickBot="1">
      <c r="A330" s="534"/>
      <c r="B330" s="535"/>
      <c r="C330" s="536"/>
      <c r="D330" s="529"/>
      <c r="E330" s="530"/>
      <c r="F330" s="351"/>
      <c r="G330" s="352"/>
      <c r="H330" s="537"/>
      <c r="I330" s="538"/>
      <c r="J330" s="538"/>
      <c r="K330" s="538"/>
      <c r="L330" s="539"/>
    </row>
    <row r="331" spans="1:12" ht="15" customHeight="1">
      <c r="A331" s="508"/>
      <c r="B331" s="509"/>
      <c r="C331" s="510"/>
      <c r="D331" s="514"/>
      <c r="E331" s="516"/>
      <c r="F331" s="517"/>
      <c r="G331" s="518"/>
      <c r="H331" s="519"/>
      <c r="I331" s="520"/>
      <c r="J331" s="520"/>
      <c r="K331" s="520"/>
      <c r="L331" s="521"/>
    </row>
    <row r="332" spans="1:12" ht="15" customHeight="1">
      <c r="A332" s="511"/>
      <c r="B332" s="512"/>
      <c r="C332" s="513"/>
      <c r="D332" s="515"/>
      <c r="E332" s="493"/>
      <c r="F332" s="347"/>
      <c r="G332" s="348"/>
      <c r="H332" s="531"/>
      <c r="I332" s="532"/>
      <c r="J332" s="532"/>
      <c r="K332" s="532"/>
      <c r="L332" s="533"/>
    </row>
    <row r="333" spans="1:12" ht="15" customHeight="1">
      <c r="A333" s="511"/>
      <c r="B333" s="512"/>
      <c r="C333" s="513"/>
      <c r="D333" s="488"/>
      <c r="E333" s="491"/>
      <c r="F333" s="494"/>
      <c r="G333" s="495"/>
      <c r="H333" s="496"/>
      <c r="I333" s="497"/>
      <c r="J333" s="497"/>
      <c r="K333" s="497"/>
      <c r="L333" s="498"/>
    </row>
    <row r="334" spans="1:12" ht="15" customHeight="1">
      <c r="A334" s="511"/>
      <c r="B334" s="512"/>
      <c r="C334" s="513"/>
      <c r="D334" s="489"/>
      <c r="E334" s="492"/>
      <c r="F334" s="347"/>
      <c r="G334" s="348"/>
      <c r="H334" s="485"/>
      <c r="I334" s="486"/>
      <c r="J334" s="486"/>
      <c r="K334" s="486"/>
      <c r="L334" s="487"/>
    </row>
    <row r="335" spans="1:12" ht="15" customHeight="1">
      <c r="A335" s="522"/>
      <c r="B335" s="419"/>
      <c r="C335" s="523"/>
      <c r="D335" s="490"/>
      <c r="E335" s="493"/>
      <c r="F335" s="494"/>
      <c r="G335" s="495"/>
      <c r="H335" s="496"/>
      <c r="I335" s="497"/>
      <c r="J335" s="497"/>
      <c r="K335" s="497"/>
      <c r="L335" s="498"/>
    </row>
    <row r="336" spans="1:12" ht="15" customHeight="1">
      <c r="A336" s="524"/>
      <c r="B336" s="525"/>
      <c r="C336" s="526"/>
      <c r="D336" s="527"/>
      <c r="E336" s="491"/>
      <c r="F336" s="347"/>
      <c r="G336" s="348"/>
      <c r="H336" s="485"/>
      <c r="I336" s="486"/>
      <c r="J336" s="486"/>
      <c r="K336" s="486"/>
      <c r="L336" s="487"/>
    </row>
    <row r="337" spans="1:12" ht="15" customHeight="1">
      <c r="A337" s="522"/>
      <c r="B337" s="419"/>
      <c r="C337" s="523"/>
      <c r="D337" s="528"/>
      <c r="E337" s="492"/>
      <c r="F337" s="494"/>
      <c r="G337" s="495"/>
      <c r="H337" s="531"/>
      <c r="I337" s="532"/>
      <c r="J337" s="532"/>
      <c r="K337" s="532"/>
      <c r="L337" s="533"/>
    </row>
    <row r="338" spans="1:12" ht="15" customHeight="1" thickBot="1">
      <c r="A338" s="534"/>
      <c r="B338" s="535"/>
      <c r="C338" s="536"/>
      <c r="D338" s="529"/>
      <c r="E338" s="530"/>
      <c r="F338" s="351"/>
      <c r="G338" s="352"/>
      <c r="H338" s="537"/>
      <c r="I338" s="538"/>
      <c r="J338" s="538"/>
      <c r="K338" s="538"/>
      <c r="L338" s="539"/>
    </row>
    <row r="339" spans="1:12" ht="15" customHeight="1">
      <c r="A339" s="508"/>
      <c r="B339" s="509"/>
      <c r="C339" s="510"/>
      <c r="D339" s="514"/>
      <c r="E339" s="516"/>
      <c r="F339" s="517"/>
      <c r="G339" s="518"/>
      <c r="H339" s="519"/>
      <c r="I339" s="520"/>
      <c r="J339" s="520"/>
      <c r="K339" s="520"/>
      <c r="L339" s="521"/>
    </row>
    <row r="340" spans="1:12" ht="15" customHeight="1">
      <c r="A340" s="511"/>
      <c r="B340" s="512"/>
      <c r="C340" s="513"/>
      <c r="D340" s="515"/>
      <c r="E340" s="493"/>
      <c r="F340" s="347"/>
      <c r="G340" s="348"/>
      <c r="H340" s="531"/>
      <c r="I340" s="532"/>
      <c r="J340" s="532"/>
      <c r="K340" s="532"/>
      <c r="L340" s="533"/>
    </row>
    <row r="341" spans="1:12" ht="15" customHeight="1">
      <c r="A341" s="511"/>
      <c r="B341" s="512"/>
      <c r="C341" s="513"/>
      <c r="D341" s="488"/>
      <c r="E341" s="491"/>
      <c r="F341" s="494"/>
      <c r="G341" s="495"/>
      <c r="H341" s="496"/>
      <c r="I341" s="497"/>
      <c r="J341" s="497"/>
      <c r="K341" s="497"/>
      <c r="L341" s="498"/>
    </row>
    <row r="342" spans="1:12" ht="15" customHeight="1">
      <c r="A342" s="511"/>
      <c r="B342" s="512"/>
      <c r="C342" s="513"/>
      <c r="D342" s="489"/>
      <c r="E342" s="492"/>
      <c r="F342" s="347"/>
      <c r="G342" s="348"/>
      <c r="H342" s="485"/>
      <c r="I342" s="486"/>
      <c r="J342" s="486"/>
      <c r="K342" s="486"/>
      <c r="L342" s="487"/>
    </row>
    <row r="343" spans="1:12" ht="15" customHeight="1">
      <c r="A343" s="522"/>
      <c r="B343" s="419"/>
      <c r="C343" s="523"/>
      <c r="D343" s="490"/>
      <c r="E343" s="493"/>
      <c r="F343" s="494"/>
      <c r="G343" s="495"/>
      <c r="H343" s="496"/>
      <c r="I343" s="497"/>
      <c r="J343" s="497"/>
      <c r="K343" s="497"/>
      <c r="L343" s="498"/>
    </row>
    <row r="344" spans="1:12" ht="15" customHeight="1">
      <c r="A344" s="524"/>
      <c r="B344" s="525"/>
      <c r="C344" s="526"/>
      <c r="D344" s="527"/>
      <c r="E344" s="491"/>
      <c r="F344" s="347"/>
      <c r="G344" s="348"/>
      <c r="H344" s="485"/>
      <c r="I344" s="486"/>
      <c r="J344" s="486"/>
      <c r="K344" s="486"/>
      <c r="L344" s="487"/>
    </row>
    <row r="345" spans="1:12" ht="15" customHeight="1">
      <c r="A345" s="522"/>
      <c r="B345" s="419"/>
      <c r="C345" s="523"/>
      <c r="D345" s="528"/>
      <c r="E345" s="492"/>
      <c r="F345" s="494"/>
      <c r="G345" s="495"/>
      <c r="H345" s="531"/>
      <c r="I345" s="532"/>
      <c r="J345" s="532"/>
      <c r="K345" s="532"/>
      <c r="L345" s="533"/>
    </row>
    <row r="346" spans="1:12" ht="15" customHeight="1" thickBot="1">
      <c r="A346" s="534"/>
      <c r="B346" s="535"/>
      <c r="C346" s="536"/>
      <c r="D346" s="529"/>
      <c r="E346" s="530"/>
      <c r="F346" s="351"/>
      <c r="G346" s="352"/>
      <c r="H346" s="537"/>
      <c r="I346" s="538"/>
      <c r="J346" s="538"/>
      <c r="K346" s="538"/>
      <c r="L346" s="539"/>
    </row>
    <row r="347" spans="1:12" ht="15" customHeight="1">
      <c r="A347" s="508"/>
      <c r="B347" s="509"/>
      <c r="C347" s="510"/>
      <c r="D347" s="514"/>
      <c r="E347" s="516"/>
      <c r="F347" s="517"/>
      <c r="G347" s="518"/>
      <c r="H347" s="519"/>
      <c r="I347" s="520"/>
      <c r="J347" s="520"/>
      <c r="K347" s="520"/>
      <c r="L347" s="521"/>
    </row>
    <row r="348" spans="1:12" ht="15" customHeight="1">
      <c r="A348" s="511"/>
      <c r="B348" s="512"/>
      <c r="C348" s="513"/>
      <c r="D348" s="515"/>
      <c r="E348" s="493"/>
      <c r="F348" s="347"/>
      <c r="G348" s="348"/>
      <c r="H348" s="531"/>
      <c r="I348" s="532"/>
      <c r="J348" s="532"/>
      <c r="K348" s="532"/>
      <c r="L348" s="533"/>
    </row>
    <row r="349" spans="1:12" ht="15" customHeight="1">
      <c r="A349" s="511"/>
      <c r="B349" s="512"/>
      <c r="C349" s="513"/>
      <c r="D349" s="488"/>
      <c r="E349" s="491"/>
      <c r="F349" s="494"/>
      <c r="G349" s="495"/>
      <c r="H349" s="496"/>
      <c r="I349" s="497"/>
      <c r="J349" s="497"/>
      <c r="K349" s="497"/>
      <c r="L349" s="498"/>
    </row>
    <row r="350" spans="1:12" ht="15" customHeight="1">
      <c r="A350" s="511"/>
      <c r="B350" s="512"/>
      <c r="C350" s="513"/>
      <c r="D350" s="489"/>
      <c r="E350" s="492"/>
      <c r="F350" s="347"/>
      <c r="G350" s="348"/>
      <c r="H350" s="485"/>
      <c r="I350" s="486"/>
      <c r="J350" s="486"/>
      <c r="K350" s="486"/>
      <c r="L350" s="487"/>
    </row>
    <row r="351" spans="1:12" ht="15" customHeight="1">
      <c r="A351" s="522"/>
      <c r="B351" s="419"/>
      <c r="C351" s="523"/>
      <c r="D351" s="490"/>
      <c r="E351" s="493"/>
      <c r="F351" s="494"/>
      <c r="G351" s="495"/>
      <c r="H351" s="496"/>
      <c r="I351" s="497"/>
      <c r="J351" s="497"/>
      <c r="K351" s="497"/>
      <c r="L351" s="498"/>
    </row>
    <row r="352" spans="1:12" ht="15" customHeight="1">
      <c r="A352" s="524"/>
      <c r="B352" s="525"/>
      <c r="C352" s="526"/>
      <c r="D352" s="527"/>
      <c r="E352" s="491"/>
      <c r="F352" s="347"/>
      <c r="G352" s="348"/>
      <c r="H352" s="485"/>
      <c r="I352" s="486"/>
      <c r="J352" s="486"/>
      <c r="K352" s="486"/>
      <c r="L352" s="487"/>
    </row>
    <row r="353" spans="1:12" ht="15" customHeight="1">
      <c r="A353" s="522"/>
      <c r="B353" s="419"/>
      <c r="C353" s="523"/>
      <c r="D353" s="528"/>
      <c r="E353" s="492"/>
      <c r="F353" s="494"/>
      <c r="G353" s="495"/>
      <c r="H353" s="531"/>
      <c r="I353" s="532"/>
      <c r="J353" s="532"/>
      <c r="K353" s="532"/>
      <c r="L353" s="533"/>
    </row>
    <row r="354" spans="1:12" ht="15" customHeight="1" thickBot="1">
      <c r="A354" s="534"/>
      <c r="B354" s="535"/>
      <c r="C354" s="536"/>
      <c r="D354" s="529"/>
      <c r="E354" s="530"/>
      <c r="F354" s="351"/>
      <c r="G354" s="352"/>
      <c r="H354" s="537"/>
      <c r="I354" s="538"/>
      <c r="J354" s="538"/>
      <c r="K354" s="538"/>
      <c r="L354" s="539"/>
    </row>
    <row r="355" spans="1:12" ht="15" customHeight="1">
      <c r="A355" s="508"/>
      <c r="B355" s="509"/>
      <c r="C355" s="510"/>
      <c r="D355" s="514"/>
      <c r="E355" s="516"/>
      <c r="F355" s="517"/>
      <c r="G355" s="518"/>
      <c r="H355" s="519"/>
      <c r="I355" s="520"/>
      <c r="J355" s="520"/>
      <c r="K355" s="520"/>
      <c r="L355" s="521"/>
    </row>
    <row r="356" spans="1:12" ht="13.5" customHeight="1">
      <c r="A356" s="511"/>
      <c r="B356" s="512"/>
      <c r="C356" s="513"/>
      <c r="D356" s="515"/>
      <c r="E356" s="493"/>
      <c r="F356" s="347"/>
      <c r="G356" s="348"/>
      <c r="H356" s="531"/>
      <c r="I356" s="532"/>
      <c r="J356" s="532"/>
      <c r="K356" s="532"/>
      <c r="L356" s="533"/>
    </row>
    <row r="357" spans="1:12" ht="13.5" customHeight="1">
      <c r="A357" s="511"/>
      <c r="B357" s="512"/>
      <c r="C357" s="513"/>
      <c r="D357" s="488"/>
      <c r="E357" s="491"/>
      <c r="F357" s="494"/>
      <c r="G357" s="495"/>
      <c r="H357" s="496"/>
      <c r="I357" s="497"/>
      <c r="J357" s="497"/>
      <c r="K357" s="497"/>
      <c r="L357" s="498"/>
    </row>
    <row r="358" spans="1:12" ht="15.75" customHeight="1">
      <c r="A358" s="511"/>
      <c r="B358" s="512"/>
      <c r="C358" s="513"/>
      <c r="D358" s="489"/>
      <c r="E358" s="492"/>
      <c r="F358" s="347"/>
      <c r="G358" s="348"/>
      <c r="H358" s="485"/>
      <c r="I358" s="486"/>
      <c r="J358" s="486"/>
      <c r="K358" s="486"/>
      <c r="L358" s="487"/>
    </row>
    <row r="359" spans="1:12" ht="15.75" customHeight="1">
      <c r="A359" s="540"/>
      <c r="B359" s="541"/>
      <c r="C359" s="542"/>
      <c r="D359" s="490"/>
      <c r="E359" s="493"/>
      <c r="F359" s="494"/>
      <c r="G359" s="495"/>
      <c r="H359" s="496"/>
      <c r="I359" s="497"/>
      <c r="J359" s="497"/>
      <c r="K359" s="497"/>
      <c r="L359" s="498"/>
    </row>
    <row r="360" spans="1:12" ht="14.25" customHeight="1">
      <c r="A360" s="524"/>
      <c r="B360" s="525"/>
      <c r="C360" s="526"/>
      <c r="D360" s="528"/>
      <c r="E360" s="492"/>
      <c r="F360" s="494"/>
      <c r="G360" s="495"/>
      <c r="H360" s="485"/>
      <c r="I360" s="486"/>
      <c r="J360" s="486"/>
      <c r="K360" s="486"/>
      <c r="L360" s="487"/>
    </row>
    <row r="361" spans="1:12" ht="14.25" customHeight="1">
      <c r="A361" s="545"/>
      <c r="B361" s="427"/>
      <c r="C361" s="546"/>
      <c r="D361" s="528"/>
      <c r="E361" s="492"/>
      <c r="F361" s="349"/>
      <c r="G361" s="350"/>
      <c r="H361" s="531"/>
      <c r="I361" s="532"/>
      <c r="J361" s="532"/>
      <c r="K361" s="532"/>
      <c r="L361" s="533"/>
    </row>
    <row r="362" spans="1:12" ht="13.5" customHeight="1" thickBot="1">
      <c r="A362" s="534"/>
      <c r="B362" s="535"/>
      <c r="C362" s="536"/>
      <c r="D362" s="543"/>
      <c r="E362" s="544"/>
      <c r="F362" s="307"/>
      <c r="G362" s="308"/>
      <c r="H362" s="547"/>
      <c r="I362" s="548"/>
      <c r="J362" s="548"/>
      <c r="K362" s="548"/>
      <c r="L362" s="549"/>
    </row>
    <row r="363" spans="1:12" ht="15" customHeight="1" thickBot="1">
      <c r="B363" s="13"/>
      <c r="C363" s="13"/>
      <c r="D363" s="313"/>
      <c r="E363" s="314"/>
      <c r="F363" s="315"/>
      <c r="G363" s="71"/>
      <c r="H363" s="311"/>
      <c r="I363" s="311"/>
      <c r="J363" s="311"/>
      <c r="K363" s="311"/>
    </row>
    <row r="364" spans="1:12" ht="27.75" customHeight="1" thickBot="1">
      <c r="A364" s="501" t="s">
        <v>93</v>
      </c>
      <c r="B364" s="502"/>
      <c r="C364" s="503"/>
      <c r="D364" s="504" t="s">
        <v>650</v>
      </c>
      <c r="E364" s="505"/>
      <c r="F364" s="506" t="s">
        <v>651</v>
      </c>
      <c r="G364" s="502"/>
      <c r="H364" s="502"/>
      <c r="I364" s="502"/>
      <c r="J364" s="502"/>
      <c r="K364" s="502"/>
      <c r="L364" s="507"/>
    </row>
    <row r="365" spans="1:12" ht="15" customHeight="1">
      <c r="A365" s="508"/>
      <c r="B365" s="509"/>
      <c r="C365" s="510"/>
      <c r="D365" s="514"/>
      <c r="E365" s="516"/>
      <c r="F365" s="517"/>
      <c r="G365" s="518"/>
      <c r="H365" s="519"/>
      <c r="I365" s="520"/>
      <c r="J365" s="520"/>
      <c r="K365" s="520"/>
      <c r="L365" s="521"/>
    </row>
    <row r="366" spans="1:12" ht="15" customHeight="1">
      <c r="A366" s="511"/>
      <c r="B366" s="512"/>
      <c r="C366" s="513"/>
      <c r="D366" s="515"/>
      <c r="E366" s="493"/>
      <c r="F366" s="347"/>
      <c r="G366" s="348"/>
      <c r="H366" s="485"/>
      <c r="I366" s="486"/>
      <c r="J366" s="486"/>
      <c r="K366" s="486"/>
      <c r="L366" s="487"/>
    </row>
    <row r="367" spans="1:12" ht="15" customHeight="1">
      <c r="A367" s="511"/>
      <c r="B367" s="512"/>
      <c r="C367" s="513"/>
      <c r="D367" s="488"/>
      <c r="E367" s="491"/>
      <c r="F367" s="494"/>
      <c r="G367" s="495"/>
      <c r="H367" s="496"/>
      <c r="I367" s="497"/>
      <c r="J367" s="497"/>
      <c r="K367" s="497"/>
      <c r="L367" s="498"/>
    </row>
    <row r="368" spans="1:12" ht="15" customHeight="1">
      <c r="A368" s="511"/>
      <c r="B368" s="512"/>
      <c r="C368" s="513"/>
      <c r="D368" s="489"/>
      <c r="E368" s="492"/>
      <c r="F368" s="347"/>
      <c r="G368" s="348"/>
      <c r="H368" s="485"/>
      <c r="I368" s="486"/>
      <c r="J368" s="486"/>
      <c r="K368" s="486"/>
      <c r="L368" s="487"/>
    </row>
    <row r="369" spans="1:12">
      <c r="A369" s="522"/>
      <c r="B369" s="419"/>
      <c r="C369" s="523"/>
      <c r="D369" s="490"/>
      <c r="E369" s="493"/>
      <c r="F369" s="494"/>
      <c r="G369" s="495"/>
      <c r="H369" s="496"/>
      <c r="I369" s="497"/>
      <c r="J369" s="497"/>
      <c r="K369" s="497"/>
      <c r="L369" s="498"/>
    </row>
    <row r="370" spans="1:12">
      <c r="A370" s="524"/>
      <c r="B370" s="525"/>
      <c r="C370" s="526"/>
      <c r="D370" s="527"/>
      <c r="E370" s="491"/>
      <c r="F370" s="347"/>
      <c r="G370" s="348"/>
      <c r="H370" s="485"/>
      <c r="I370" s="486"/>
      <c r="J370" s="486"/>
      <c r="K370" s="486"/>
      <c r="L370" s="487"/>
    </row>
    <row r="371" spans="1:12" ht="15" customHeight="1">
      <c r="A371" s="522"/>
      <c r="B371" s="419"/>
      <c r="C371" s="523"/>
      <c r="D371" s="528"/>
      <c r="E371" s="492"/>
      <c r="F371" s="494"/>
      <c r="G371" s="495"/>
      <c r="H371" s="531"/>
      <c r="I371" s="532"/>
      <c r="J371" s="532"/>
      <c r="K371" s="532"/>
      <c r="L371" s="533"/>
    </row>
    <row r="372" spans="1:12" ht="15" customHeight="1" thickBot="1">
      <c r="A372" s="534"/>
      <c r="B372" s="535"/>
      <c r="C372" s="536"/>
      <c r="D372" s="529"/>
      <c r="E372" s="530"/>
      <c r="F372" s="351"/>
      <c r="G372" s="352"/>
      <c r="H372" s="537"/>
      <c r="I372" s="538"/>
      <c r="J372" s="538"/>
      <c r="K372" s="538"/>
      <c r="L372" s="539"/>
    </row>
    <row r="373" spans="1:12" ht="15" customHeight="1">
      <c r="A373" s="508"/>
      <c r="B373" s="509"/>
      <c r="C373" s="510"/>
      <c r="D373" s="514"/>
      <c r="E373" s="516"/>
      <c r="F373" s="517"/>
      <c r="G373" s="518"/>
      <c r="H373" s="519"/>
      <c r="I373" s="520"/>
      <c r="J373" s="520"/>
      <c r="K373" s="520"/>
      <c r="L373" s="521"/>
    </row>
    <row r="374" spans="1:12" ht="15" customHeight="1">
      <c r="A374" s="511"/>
      <c r="B374" s="512"/>
      <c r="C374" s="513"/>
      <c r="D374" s="515"/>
      <c r="E374" s="493"/>
      <c r="F374" s="347"/>
      <c r="G374" s="348"/>
      <c r="H374" s="531"/>
      <c r="I374" s="532"/>
      <c r="J374" s="532"/>
      <c r="K374" s="532"/>
      <c r="L374" s="533"/>
    </row>
    <row r="375" spans="1:12" ht="15" customHeight="1">
      <c r="A375" s="511"/>
      <c r="B375" s="512"/>
      <c r="C375" s="513"/>
      <c r="D375" s="488"/>
      <c r="E375" s="491"/>
      <c r="F375" s="494"/>
      <c r="G375" s="495"/>
      <c r="H375" s="496"/>
      <c r="I375" s="497"/>
      <c r="J375" s="497"/>
      <c r="K375" s="497"/>
      <c r="L375" s="498"/>
    </row>
    <row r="376" spans="1:12" ht="15" customHeight="1">
      <c r="A376" s="511"/>
      <c r="B376" s="512"/>
      <c r="C376" s="513"/>
      <c r="D376" s="489"/>
      <c r="E376" s="492"/>
      <c r="F376" s="347"/>
      <c r="G376" s="348"/>
      <c r="H376" s="485"/>
      <c r="I376" s="486"/>
      <c r="J376" s="486"/>
      <c r="K376" s="486"/>
      <c r="L376" s="487"/>
    </row>
    <row r="377" spans="1:12" ht="15" customHeight="1">
      <c r="A377" s="522"/>
      <c r="B377" s="419"/>
      <c r="C377" s="523"/>
      <c r="D377" s="490"/>
      <c r="E377" s="493"/>
      <c r="F377" s="494"/>
      <c r="G377" s="495"/>
      <c r="H377" s="496"/>
      <c r="I377" s="497"/>
      <c r="J377" s="497"/>
      <c r="K377" s="497"/>
      <c r="L377" s="498"/>
    </row>
    <row r="378" spans="1:12" ht="15" customHeight="1">
      <c r="A378" s="524"/>
      <c r="B378" s="525"/>
      <c r="C378" s="526"/>
      <c r="D378" s="527"/>
      <c r="E378" s="491"/>
      <c r="F378" s="347"/>
      <c r="G378" s="348"/>
      <c r="H378" s="485"/>
      <c r="I378" s="486"/>
      <c r="J378" s="486"/>
      <c r="K378" s="486"/>
      <c r="L378" s="487"/>
    </row>
    <row r="379" spans="1:12" ht="15" customHeight="1">
      <c r="A379" s="522"/>
      <c r="B379" s="419"/>
      <c r="C379" s="523"/>
      <c r="D379" s="528"/>
      <c r="E379" s="492"/>
      <c r="F379" s="494"/>
      <c r="G379" s="495"/>
      <c r="H379" s="531"/>
      <c r="I379" s="532"/>
      <c r="J379" s="532"/>
      <c r="K379" s="532"/>
      <c r="L379" s="533"/>
    </row>
    <row r="380" spans="1:12" ht="15" customHeight="1" thickBot="1">
      <c r="A380" s="534"/>
      <c r="B380" s="535"/>
      <c r="C380" s="536"/>
      <c r="D380" s="529"/>
      <c r="E380" s="530"/>
      <c r="F380" s="351"/>
      <c r="G380" s="352"/>
      <c r="H380" s="537"/>
      <c r="I380" s="538"/>
      <c r="J380" s="538"/>
      <c r="K380" s="538"/>
      <c r="L380" s="539"/>
    </row>
    <row r="381" spans="1:12" ht="15" customHeight="1">
      <c r="A381" s="508"/>
      <c r="B381" s="509"/>
      <c r="C381" s="510"/>
      <c r="D381" s="514"/>
      <c r="E381" s="516"/>
      <c r="F381" s="517"/>
      <c r="G381" s="518"/>
      <c r="H381" s="519"/>
      <c r="I381" s="520"/>
      <c r="J381" s="520"/>
      <c r="K381" s="520"/>
      <c r="L381" s="521"/>
    </row>
    <row r="382" spans="1:12" ht="15" customHeight="1">
      <c r="A382" s="511"/>
      <c r="B382" s="512"/>
      <c r="C382" s="513"/>
      <c r="D382" s="515"/>
      <c r="E382" s="493"/>
      <c r="F382" s="347"/>
      <c r="G382" s="348"/>
      <c r="H382" s="531"/>
      <c r="I382" s="532"/>
      <c r="J382" s="532"/>
      <c r="K382" s="532"/>
      <c r="L382" s="533"/>
    </row>
    <row r="383" spans="1:12" ht="15" customHeight="1">
      <c r="A383" s="511"/>
      <c r="B383" s="512"/>
      <c r="C383" s="513"/>
      <c r="D383" s="488"/>
      <c r="E383" s="491"/>
      <c r="F383" s="494"/>
      <c r="G383" s="495"/>
      <c r="H383" s="496"/>
      <c r="I383" s="497"/>
      <c r="J383" s="497"/>
      <c r="K383" s="497"/>
      <c r="L383" s="498"/>
    </row>
    <row r="384" spans="1:12" ht="15" customHeight="1">
      <c r="A384" s="511"/>
      <c r="B384" s="512"/>
      <c r="C384" s="513"/>
      <c r="D384" s="489"/>
      <c r="E384" s="492"/>
      <c r="F384" s="347"/>
      <c r="G384" s="348"/>
      <c r="H384" s="485"/>
      <c r="I384" s="486"/>
      <c r="J384" s="486"/>
      <c r="K384" s="486"/>
      <c r="L384" s="487"/>
    </row>
    <row r="385" spans="1:12" ht="15" customHeight="1">
      <c r="A385" s="522"/>
      <c r="B385" s="419"/>
      <c r="C385" s="523"/>
      <c r="D385" s="490"/>
      <c r="E385" s="493"/>
      <c r="F385" s="494"/>
      <c r="G385" s="495"/>
      <c r="H385" s="496"/>
      <c r="I385" s="497"/>
      <c r="J385" s="497"/>
      <c r="K385" s="497"/>
      <c r="L385" s="498"/>
    </row>
    <row r="386" spans="1:12" ht="15" customHeight="1">
      <c r="A386" s="524"/>
      <c r="B386" s="525"/>
      <c r="C386" s="526"/>
      <c r="D386" s="527"/>
      <c r="E386" s="491"/>
      <c r="F386" s="347"/>
      <c r="G386" s="348"/>
      <c r="H386" s="485"/>
      <c r="I386" s="486"/>
      <c r="J386" s="486"/>
      <c r="K386" s="486"/>
      <c r="L386" s="487"/>
    </row>
    <row r="387" spans="1:12" ht="15" customHeight="1">
      <c r="A387" s="522"/>
      <c r="B387" s="419"/>
      <c r="C387" s="523"/>
      <c r="D387" s="528"/>
      <c r="E387" s="492"/>
      <c r="F387" s="494"/>
      <c r="G387" s="495"/>
      <c r="H387" s="531"/>
      <c r="I387" s="532"/>
      <c r="J387" s="532"/>
      <c r="K387" s="532"/>
      <c r="L387" s="533"/>
    </row>
    <row r="388" spans="1:12" ht="15" customHeight="1" thickBot="1">
      <c r="A388" s="534"/>
      <c r="B388" s="535"/>
      <c r="C388" s="536"/>
      <c r="D388" s="529"/>
      <c r="E388" s="530"/>
      <c r="F388" s="351"/>
      <c r="G388" s="352"/>
      <c r="H388" s="537"/>
      <c r="I388" s="538"/>
      <c r="J388" s="538"/>
      <c r="K388" s="538"/>
      <c r="L388" s="539"/>
    </row>
    <row r="389" spans="1:12" ht="15" customHeight="1">
      <c r="A389" s="508"/>
      <c r="B389" s="509"/>
      <c r="C389" s="510"/>
      <c r="D389" s="514"/>
      <c r="E389" s="516"/>
      <c r="F389" s="517"/>
      <c r="G389" s="518"/>
      <c r="H389" s="519"/>
      <c r="I389" s="520"/>
      <c r="J389" s="520"/>
      <c r="K389" s="520"/>
      <c r="L389" s="521"/>
    </row>
    <row r="390" spans="1:12" ht="15" customHeight="1">
      <c r="A390" s="511"/>
      <c r="B390" s="512"/>
      <c r="C390" s="513"/>
      <c r="D390" s="515"/>
      <c r="E390" s="493"/>
      <c r="F390" s="347"/>
      <c r="G390" s="348"/>
      <c r="H390" s="531"/>
      <c r="I390" s="532"/>
      <c r="J390" s="532"/>
      <c r="K390" s="532"/>
      <c r="L390" s="533"/>
    </row>
    <row r="391" spans="1:12" ht="15" customHeight="1">
      <c r="A391" s="511"/>
      <c r="B391" s="512"/>
      <c r="C391" s="513"/>
      <c r="D391" s="488"/>
      <c r="E391" s="491"/>
      <c r="F391" s="494"/>
      <c r="G391" s="495"/>
      <c r="H391" s="496"/>
      <c r="I391" s="497"/>
      <c r="J391" s="497"/>
      <c r="K391" s="497"/>
      <c r="L391" s="498"/>
    </row>
    <row r="392" spans="1:12" ht="15" customHeight="1">
      <c r="A392" s="511"/>
      <c r="B392" s="512"/>
      <c r="C392" s="513"/>
      <c r="D392" s="489"/>
      <c r="E392" s="492"/>
      <c r="F392" s="347"/>
      <c r="G392" s="348"/>
      <c r="H392" s="485"/>
      <c r="I392" s="486"/>
      <c r="J392" s="486"/>
      <c r="K392" s="486"/>
      <c r="L392" s="487"/>
    </row>
    <row r="393" spans="1:12" ht="15" customHeight="1">
      <c r="A393" s="522"/>
      <c r="B393" s="419"/>
      <c r="C393" s="523"/>
      <c r="D393" s="490"/>
      <c r="E393" s="493"/>
      <c r="F393" s="494"/>
      <c r="G393" s="495"/>
      <c r="H393" s="496"/>
      <c r="I393" s="497"/>
      <c r="J393" s="497"/>
      <c r="K393" s="497"/>
      <c r="L393" s="498"/>
    </row>
    <row r="394" spans="1:12" ht="15" customHeight="1">
      <c r="A394" s="524"/>
      <c r="B394" s="525"/>
      <c r="C394" s="526"/>
      <c r="D394" s="527"/>
      <c r="E394" s="491"/>
      <c r="F394" s="347"/>
      <c r="G394" s="348"/>
      <c r="H394" s="485"/>
      <c r="I394" s="486"/>
      <c r="J394" s="486"/>
      <c r="K394" s="486"/>
      <c r="L394" s="487"/>
    </row>
    <row r="395" spans="1:12" ht="15" customHeight="1">
      <c r="A395" s="522"/>
      <c r="B395" s="419"/>
      <c r="C395" s="523"/>
      <c r="D395" s="528"/>
      <c r="E395" s="492"/>
      <c r="F395" s="494"/>
      <c r="G395" s="495"/>
      <c r="H395" s="531"/>
      <c r="I395" s="532"/>
      <c r="J395" s="532"/>
      <c r="K395" s="532"/>
      <c r="L395" s="533"/>
    </row>
    <row r="396" spans="1:12" ht="15" customHeight="1" thickBot="1">
      <c r="A396" s="534"/>
      <c r="B396" s="535"/>
      <c r="C396" s="536"/>
      <c r="D396" s="529"/>
      <c r="E396" s="530"/>
      <c r="F396" s="351"/>
      <c r="G396" s="352"/>
      <c r="H396" s="537"/>
      <c r="I396" s="538"/>
      <c r="J396" s="538"/>
      <c r="K396" s="538"/>
      <c r="L396" s="539"/>
    </row>
    <row r="397" spans="1:12" ht="15" customHeight="1">
      <c r="A397" s="508"/>
      <c r="B397" s="509"/>
      <c r="C397" s="510"/>
      <c r="D397" s="514"/>
      <c r="E397" s="516"/>
      <c r="F397" s="517"/>
      <c r="G397" s="518"/>
      <c r="H397" s="519"/>
      <c r="I397" s="520"/>
      <c r="J397" s="520"/>
      <c r="K397" s="520"/>
      <c r="L397" s="521"/>
    </row>
    <row r="398" spans="1:12" ht="15" customHeight="1">
      <c r="A398" s="511"/>
      <c r="B398" s="512"/>
      <c r="C398" s="513"/>
      <c r="D398" s="515"/>
      <c r="E398" s="493"/>
      <c r="F398" s="347"/>
      <c r="G398" s="348"/>
      <c r="H398" s="531"/>
      <c r="I398" s="532"/>
      <c r="J398" s="532"/>
      <c r="K398" s="532"/>
      <c r="L398" s="533"/>
    </row>
    <row r="399" spans="1:12" ht="15" customHeight="1">
      <c r="A399" s="511"/>
      <c r="B399" s="512"/>
      <c r="C399" s="513"/>
      <c r="D399" s="488"/>
      <c r="E399" s="491"/>
      <c r="F399" s="494"/>
      <c r="G399" s="495"/>
      <c r="H399" s="496"/>
      <c r="I399" s="497"/>
      <c r="J399" s="497"/>
      <c r="K399" s="497"/>
      <c r="L399" s="498"/>
    </row>
    <row r="400" spans="1:12" ht="15" customHeight="1">
      <c r="A400" s="511"/>
      <c r="B400" s="512"/>
      <c r="C400" s="513"/>
      <c r="D400" s="489"/>
      <c r="E400" s="492"/>
      <c r="F400" s="347"/>
      <c r="G400" s="348"/>
      <c r="H400" s="485"/>
      <c r="I400" s="486"/>
      <c r="J400" s="486"/>
      <c r="K400" s="486"/>
      <c r="L400" s="487"/>
    </row>
    <row r="401" spans="1:12" ht="15" customHeight="1">
      <c r="A401" s="522"/>
      <c r="B401" s="419"/>
      <c r="C401" s="523"/>
      <c r="D401" s="490"/>
      <c r="E401" s="493"/>
      <c r="F401" s="494"/>
      <c r="G401" s="495"/>
      <c r="H401" s="496"/>
      <c r="I401" s="497"/>
      <c r="J401" s="497"/>
      <c r="K401" s="497"/>
      <c r="L401" s="498"/>
    </row>
    <row r="402" spans="1:12" ht="15" customHeight="1">
      <c r="A402" s="524"/>
      <c r="B402" s="525"/>
      <c r="C402" s="526"/>
      <c r="D402" s="527"/>
      <c r="E402" s="491"/>
      <c r="F402" s="347"/>
      <c r="G402" s="348"/>
      <c r="H402" s="485"/>
      <c r="I402" s="486"/>
      <c r="J402" s="486"/>
      <c r="K402" s="486"/>
      <c r="L402" s="487"/>
    </row>
    <row r="403" spans="1:12" ht="15" customHeight="1">
      <c r="A403" s="522"/>
      <c r="B403" s="419"/>
      <c r="C403" s="523"/>
      <c r="D403" s="528"/>
      <c r="E403" s="492"/>
      <c r="F403" s="494"/>
      <c r="G403" s="495"/>
      <c r="H403" s="531"/>
      <c r="I403" s="532"/>
      <c r="J403" s="532"/>
      <c r="K403" s="532"/>
      <c r="L403" s="533"/>
    </row>
    <row r="404" spans="1:12" ht="15" customHeight="1" thickBot="1">
      <c r="A404" s="534"/>
      <c r="B404" s="535"/>
      <c r="C404" s="536"/>
      <c r="D404" s="529"/>
      <c r="E404" s="530"/>
      <c r="F404" s="351"/>
      <c r="G404" s="352"/>
      <c r="H404" s="537"/>
      <c r="I404" s="538"/>
      <c r="J404" s="538"/>
      <c r="K404" s="538"/>
      <c r="L404" s="539"/>
    </row>
    <row r="405" spans="1:12" ht="15" customHeight="1">
      <c r="A405" s="508"/>
      <c r="B405" s="509"/>
      <c r="C405" s="510"/>
      <c r="D405" s="514"/>
      <c r="E405" s="516"/>
      <c r="F405" s="517"/>
      <c r="G405" s="518"/>
      <c r="H405" s="519"/>
      <c r="I405" s="520"/>
      <c r="J405" s="520"/>
      <c r="K405" s="520"/>
      <c r="L405" s="521"/>
    </row>
    <row r="406" spans="1:12" ht="13.5" customHeight="1">
      <c r="A406" s="511"/>
      <c r="B406" s="512"/>
      <c r="C406" s="513"/>
      <c r="D406" s="515"/>
      <c r="E406" s="493"/>
      <c r="F406" s="347"/>
      <c r="G406" s="348"/>
      <c r="H406" s="531"/>
      <c r="I406" s="532"/>
      <c r="J406" s="532"/>
      <c r="K406" s="532"/>
      <c r="L406" s="533"/>
    </row>
    <row r="407" spans="1:12" ht="13.5" customHeight="1">
      <c r="A407" s="511"/>
      <c r="B407" s="512"/>
      <c r="C407" s="513"/>
      <c r="D407" s="488"/>
      <c r="E407" s="491"/>
      <c r="F407" s="494"/>
      <c r="G407" s="495"/>
      <c r="H407" s="496"/>
      <c r="I407" s="497"/>
      <c r="J407" s="497"/>
      <c r="K407" s="497"/>
      <c r="L407" s="498"/>
    </row>
    <row r="408" spans="1:12" ht="15.75" customHeight="1">
      <c r="A408" s="511"/>
      <c r="B408" s="512"/>
      <c r="C408" s="513"/>
      <c r="D408" s="489"/>
      <c r="E408" s="492"/>
      <c r="F408" s="347"/>
      <c r="G408" s="348"/>
      <c r="H408" s="485"/>
      <c r="I408" s="486"/>
      <c r="J408" s="486"/>
      <c r="K408" s="486"/>
      <c r="L408" s="487"/>
    </row>
    <row r="409" spans="1:12" ht="15.75" customHeight="1">
      <c r="A409" s="540"/>
      <c r="B409" s="541"/>
      <c r="C409" s="542"/>
      <c r="D409" s="490"/>
      <c r="E409" s="493"/>
      <c r="F409" s="494"/>
      <c r="G409" s="495"/>
      <c r="H409" s="496"/>
      <c r="I409" s="497"/>
      <c r="J409" s="497"/>
      <c r="K409" s="497"/>
      <c r="L409" s="498"/>
    </row>
    <row r="410" spans="1:12" ht="14.25" customHeight="1">
      <c r="A410" s="524"/>
      <c r="B410" s="525"/>
      <c r="C410" s="526"/>
      <c r="D410" s="528"/>
      <c r="E410" s="492"/>
      <c r="F410" s="494"/>
      <c r="G410" s="495"/>
      <c r="H410" s="485"/>
      <c r="I410" s="486"/>
      <c r="J410" s="486"/>
      <c r="K410" s="486"/>
      <c r="L410" s="487"/>
    </row>
    <row r="411" spans="1:12" ht="14.25" customHeight="1">
      <c r="A411" s="545"/>
      <c r="B411" s="427"/>
      <c r="C411" s="546"/>
      <c r="D411" s="528"/>
      <c r="E411" s="492"/>
      <c r="F411" s="349"/>
      <c r="G411" s="350"/>
      <c r="H411" s="531"/>
      <c r="I411" s="532"/>
      <c r="J411" s="532"/>
      <c r="K411" s="532"/>
      <c r="L411" s="533"/>
    </row>
    <row r="412" spans="1:12" ht="13.5" customHeight="1" thickBot="1">
      <c r="A412" s="534"/>
      <c r="B412" s="535"/>
      <c r="C412" s="536"/>
      <c r="D412" s="543"/>
      <c r="E412" s="544"/>
      <c r="F412" s="307"/>
      <c r="G412" s="308"/>
      <c r="H412" s="547"/>
      <c r="I412" s="548"/>
      <c r="J412" s="548"/>
      <c r="K412" s="548"/>
      <c r="L412" s="549"/>
    </row>
    <row r="413" spans="1:12" ht="15" customHeight="1">
      <c r="B413" s="13"/>
      <c r="C413" s="13"/>
      <c r="D413" s="313"/>
      <c r="E413" s="314"/>
      <c r="F413" s="315"/>
      <c r="G413" s="71"/>
      <c r="H413" s="311"/>
      <c r="I413" s="311"/>
      <c r="J413" s="311"/>
      <c r="K413" s="311"/>
    </row>
    <row r="414" spans="1:12">
      <c r="A414" s="500" t="s">
        <v>94</v>
      </c>
      <c r="B414" s="500"/>
      <c r="C414" s="500"/>
      <c r="D414" s="500"/>
      <c r="E414" s="500"/>
      <c r="F414" s="500"/>
      <c r="G414" s="500"/>
      <c r="H414" s="500"/>
      <c r="I414" s="500"/>
      <c r="J414" s="500"/>
      <c r="K414" s="500"/>
      <c r="L414" s="500"/>
    </row>
    <row r="415" spans="1:12" ht="9" customHeight="1" thickBot="1"/>
    <row r="416" spans="1:12" ht="25.5" customHeight="1" thickBot="1">
      <c r="A416" s="550" t="s">
        <v>581</v>
      </c>
      <c r="B416" s="551"/>
      <c r="C416" s="552"/>
      <c r="D416" s="553" t="s">
        <v>601</v>
      </c>
      <c r="E416" s="552"/>
      <c r="F416" s="554" t="s">
        <v>659</v>
      </c>
      <c r="G416" s="555"/>
      <c r="H416" s="555"/>
      <c r="I416" s="555"/>
      <c r="J416" s="555"/>
      <c r="K416" s="555"/>
      <c r="L416" s="556"/>
    </row>
    <row r="417" spans="1:12" ht="14.25" customHeight="1">
      <c r="A417" s="508"/>
      <c r="B417" s="509"/>
      <c r="C417" s="510"/>
      <c r="D417" s="514"/>
      <c r="E417" s="516"/>
      <c r="F417" s="517"/>
      <c r="G417" s="518"/>
      <c r="H417" s="519"/>
      <c r="I417" s="520"/>
      <c r="J417" s="520"/>
      <c r="K417" s="520"/>
      <c r="L417" s="521"/>
    </row>
    <row r="418" spans="1:12" ht="13.5" customHeight="1">
      <c r="A418" s="511"/>
      <c r="B418" s="512"/>
      <c r="C418" s="513"/>
      <c r="D418" s="515"/>
      <c r="E418" s="493"/>
      <c r="F418" s="347"/>
      <c r="G418" s="348"/>
      <c r="H418" s="531"/>
      <c r="I418" s="532"/>
      <c r="J418" s="532"/>
      <c r="K418" s="532"/>
      <c r="L418" s="533"/>
    </row>
    <row r="419" spans="1:12" ht="13.5" customHeight="1">
      <c r="A419" s="511"/>
      <c r="B419" s="512"/>
      <c r="C419" s="513"/>
      <c r="D419" s="488"/>
      <c r="E419" s="491"/>
      <c r="F419" s="494"/>
      <c r="G419" s="495"/>
      <c r="H419" s="496"/>
      <c r="I419" s="497"/>
      <c r="J419" s="497"/>
      <c r="K419" s="497"/>
      <c r="L419" s="498"/>
    </row>
    <row r="420" spans="1:12" ht="13.5" customHeight="1">
      <c r="A420" s="511"/>
      <c r="B420" s="512"/>
      <c r="C420" s="513"/>
      <c r="D420" s="489"/>
      <c r="E420" s="492"/>
      <c r="F420" s="347"/>
      <c r="G420" s="348"/>
      <c r="H420" s="485"/>
      <c r="I420" s="486"/>
      <c r="J420" s="486"/>
      <c r="K420" s="486"/>
      <c r="L420" s="487"/>
    </row>
    <row r="421" spans="1:12" ht="16.5" customHeight="1">
      <c r="A421" s="522"/>
      <c r="B421" s="419"/>
      <c r="C421" s="523"/>
      <c r="D421" s="490"/>
      <c r="E421" s="493"/>
      <c r="F421" s="494"/>
      <c r="G421" s="495"/>
      <c r="H421" s="496"/>
      <c r="I421" s="497"/>
      <c r="J421" s="497"/>
      <c r="K421" s="497"/>
      <c r="L421" s="498"/>
    </row>
    <row r="422" spans="1:12" ht="13.5" customHeight="1">
      <c r="A422" s="524"/>
      <c r="B422" s="525"/>
      <c r="C422" s="526"/>
      <c r="D422" s="527"/>
      <c r="E422" s="491"/>
      <c r="F422" s="347"/>
      <c r="G422" s="348"/>
      <c r="H422" s="485"/>
      <c r="I422" s="486"/>
      <c r="J422" s="486"/>
      <c r="K422" s="486"/>
      <c r="L422" s="487"/>
    </row>
    <row r="423" spans="1:12" ht="15" customHeight="1">
      <c r="A423" s="557"/>
      <c r="B423" s="426"/>
      <c r="C423" s="558"/>
      <c r="D423" s="528"/>
      <c r="E423" s="492"/>
      <c r="F423" s="494"/>
      <c r="G423" s="495"/>
      <c r="H423" s="531"/>
      <c r="I423" s="532"/>
      <c r="J423" s="532"/>
      <c r="K423" s="532"/>
      <c r="L423" s="533"/>
    </row>
    <row r="424" spans="1:12" ht="17.25" customHeight="1" thickBot="1">
      <c r="A424" s="534"/>
      <c r="B424" s="535"/>
      <c r="C424" s="536"/>
      <c r="D424" s="529"/>
      <c r="E424" s="530"/>
      <c r="F424" s="351"/>
      <c r="G424" s="352"/>
      <c r="H424" s="537"/>
      <c r="I424" s="538"/>
      <c r="J424" s="538"/>
      <c r="K424" s="538"/>
      <c r="L424" s="539"/>
    </row>
    <row r="425" spans="1:12" ht="15.75" customHeight="1">
      <c r="A425" s="508"/>
      <c r="B425" s="509"/>
      <c r="C425" s="510"/>
      <c r="D425" s="514"/>
      <c r="E425" s="516"/>
      <c r="F425" s="517"/>
      <c r="G425" s="518"/>
      <c r="H425" s="519"/>
      <c r="I425" s="520"/>
      <c r="J425" s="520"/>
      <c r="K425" s="520"/>
      <c r="L425" s="521"/>
    </row>
    <row r="426" spans="1:12" ht="17.25" customHeight="1">
      <c r="A426" s="511"/>
      <c r="B426" s="512"/>
      <c r="C426" s="513"/>
      <c r="D426" s="515"/>
      <c r="E426" s="493"/>
      <c r="F426" s="347"/>
      <c r="G426" s="348"/>
      <c r="H426" s="531"/>
      <c r="I426" s="532"/>
      <c r="J426" s="532"/>
      <c r="K426" s="532"/>
      <c r="L426" s="533"/>
    </row>
    <row r="427" spans="1:12" ht="12.75" customHeight="1">
      <c r="A427" s="511"/>
      <c r="B427" s="512"/>
      <c r="C427" s="513"/>
      <c r="D427" s="488"/>
      <c r="E427" s="491"/>
      <c r="F427" s="494"/>
      <c r="G427" s="495"/>
      <c r="H427" s="496"/>
      <c r="I427" s="497"/>
      <c r="J427" s="497"/>
      <c r="K427" s="497"/>
      <c r="L427" s="498"/>
    </row>
    <row r="428" spans="1:12" ht="15.75" customHeight="1">
      <c r="A428" s="511"/>
      <c r="B428" s="512"/>
      <c r="C428" s="513"/>
      <c r="D428" s="489"/>
      <c r="E428" s="492"/>
      <c r="F428" s="347"/>
      <c r="G428" s="348"/>
      <c r="H428" s="485"/>
      <c r="I428" s="486"/>
      <c r="J428" s="486"/>
      <c r="K428" s="486"/>
      <c r="L428" s="487"/>
    </row>
    <row r="429" spans="1:12" ht="12.75" customHeight="1">
      <c r="A429" s="522"/>
      <c r="B429" s="419"/>
      <c r="C429" s="523"/>
      <c r="D429" s="490"/>
      <c r="E429" s="493"/>
      <c r="F429" s="494"/>
      <c r="G429" s="495"/>
      <c r="H429" s="496"/>
      <c r="I429" s="497"/>
      <c r="J429" s="497"/>
      <c r="K429" s="497"/>
      <c r="L429" s="498"/>
    </row>
    <row r="430" spans="1:12" ht="17.25" customHeight="1">
      <c r="A430" s="524"/>
      <c r="B430" s="525"/>
      <c r="C430" s="526"/>
      <c r="D430" s="527"/>
      <c r="E430" s="491"/>
      <c r="F430" s="347"/>
      <c r="G430" s="348"/>
      <c r="H430" s="485"/>
      <c r="I430" s="486"/>
      <c r="J430" s="486"/>
      <c r="K430" s="486"/>
      <c r="L430" s="487"/>
    </row>
    <row r="431" spans="1:12" ht="13.5" customHeight="1">
      <c r="A431" s="557"/>
      <c r="B431" s="426"/>
      <c r="C431" s="558"/>
      <c r="D431" s="528"/>
      <c r="E431" s="492"/>
      <c r="F431" s="494"/>
      <c r="G431" s="495"/>
      <c r="H431" s="531"/>
      <c r="I431" s="532"/>
      <c r="J431" s="532"/>
      <c r="K431" s="532"/>
      <c r="L431" s="533"/>
    </row>
    <row r="432" spans="1:12" ht="15.75" customHeight="1" thickBot="1">
      <c r="A432" s="534"/>
      <c r="B432" s="535"/>
      <c r="C432" s="536"/>
      <c r="D432" s="529"/>
      <c r="E432" s="530"/>
      <c r="F432" s="351"/>
      <c r="G432" s="352"/>
      <c r="H432" s="537"/>
      <c r="I432" s="538"/>
      <c r="J432" s="538"/>
      <c r="K432" s="538"/>
      <c r="L432" s="539"/>
    </row>
    <row r="433" spans="1:12" ht="13.5" customHeight="1">
      <c r="A433" s="508"/>
      <c r="B433" s="509"/>
      <c r="C433" s="510"/>
      <c r="D433" s="514"/>
      <c r="E433" s="516"/>
      <c r="F433" s="517"/>
      <c r="G433" s="518"/>
      <c r="H433" s="519"/>
      <c r="I433" s="520"/>
      <c r="J433" s="520"/>
      <c r="K433" s="520"/>
      <c r="L433" s="521"/>
    </row>
    <row r="434" spans="1:12" ht="15.75" customHeight="1">
      <c r="A434" s="511"/>
      <c r="B434" s="512"/>
      <c r="C434" s="513"/>
      <c r="D434" s="515"/>
      <c r="E434" s="493"/>
      <c r="F434" s="347"/>
      <c r="G434" s="348"/>
      <c r="H434" s="531"/>
      <c r="I434" s="532"/>
      <c r="J434" s="532"/>
      <c r="K434" s="532"/>
      <c r="L434" s="533"/>
    </row>
    <row r="435" spans="1:12" ht="15.75" customHeight="1">
      <c r="A435" s="511"/>
      <c r="B435" s="512"/>
      <c r="C435" s="513"/>
      <c r="D435" s="488"/>
      <c r="E435" s="491"/>
      <c r="F435" s="494"/>
      <c r="G435" s="495"/>
      <c r="H435" s="496"/>
      <c r="I435" s="497"/>
      <c r="J435" s="497"/>
      <c r="K435" s="497"/>
      <c r="L435" s="498"/>
    </row>
    <row r="436" spans="1:12" ht="18" customHeight="1">
      <c r="A436" s="511"/>
      <c r="B436" s="512"/>
      <c r="C436" s="513"/>
      <c r="D436" s="489"/>
      <c r="E436" s="492"/>
      <c r="F436" s="347"/>
      <c r="G436" s="348"/>
      <c r="H436" s="485"/>
      <c r="I436" s="486"/>
      <c r="J436" s="486"/>
      <c r="K436" s="486"/>
      <c r="L436" s="487"/>
    </row>
    <row r="437" spans="1:12" ht="13.5" customHeight="1">
      <c r="A437" s="522"/>
      <c r="B437" s="419"/>
      <c r="C437" s="523"/>
      <c r="D437" s="490"/>
      <c r="E437" s="493"/>
      <c r="F437" s="494"/>
      <c r="G437" s="495"/>
      <c r="H437" s="496"/>
      <c r="I437" s="497"/>
      <c r="J437" s="497"/>
      <c r="K437" s="497"/>
      <c r="L437" s="498"/>
    </row>
    <row r="438" spans="1:12" ht="14.25" customHeight="1">
      <c r="A438" s="524"/>
      <c r="B438" s="525"/>
      <c r="C438" s="526"/>
      <c r="D438" s="527"/>
      <c r="E438" s="491"/>
      <c r="F438" s="347"/>
      <c r="G438" s="348"/>
      <c r="H438" s="485"/>
      <c r="I438" s="486"/>
      <c r="J438" s="486"/>
      <c r="K438" s="486"/>
      <c r="L438" s="487"/>
    </row>
    <row r="439" spans="1:12" ht="14.25" customHeight="1">
      <c r="A439" s="557"/>
      <c r="B439" s="426"/>
      <c r="C439" s="558"/>
      <c r="D439" s="528"/>
      <c r="E439" s="492"/>
      <c r="F439" s="494"/>
      <c r="G439" s="495"/>
      <c r="H439" s="531"/>
      <c r="I439" s="532"/>
      <c r="J439" s="532"/>
      <c r="K439" s="532"/>
      <c r="L439" s="533"/>
    </row>
    <row r="440" spans="1:12" ht="15" customHeight="1" thickBot="1">
      <c r="A440" s="534"/>
      <c r="B440" s="535"/>
      <c r="C440" s="536"/>
      <c r="D440" s="529"/>
      <c r="E440" s="530"/>
      <c r="F440" s="351"/>
      <c r="G440" s="352"/>
      <c r="H440" s="537"/>
      <c r="I440" s="538"/>
      <c r="J440" s="538"/>
      <c r="K440" s="538"/>
      <c r="L440" s="539"/>
    </row>
    <row r="441" spans="1:12" ht="14.25" customHeight="1">
      <c r="A441" s="508"/>
      <c r="B441" s="509"/>
      <c r="C441" s="510"/>
      <c r="D441" s="514"/>
      <c r="E441" s="516"/>
      <c r="F441" s="517"/>
      <c r="G441" s="518"/>
      <c r="H441" s="519"/>
      <c r="I441" s="520"/>
      <c r="J441" s="520"/>
      <c r="K441" s="520"/>
      <c r="L441" s="521"/>
    </row>
    <row r="442" spans="1:12" ht="17.25" customHeight="1">
      <c r="A442" s="511"/>
      <c r="B442" s="512"/>
      <c r="C442" s="513"/>
      <c r="D442" s="515"/>
      <c r="E442" s="493"/>
      <c r="F442" s="347"/>
      <c r="G442" s="348"/>
      <c r="H442" s="531"/>
      <c r="I442" s="532"/>
      <c r="J442" s="532"/>
      <c r="K442" s="532"/>
      <c r="L442" s="533"/>
    </row>
    <row r="443" spans="1:12" ht="12.75" customHeight="1">
      <c r="A443" s="511"/>
      <c r="B443" s="512"/>
      <c r="C443" s="513"/>
      <c r="D443" s="488"/>
      <c r="E443" s="491"/>
      <c r="F443" s="494"/>
      <c r="G443" s="495"/>
      <c r="H443" s="496"/>
      <c r="I443" s="497"/>
      <c r="J443" s="497"/>
      <c r="K443" s="497"/>
      <c r="L443" s="498"/>
    </row>
    <row r="444" spans="1:12" ht="15.75" customHeight="1">
      <c r="A444" s="511"/>
      <c r="B444" s="512"/>
      <c r="C444" s="513"/>
      <c r="D444" s="489"/>
      <c r="E444" s="492"/>
      <c r="F444" s="347"/>
      <c r="G444" s="348"/>
      <c r="H444" s="485"/>
      <c r="I444" s="486"/>
      <c r="J444" s="486"/>
      <c r="K444" s="486"/>
      <c r="L444" s="487"/>
    </row>
    <row r="445" spans="1:12" ht="12.75" customHeight="1">
      <c r="A445" s="522"/>
      <c r="B445" s="419"/>
      <c r="C445" s="523"/>
      <c r="D445" s="490"/>
      <c r="E445" s="493"/>
      <c r="F445" s="494"/>
      <c r="G445" s="495"/>
      <c r="H445" s="496"/>
      <c r="I445" s="497"/>
      <c r="J445" s="497"/>
      <c r="K445" s="497"/>
      <c r="L445" s="498"/>
    </row>
    <row r="446" spans="1:12" ht="15.75" customHeight="1">
      <c r="A446" s="524"/>
      <c r="B446" s="525"/>
      <c r="C446" s="526"/>
      <c r="D446" s="527"/>
      <c r="E446" s="491"/>
      <c r="F446" s="347"/>
      <c r="G446" s="348"/>
      <c r="H446" s="485"/>
      <c r="I446" s="486"/>
      <c r="J446" s="486"/>
      <c r="K446" s="486"/>
      <c r="L446" s="487"/>
    </row>
    <row r="447" spans="1:12" ht="12" customHeight="1">
      <c r="A447" s="557"/>
      <c r="B447" s="426"/>
      <c r="C447" s="558"/>
      <c r="D447" s="528"/>
      <c r="E447" s="492"/>
      <c r="F447" s="494"/>
      <c r="G447" s="495"/>
      <c r="H447" s="531"/>
      <c r="I447" s="532"/>
      <c r="J447" s="532"/>
      <c r="K447" s="532"/>
      <c r="L447" s="533"/>
    </row>
    <row r="448" spans="1:12" ht="21" customHeight="1" thickBot="1">
      <c r="A448" s="534"/>
      <c r="B448" s="535"/>
      <c r="C448" s="536"/>
      <c r="D448" s="529"/>
      <c r="E448" s="530"/>
      <c r="F448" s="351"/>
      <c r="G448" s="352"/>
      <c r="H448" s="537"/>
      <c r="I448" s="538"/>
      <c r="J448" s="538"/>
      <c r="K448" s="538"/>
      <c r="L448" s="539"/>
    </row>
    <row r="449" spans="1:12" ht="15" customHeight="1">
      <c r="A449" s="508"/>
      <c r="B449" s="509"/>
      <c r="C449" s="510"/>
      <c r="D449" s="514"/>
      <c r="E449" s="516"/>
      <c r="F449" s="517"/>
      <c r="G449" s="518"/>
      <c r="H449" s="519"/>
      <c r="I449" s="520"/>
      <c r="J449" s="520"/>
      <c r="K449" s="520"/>
      <c r="L449" s="521"/>
    </row>
    <row r="450" spans="1:12" ht="15" customHeight="1">
      <c r="A450" s="511"/>
      <c r="B450" s="512"/>
      <c r="C450" s="513"/>
      <c r="D450" s="515"/>
      <c r="E450" s="493"/>
      <c r="F450" s="347"/>
      <c r="G450" s="348"/>
      <c r="H450" s="531"/>
      <c r="I450" s="532"/>
      <c r="J450" s="532"/>
      <c r="K450" s="532"/>
      <c r="L450" s="533"/>
    </row>
    <row r="451" spans="1:12" ht="15" customHeight="1">
      <c r="A451" s="511"/>
      <c r="B451" s="512"/>
      <c r="C451" s="513"/>
      <c r="D451" s="488"/>
      <c r="E451" s="491"/>
      <c r="F451" s="494"/>
      <c r="G451" s="495"/>
      <c r="H451" s="496"/>
      <c r="I451" s="497"/>
      <c r="J451" s="497"/>
      <c r="K451" s="497"/>
      <c r="L451" s="498"/>
    </row>
    <row r="452" spans="1:12" ht="15.75" customHeight="1">
      <c r="A452" s="511"/>
      <c r="B452" s="512"/>
      <c r="C452" s="513"/>
      <c r="D452" s="489"/>
      <c r="E452" s="492"/>
      <c r="F452" s="347"/>
      <c r="G452" s="348"/>
      <c r="H452" s="485"/>
      <c r="I452" s="486"/>
      <c r="J452" s="486"/>
      <c r="K452" s="486"/>
      <c r="L452" s="487"/>
    </row>
    <row r="453" spans="1:12" ht="12.75" customHeight="1">
      <c r="A453" s="522"/>
      <c r="B453" s="419"/>
      <c r="C453" s="523"/>
      <c r="D453" s="490"/>
      <c r="E453" s="493"/>
      <c r="F453" s="494"/>
      <c r="G453" s="495"/>
      <c r="H453" s="496"/>
      <c r="I453" s="497"/>
      <c r="J453" s="497"/>
      <c r="K453" s="497"/>
      <c r="L453" s="498"/>
    </row>
    <row r="454" spans="1:12" ht="18" customHeight="1">
      <c r="A454" s="559"/>
      <c r="B454" s="423"/>
      <c r="C454" s="560"/>
      <c r="D454" s="527"/>
      <c r="E454" s="491"/>
      <c r="F454" s="347"/>
      <c r="G454" s="348"/>
      <c r="H454" s="485"/>
      <c r="I454" s="486"/>
      <c r="J454" s="486"/>
      <c r="K454" s="486"/>
      <c r="L454" s="487"/>
    </row>
    <row r="455" spans="1:12" ht="14.25" customHeight="1">
      <c r="A455" s="557"/>
      <c r="B455" s="426"/>
      <c r="C455" s="558"/>
      <c r="D455" s="528"/>
      <c r="E455" s="492"/>
      <c r="F455" s="494"/>
      <c r="G455" s="495"/>
      <c r="H455" s="531"/>
      <c r="I455" s="532"/>
      <c r="J455" s="532"/>
      <c r="K455" s="532"/>
      <c r="L455" s="533"/>
    </row>
    <row r="456" spans="1:12" ht="15.75" customHeight="1" thickBot="1">
      <c r="A456" s="534"/>
      <c r="B456" s="535"/>
      <c r="C456" s="536"/>
      <c r="D456" s="529"/>
      <c r="E456" s="530"/>
      <c r="F456" s="351"/>
      <c r="G456" s="352"/>
      <c r="H456" s="537"/>
      <c r="I456" s="538"/>
      <c r="J456" s="538"/>
      <c r="K456" s="538"/>
      <c r="L456" s="539"/>
    </row>
    <row r="457" spans="1:12" ht="13.5" customHeight="1">
      <c r="A457" s="508"/>
      <c r="B457" s="509"/>
      <c r="C457" s="510"/>
      <c r="D457" s="514"/>
      <c r="E457" s="516"/>
      <c r="F457" s="517"/>
      <c r="G457" s="518"/>
      <c r="H457" s="519"/>
      <c r="I457" s="520"/>
      <c r="J457" s="520"/>
      <c r="K457" s="520"/>
      <c r="L457" s="521"/>
    </row>
    <row r="458" spans="1:12" ht="17.25" customHeight="1">
      <c r="A458" s="511"/>
      <c r="B458" s="512"/>
      <c r="C458" s="513"/>
      <c r="D458" s="515"/>
      <c r="E458" s="493"/>
      <c r="F458" s="347"/>
      <c r="G458" s="348"/>
      <c r="H458" s="531"/>
      <c r="I458" s="532"/>
      <c r="J458" s="532"/>
      <c r="K458" s="532"/>
      <c r="L458" s="533"/>
    </row>
    <row r="459" spans="1:12" ht="12" customHeight="1">
      <c r="A459" s="511"/>
      <c r="B459" s="512"/>
      <c r="C459" s="513"/>
      <c r="D459" s="488"/>
      <c r="E459" s="491"/>
      <c r="F459" s="494"/>
      <c r="G459" s="495"/>
      <c r="H459" s="496"/>
      <c r="I459" s="497"/>
      <c r="J459" s="497"/>
      <c r="K459" s="497"/>
      <c r="L459" s="498"/>
    </row>
    <row r="460" spans="1:12" ht="15" customHeight="1">
      <c r="A460" s="511"/>
      <c r="B460" s="512"/>
      <c r="C460" s="513"/>
      <c r="D460" s="489"/>
      <c r="E460" s="492"/>
      <c r="F460" s="347"/>
      <c r="G460" s="348"/>
      <c r="H460" s="485"/>
      <c r="I460" s="486"/>
      <c r="J460" s="486"/>
      <c r="K460" s="486"/>
      <c r="L460" s="487"/>
    </row>
    <row r="461" spans="1:12" ht="14.25" customHeight="1">
      <c r="A461" s="522"/>
      <c r="B461" s="419"/>
      <c r="C461" s="523"/>
      <c r="D461" s="490"/>
      <c r="E461" s="493"/>
      <c r="F461" s="494"/>
      <c r="G461" s="495"/>
      <c r="H461" s="496"/>
      <c r="I461" s="497"/>
      <c r="J461" s="497"/>
      <c r="K461" s="497"/>
      <c r="L461" s="498"/>
    </row>
    <row r="462" spans="1:12" ht="16.5" customHeight="1">
      <c r="A462" s="524"/>
      <c r="B462" s="525"/>
      <c r="C462" s="526"/>
      <c r="D462" s="527"/>
      <c r="E462" s="491"/>
      <c r="F462" s="347"/>
      <c r="G462" s="348"/>
      <c r="H462" s="485"/>
      <c r="I462" s="486"/>
      <c r="J462" s="486"/>
      <c r="K462" s="486"/>
      <c r="L462" s="487"/>
    </row>
    <row r="463" spans="1:12" ht="14.25" customHeight="1">
      <c r="A463" s="557"/>
      <c r="B463" s="426"/>
      <c r="C463" s="558"/>
      <c r="D463" s="528"/>
      <c r="E463" s="492"/>
      <c r="F463" s="494"/>
      <c r="G463" s="495"/>
      <c r="H463" s="531"/>
      <c r="I463" s="532"/>
      <c r="J463" s="532"/>
      <c r="K463" s="532"/>
      <c r="L463" s="533"/>
    </row>
    <row r="464" spans="1:12" ht="15" customHeight="1" thickBot="1">
      <c r="A464" s="534"/>
      <c r="B464" s="535"/>
      <c r="C464" s="536"/>
      <c r="D464" s="529"/>
      <c r="E464" s="530"/>
      <c r="F464" s="351"/>
      <c r="G464" s="352"/>
      <c r="H464" s="537"/>
      <c r="I464" s="538"/>
      <c r="J464" s="538"/>
      <c r="K464" s="538"/>
      <c r="L464" s="539"/>
    </row>
    <row r="465" spans="1:12" ht="12.75" customHeight="1">
      <c r="A465" s="508"/>
      <c r="B465" s="509"/>
      <c r="C465" s="510"/>
      <c r="D465" s="514"/>
      <c r="E465" s="516"/>
      <c r="F465" s="517"/>
      <c r="G465" s="518"/>
      <c r="H465" s="519"/>
      <c r="I465" s="520"/>
      <c r="J465" s="520"/>
      <c r="K465" s="520"/>
      <c r="L465" s="521"/>
    </row>
    <row r="466" spans="1:12" ht="17.25" customHeight="1">
      <c r="A466" s="511"/>
      <c r="B466" s="512"/>
      <c r="C466" s="513"/>
      <c r="D466" s="515"/>
      <c r="E466" s="493"/>
      <c r="F466" s="347"/>
      <c r="G466" s="348"/>
      <c r="H466" s="531"/>
      <c r="I466" s="532"/>
      <c r="J466" s="532"/>
      <c r="K466" s="532"/>
      <c r="L466" s="533"/>
    </row>
    <row r="467" spans="1:12" ht="12.75" customHeight="1">
      <c r="A467" s="511"/>
      <c r="B467" s="512"/>
      <c r="C467" s="513"/>
      <c r="D467" s="488"/>
      <c r="E467" s="491"/>
      <c r="F467" s="494"/>
      <c r="G467" s="495"/>
      <c r="H467" s="496"/>
      <c r="I467" s="497"/>
      <c r="J467" s="497"/>
      <c r="K467" s="497"/>
      <c r="L467" s="498"/>
    </row>
    <row r="468" spans="1:12" ht="15" customHeight="1">
      <c r="A468" s="511"/>
      <c r="B468" s="512"/>
      <c r="C468" s="513"/>
      <c r="D468" s="489"/>
      <c r="E468" s="492"/>
      <c r="F468" s="347"/>
      <c r="G468" s="348"/>
      <c r="H468" s="485"/>
      <c r="I468" s="486"/>
      <c r="J468" s="486"/>
      <c r="K468" s="486"/>
      <c r="L468" s="487"/>
    </row>
    <row r="469" spans="1:12" ht="14.25" customHeight="1">
      <c r="A469" s="522"/>
      <c r="B469" s="419"/>
      <c r="C469" s="523"/>
      <c r="D469" s="490"/>
      <c r="E469" s="493"/>
      <c r="F469" s="494"/>
      <c r="G469" s="495"/>
      <c r="H469" s="496"/>
      <c r="I469" s="497"/>
      <c r="J469" s="497"/>
      <c r="K469" s="497"/>
      <c r="L469" s="498"/>
    </row>
    <row r="470" spans="1:12" ht="16.5" customHeight="1">
      <c r="A470" s="524"/>
      <c r="B470" s="525"/>
      <c r="C470" s="526"/>
      <c r="D470" s="527"/>
      <c r="E470" s="491"/>
      <c r="F470" s="347"/>
      <c r="G470" s="348"/>
      <c r="H470" s="485"/>
      <c r="I470" s="486"/>
      <c r="J470" s="486"/>
      <c r="K470" s="486"/>
      <c r="L470" s="487"/>
    </row>
    <row r="471" spans="1:12" ht="15.75" customHeight="1">
      <c r="A471" s="557"/>
      <c r="B471" s="426"/>
      <c r="C471" s="558"/>
      <c r="D471" s="528"/>
      <c r="E471" s="492"/>
      <c r="F471" s="494"/>
      <c r="G471" s="495"/>
      <c r="H471" s="531"/>
      <c r="I471" s="532"/>
      <c r="J471" s="532"/>
      <c r="K471" s="532"/>
      <c r="L471" s="533"/>
    </row>
    <row r="472" spans="1:12" ht="15" customHeight="1" thickBot="1">
      <c r="A472" s="534"/>
      <c r="B472" s="535"/>
      <c r="C472" s="536"/>
      <c r="D472" s="529"/>
      <c r="E472" s="530"/>
      <c r="F472" s="351"/>
      <c r="G472" s="352"/>
      <c r="H472" s="537"/>
      <c r="I472" s="538"/>
      <c r="J472" s="538"/>
      <c r="K472" s="538"/>
      <c r="L472" s="539"/>
    </row>
    <row r="473" spans="1:12" ht="15" customHeight="1" thickBot="1">
      <c r="A473" s="13"/>
      <c r="B473" s="13"/>
      <c r="C473" s="13"/>
      <c r="D473" s="375"/>
      <c r="E473" s="376"/>
      <c r="F473" s="377"/>
      <c r="G473" s="378"/>
      <c r="H473" s="368"/>
      <c r="I473" s="368"/>
      <c r="J473" s="368"/>
      <c r="K473" s="368"/>
      <c r="L473" s="368"/>
    </row>
    <row r="474" spans="1:12" ht="25.5" customHeight="1" thickBot="1">
      <c r="A474" s="550" t="s">
        <v>581</v>
      </c>
      <c r="B474" s="551"/>
      <c r="C474" s="552"/>
      <c r="D474" s="553" t="s">
        <v>601</v>
      </c>
      <c r="E474" s="552"/>
      <c r="F474" s="554" t="s">
        <v>659</v>
      </c>
      <c r="G474" s="555"/>
      <c r="H474" s="555"/>
      <c r="I474" s="555"/>
      <c r="J474" s="555"/>
      <c r="K474" s="555"/>
      <c r="L474" s="556"/>
    </row>
    <row r="475" spans="1:12" ht="14.25" customHeight="1">
      <c r="A475" s="508"/>
      <c r="B475" s="509"/>
      <c r="C475" s="510"/>
      <c r="D475" s="514"/>
      <c r="E475" s="516"/>
      <c r="F475" s="517"/>
      <c r="G475" s="518"/>
      <c r="H475" s="519"/>
      <c r="I475" s="520"/>
      <c r="J475" s="520"/>
      <c r="K475" s="520"/>
      <c r="L475" s="521"/>
    </row>
    <row r="476" spans="1:12" ht="13.5" customHeight="1">
      <c r="A476" s="511"/>
      <c r="B476" s="512"/>
      <c r="C476" s="513"/>
      <c r="D476" s="515"/>
      <c r="E476" s="493"/>
      <c r="F476" s="347"/>
      <c r="G476" s="348"/>
      <c r="H476" s="531"/>
      <c r="I476" s="532"/>
      <c r="J476" s="532"/>
      <c r="K476" s="532"/>
      <c r="L476" s="533"/>
    </row>
    <row r="477" spans="1:12" ht="13.5" customHeight="1">
      <c r="A477" s="511"/>
      <c r="B477" s="512"/>
      <c r="C477" s="513"/>
      <c r="D477" s="488"/>
      <c r="E477" s="491"/>
      <c r="F477" s="494"/>
      <c r="G477" s="495"/>
      <c r="H477" s="496"/>
      <c r="I477" s="497"/>
      <c r="J477" s="497"/>
      <c r="K477" s="497"/>
      <c r="L477" s="498"/>
    </row>
    <row r="478" spans="1:12" ht="13.5" customHeight="1">
      <c r="A478" s="511"/>
      <c r="B478" s="512"/>
      <c r="C478" s="513"/>
      <c r="D478" s="489"/>
      <c r="E478" s="492"/>
      <c r="F478" s="347"/>
      <c r="G478" s="348"/>
      <c r="H478" s="485"/>
      <c r="I478" s="486"/>
      <c r="J478" s="486"/>
      <c r="K478" s="486"/>
      <c r="L478" s="487"/>
    </row>
    <row r="479" spans="1:12" ht="16.5" customHeight="1">
      <c r="A479" s="522"/>
      <c r="B479" s="419"/>
      <c r="C479" s="523"/>
      <c r="D479" s="490"/>
      <c r="E479" s="493"/>
      <c r="F479" s="494"/>
      <c r="G479" s="495"/>
      <c r="H479" s="496"/>
      <c r="I479" s="497"/>
      <c r="J479" s="497"/>
      <c r="K479" s="497"/>
      <c r="L479" s="498"/>
    </row>
    <row r="480" spans="1:12" ht="13.5" customHeight="1">
      <c r="A480" s="524"/>
      <c r="B480" s="525"/>
      <c r="C480" s="526"/>
      <c r="D480" s="527"/>
      <c r="E480" s="491"/>
      <c r="F480" s="347"/>
      <c r="G480" s="348"/>
      <c r="H480" s="485"/>
      <c r="I480" s="486"/>
      <c r="J480" s="486"/>
      <c r="K480" s="486"/>
      <c r="L480" s="487"/>
    </row>
    <row r="481" spans="1:12" ht="15" customHeight="1">
      <c r="A481" s="557"/>
      <c r="B481" s="426"/>
      <c r="C481" s="558"/>
      <c r="D481" s="528"/>
      <c r="E481" s="492"/>
      <c r="F481" s="494"/>
      <c r="G481" s="495"/>
      <c r="H481" s="531"/>
      <c r="I481" s="532"/>
      <c r="J481" s="532"/>
      <c r="K481" s="532"/>
      <c r="L481" s="533"/>
    </row>
    <row r="482" spans="1:12" ht="17.25" customHeight="1" thickBot="1">
      <c r="A482" s="534"/>
      <c r="B482" s="535"/>
      <c r="C482" s="536"/>
      <c r="D482" s="529"/>
      <c r="E482" s="530"/>
      <c r="F482" s="351"/>
      <c r="G482" s="352"/>
      <c r="H482" s="537"/>
      <c r="I482" s="538"/>
      <c r="J482" s="538"/>
      <c r="K482" s="538"/>
      <c r="L482" s="539"/>
    </row>
    <row r="483" spans="1:12" ht="15.75" customHeight="1">
      <c r="A483" s="508"/>
      <c r="B483" s="509"/>
      <c r="C483" s="510"/>
      <c r="D483" s="514"/>
      <c r="E483" s="516"/>
      <c r="F483" s="517"/>
      <c r="G483" s="518"/>
      <c r="H483" s="519"/>
      <c r="I483" s="520"/>
      <c r="J483" s="520"/>
      <c r="K483" s="520"/>
      <c r="L483" s="521"/>
    </row>
    <row r="484" spans="1:12" ht="17.25" customHeight="1">
      <c r="A484" s="511"/>
      <c r="B484" s="512"/>
      <c r="C484" s="513"/>
      <c r="D484" s="515"/>
      <c r="E484" s="493"/>
      <c r="F484" s="347"/>
      <c r="G484" s="348"/>
      <c r="H484" s="531"/>
      <c r="I484" s="532"/>
      <c r="J484" s="532"/>
      <c r="K484" s="532"/>
      <c r="L484" s="533"/>
    </row>
    <row r="485" spans="1:12" ht="12.75" customHeight="1">
      <c r="A485" s="511"/>
      <c r="B485" s="512"/>
      <c r="C485" s="513"/>
      <c r="D485" s="488"/>
      <c r="E485" s="491"/>
      <c r="F485" s="494"/>
      <c r="G485" s="495"/>
      <c r="H485" s="496"/>
      <c r="I485" s="497"/>
      <c r="J485" s="497"/>
      <c r="K485" s="497"/>
      <c r="L485" s="498"/>
    </row>
    <row r="486" spans="1:12" ht="15.75" customHeight="1">
      <c r="A486" s="511"/>
      <c r="B486" s="512"/>
      <c r="C486" s="513"/>
      <c r="D486" s="489"/>
      <c r="E486" s="492"/>
      <c r="F486" s="347"/>
      <c r="G486" s="348"/>
      <c r="H486" s="485"/>
      <c r="I486" s="486"/>
      <c r="J486" s="486"/>
      <c r="K486" s="486"/>
      <c r="L486" s="487"/>
    </row>
    <row r="487" spans="1:12" ht="12.75" customHeight="1">
      <c r="A487" s="522"/>
      <c r="B487" s="419"/>
      <c r="C487" s="523"/>
      <c r="D487" s="490"/>
      <c r="E487" s="493"/>
      <c r="F487" s="494"/>
      <c r="G487" s="495"/>
      <c r="H487" s="496"/>
      <c r="I487" s="497"/>
      <c r="J487" s="497"/>
      <c r="K487" s="497"/>
      <c r="L487" s="498"/>
    </row>
    <row r="488" spans="1:12" ht="17.25" customHeight="1">
      <c r="A488" s="524"/>
      <c r="B488" s="525"/>
      <c r="C488" s="526"/>
      <c r="D488" s="527"/>
      <c r="E488" s="491"/>
      <c r="F488" s="347"/>
      <c r="G488" s="348"/>
      <c r="H488" s="485"/>
      <c r="I488" s="486"/>
      <c r="J488" s="486"/>
      <c r="K488" s="486"/>
      <c r="L488" s="487"/>
    </row>
    <row r="489" spans="1:12" ht="13.5" customHeight="1">
      <c r="A489" s="557"/>
      <c r="B489" s="426"/>
      <c r="C489" s="558"/>
      <c r="D489" s="528"/>
      <c r="E489" s="492"/>
      <c r="F489" s="494"/>
      <c r="G489" s="495"/>
      <c r="H489" s="531"/>
      <c r="I489" s="532"/>
      <c r="J489" s="532"/>
      <c r="K489" s="532"/>
      <c r="L489" s="533"/>
    </row>
    <row r="490" spans="1:12" ht="15.75" customHeight="1" thickBot="1">
      <c r="A490" s="534"/>
      <c r="B490" s="535"/>
      <c r="C490" s="536"/>
      <c r="D490" s="529"/>
      <c r="E490" s="530"/>
      <c r="F490" s="351"/>
      <c r="G490" s="352"/>
      <c r="H490" s="537"/>
      <c r="I490" s="538"/>
      <c r="J490" s="538"/>
      <c r="K490" s="538"/>
      <c r="L490" s="539"/>
    </row>
    <row r="491" spans="1:12" ht="13.5" customHeight="1">
      <c r="A491" s="508"/>
      <c r="B491" s="509"/>
      <c r="C491" s="510"/>
      <c r="D491" s="514"/>
      <c r="E491" s="516"/>
      <c r="F491" s="517"/>
      <c r="G491" s="518"/>
      <c r="H491" s="519"/>
      <c r="I491" s="520"/>
      <c r="J491" s="520"/>
      <c r="K491" s="520"/>
      <c r="L491" s="521"/>
    </row>
    <row r="492" spans="1:12" ht="15.75" customHeight="1">
      <c r="A492" s="511"/>
      <c r="B492" s="512"/>
      <c r="C492" s="513"/>
      <c r="D492" s="515"/>
      <c r="E492" s="493"/>
      <c r="F492" s="347"/>
      <c r="G492" s="348"/>
      <c r="H492" s="531"/>
      <c r="I492" s="532"/>
      <c r="J492" s="532"/>
      <c r="K492" s="532"/>
      <c r="L492" s="533"/>
    </row>
    <row r="493" spans="1:12" ht="15.75" customHeight="1">
      <c r="A493" s="511"/>
      <c r="B493" s="512"/>
      <c r="C493" s="513"/>
      <c r="D493" s="488"/>
      <c r="E493" s="491"/>
      <c r="F493" s="494"/>
      <c r="G493" s="495"/>
      <c r="H493" s="496"/>
      <c r="I493" s="497"/>
      <c r="J493" s="497"/>
      <c r="K493" s="497"/>
      <c r="L493" s="498"/>
    </row>
    <row r="494" spans="1:12" ht="18" customHeight="1">
      <c r="A494" s="511"/>
      <c r="B494" s="512"/>
      <c r="C494" s="513"/>
      <c r="D494" s="489"/>
      <c r="E494" s="492"/>
      <c r="F494" s="347"/>
      <c r="G494" s="348"/>
      <c r="H494" s="485"/>
      <c r="I494" s="486"/>
      <c r="J494" s="486"/>
      <c r="K494" s="486"/>
      <c r="L494" s="487"/>
    </row>
    <row r="495" spans="1:12" ht="13.5" customHeight="1">
      <c r="A495" s="522"/>
      <c r="B495" s="419"/>
      <c r="C495" s="523"/>
      <c r="D495" s="490"/>
      <c r="E495" s="493"/>
      <c r="F495" s="494"/>
      <c r="G495" s="495"/>
      <c r="H495" s="496"/>
      <c r="I495" s="497"/>
      <c r="J495" s="497"/>
      <c r="K495" s="497"/>
      <c r="L495" s="498"/>
    </row>
    <row r="496" spans="1:12" ht="14.25" customHeight="1">
      <c r="A496" s="524"/>
      <c r="B496" s="525"/>
      <c r="C496" s="526"/>
      <c r="D496" s="527"/>
      <c r="E496" s="491"/>
      <c r="F496" s="347"/>
      <c r="G496" s="348"/>
      <c r="H496" s="485"/>
      <c r="I496" s="486"/>
      <c r="J496" s="486"/>
      <c r="K496" s="486"/>
      <c r="L496" s="487"/>
    </row>
    <row r="497" spans="1:12" ht="14.25" customHeight="1">
      <c r="A497" s="557"/>
      <c r="B497" s="426"/>
      <c r="C497" s="558"/>
      <c r="D497" s="528"/>
      <c r="E497" s="492"/>
      <c r="F497" s="494"/>
      <c r="G497" s="495"/>
      <c r="H497" s="531"/>
      <c r="I497" s="532"/>
      <c r="J497" s="532"/>
      <c r="K497" s="532"/>
      <c r="L497" s="533"/>
    </row>
    <row r="498" spans="1:12" ht="15" customHeight="1" thickBot="1">
      <c r="A498" s="534"/>
      <c r="B498" s="535"/>
      <c r="C498" s="536"/>
      <c r="D498" s="529"/>
      <c r="E498" s="530"/>
      <c r="F498" s="351"/>
      <c r="G498" s="352"/>
      <c r="H498" s="537"/>
      <c r="I498" s="538"/>
      <c r="J498" s="538"/>
      <c r="K498" s="538"/>
      <c r="L498" s="539"/>
    </row>
    <row r="499" spans="1:12" ht="14.25" customHeight="1">
      <c r="A499" s="508"/>
      <c r="B499" s="509"/>
      <c r="C499" s="510"/>
      <c r="D499" s="514"/>
      <c r="E499" s="516"/>
      <c r="F499" s="517"/>
      <c r="G499" s="518"/>
      <c r="H499" s="519"/>
      <c r="I499" s="520"/>
      <c r="J499" s="520"/>
      <c r="K499" s="520"/>
      <c r="L499" s="521"/>
    </row>
    <row r="500" spans="1:12" ht="17.25" customHeight="1">
      <c r="A500" s="511"/>
      <c r="B500" s="512"/>
      <c r="C500" s="513"/>
      <c r="D500" s="515"/>
      <c r="E500" s="493"/>
      <c r="F500" s="347"/>
      <c r="G500" s="348"/>
      <c r="H500" s="531"/>
      <c r="I500" s="532"/>
      <c r="J500" s="532"/>
      <c r="K500" s="532"/>
      <c r="L500" s="533"/>
    </row>
    <row r="501" spans="1:12" ht="12.75" customHeight="1">
      <c r="A501" s="511"/>
      <c r="B501" s="512"/>
      <c r="C501" s="513"/>
      <c r="D501" s="488"/>
      <c r="E501" s="491"/>
      <c r="F501" s="494"/>
      <c r="G501" s="495"/>
      <c r="H501" s="496"/>
      <c r="I501" s="497"/>
      <c r="J501" s="497"/>
      <c r="K501" s="497"/>
      <c r="L501" s="498"/>
    </row>
    <row r="502" spans="1:12" ht="15.75" customHeight="1">
      <c r="A502" s="511"/>
      <c r="B502" s="512"/>
      <c r="C502" s="513"/>
      <c r="D502" s="489"/>
      <c r="E502" s="492"/>
      <c r="F502" s="347"/>
      <c r="G502" s="348"/>
      <c r="H502" s="485"/>
      <c r="I502" s="486"/>
      <c r="J502" s="486"/>
      <c r="K502" s="486"/>
      <c r="L502" s="487"/>
    </row>
    <row r="503" spans="1:12" ht="12.75" customHeight="1">
      <c r="A503" s="522"/>
      <c r="B503" s="419"/>
      <c r="C503" s="523"/>
      <c r="D503" s="490"/>
      <c r="E503" s="493"/>
      <c r="F503" s="494"/>
      <c r="G503" s="495"/>
      <c r="H503" s="496"/>
      <c r="I503" s="497"/>
      <c r="J503" s="497"/>
      <c r="K503" s="497"/>
      <c r="L503" s="498"/>
    </row>
    <row r="504" spans="1:12" ht="15.75" customHeight="1">
      <c r="A504" s="524"/>
      <c r="B504" s="525"/>
      <c r="C504" s="526"/>
      <c r="D504" s="527"/>
      <c r="E504" s="491"/>
      <c r="F504" s="347"/>
      <c r="G504" s="348"/>
      <c r="H504" s="485"/>
      <c r="I504" s="486"/>
      <c r="J504" s="486"/>
      <c r="K504" s="486"/>
      <c r="L504" s="487"/>
    </row>
    <row r="505" spans="1:12" ht="12" customHeight="1">
      <c r="A505" s="557"/>
      <c r="B505" s="426"/>
      <c r="C505" s="558"/>
      <c r="D505" s="528"/>
      <c r="E505" s="492"/>
      <c r="F505" s="494"/>
      <c r="G505" s="495"/>
      <c r="H505" s="531"/>
      <c r="I505" s="532"/>
      <c r="J505" s="532"/>
      <c r="K505" s="532"/>
      <c r="L505" s="533"/>
    </row>
    <row r="506" spans="1:12" ht="21" customHeight="1" thickBot="1">
      <c r="A506" s="534"/>
      <c r="B506" s="535"/>
      <c r="C506" s="536"/>
      <c r="D506" s="529"/>
      <c r="E506" s="530"/>
      <c r="F506" s="351"/>
      <c r="G506" s="352"/>
      <c r="H506" s="537"/>
      <c r="I506" s="538"/>
      <c r="J506" s="538"/>
      <c r="K506" s="538"/>
      <c r="L506" s="539"/>
    </row>
    <row r="507" spans="1:12" ht="15" customHeight="1">
      <c r="A507" s="508"/>
      <c r="B507" s="509"/>
      <c r="C507" s="510"/>
      <c r="D507" s="514"/>
      <c r="E507" s="516"/>
      <c r="F507" s="517"/>
      <c r="G507" s="518"/>
      <c r="H507" s="519"/>
      <c r="I507" s="520"/>
      <c r="J507" s="520"/>
      <c r="K507" s="520"/>
      <c r="L507" s="521"/>
    </row>
    <row r="508" spans="1:12" ht="15" customHeight="1">
      <c r="A508" s="511"/>
      <c r="B508" s="512"/>
      <c r="C508" s="513"/>
      <c r="D508" s="515"/>
      <c r="E508" s="493"/>
      <c r="F508" s="347"/>
      <c r="G508" s="348"/>
      <c r="H508" s="531"/>
      <c r="I508" s="532"/>
      <c r="J508" s="532"/>
      <c r="K508" s="532"/>
      <c r="L508" s="533"/>
    </row>
    <row r="509" spans="1:12" ht="15" customHeight="1">
      <c r="A509" s="511"/>
      <c r="B509" s="512"/>
      <c r="C509" s="513"/>
      <c r="D509" s="488"/>
      <c r="E509" s="491"/>
      <c r="F509" s="494"/>
      <c r="G509" s="495"/>
      <c r="H509" s="496"/>
      <c r="I509" s="497"/>
      <c r="J509" s="497"/>
      <c r="K509" s="497"/>
      <c r="L509" s="498"/>
    </row>
    <row r="510" spans="1:12" ht="15.75" customHeight="1">
      <c r="A510" s="511"/>
      <c r="B510" s="512"/>
      <c r="C510" s="513"/>
      <c r="D510" s="489"/>
      <c r="E510" s="492"/>
      <c r="F510" s="347"/>
      <c r="G510" s="348"/>
      <c r="H510" s="485"/>
      <c r="I510" s="486"/>
      <c r="J510" s="486"/>
      <c r="K510" s="486"/>
      <c r="L510" s="487"/>
    </row>
    <row r="511" spans="1:12" ht="12.75" customHeight="1">
      <c r="A511" s="522"/>
      <c r="B511" s="419"/>
      <c r="C511" s="523"/>
      <c r="D511" s="490"/>
      <c r="E511" s="493"/>
      <c r="F511" s="494"/>
      <c r="G511" s="495"/>
      <c r="H511" s="496"/>
      <c r="I511" s="497"/>
      <c r="J511" s="497"/>
      <c r="K511" s="497"/>
      <c r="L511" s="498"/>
    </row>
    <row r="512" spans="1:12" ht="18" customHeight="1">
      <c r="A512" s="559"/>
      <c r="B512" s="423"/>
      <c r="C512" s="560"/>
      <c r="D512" s="527"/>
      <c r="E512" s="491"/>
      <c r="F512" s="347"/>
      <c r="G512" s="348"/>
      <c r="H512" s="485"/>
      <c r="I512" s="486"/>
      <c r="J512" s="486"/>
      <c r="K512" s="486"/>
      <c r="L512" s="487"/>
    </row>
    <row r="513" spans="1:12" ht="14.25" customHeight="1">
      <c r="A513" s="557"/>
      <c r="B513" s="426"/>
      <c r="C513" s="558"/>
      <c r="D513" s="528"/>
      <c r="E513" s="492"/>
      <c r="F513" s="494"/>
      <c r="G513" s="495"/>
      <c r="H513" s="531"/>
      <c r="I513" s="532"/>
      <c r="J513" s="532"/>
      <c r="K513" s="532"/>
      <c r="L513" s="533"/>
    </row>
    <row r="514" spans="1:12" ht="15.75" customHeight="1" thickBot="1">
      <c r="A514" s="534"/>
      <c r="B514" s="535"/>
      <c r="C514" s="536"/>
      <c r="D514" s="529"/>
      <c r="E514" s="530"/>
      <c r="F514" s="351"/>
      <c r="G514" s="352"/>
      <c r="H514" s="537"/>
      <c r="I514" s="538"/>
      <c r="J514" s="538"/>
      <c r="K514" s="538"/>
      <c r="L514" s="539"/>
    </row>
    <row r="515" spans="1:12" ht="13.5" customHeight="1">
      <c r="A515" s="508"/>
      <c r="B515" s="509"/>
      <c r="C515" s="510"/>
      <c r="D515" s="514"/>
      <c r="E515" s="516"/>
      <c r="F515" s="517"/>
      <c r="G515" s="518"/>
      <c r="H515" s="519"/>
      <c r="I515" s="520"/>
      <c r="J515" s="520"/>
      <c r="K515" s="520"/>
      <c r="L515" s="521"/>
    </row>
    <row r="516" spans="1:12" ht="17.25" customHeight="1">
      <c r="A516" s="511"/>
      <c r="B516" s="512"/>
      <c r="C516" s="513"/>
      <c r="D516" s="515"/>
      <c r="E516" s="493"/>
      <c r="F516" s="347"/>
      <c r="G516" s="348"/>
      <c r="H516" s="531"/>
      <c r="I516" s="532"/>
      <c r="J516" s="532"/>
      <c r="K516" s="532"/>
      <c r="L516" s="533"/>
    </row>
    <row r="517" spans="1:12" ht="12" customHeight="1">
      <c r="A517" s="511"/>
      <c r="B517" s="512"/>
      <c r="C517" s="513"/>
      <c r="D517" s="488"/>
      <c r="E517" s="491"/>
      <c r="F517" s="494"/>
      <c r="G517" s="495"/>
      <c r="H517" s="496"/>
      <c r="I517" s="497"/>
      <c r="J517" s="497"/>
      <c r="K517" s="497"/>
      <c r="L517" s="498"/>
    </row>
    <row r="518" spans="1:12" ht="15" customHeight="1">
      <c r="A518" s="511"/>
      <c r="B518" s="512"/>
      <c r="C518" s="513"/>
      <c r="D518" s="489"/>
      <c r="E518" s="492"/>
      <c r="F518" s="347"/>
      <c r="G518" s="348"/>
      <c r="H518" s="485"/>
      <c r="I518" s="486"/>
      <c r="J518" s="486"/>
      <c r="K518" s="486"/>
      <c r="L518" s="487"/>
    </row>
    <row r="519" spans="1:12" ht="14.25" customHeight="1">
      <c r="A519" s="522"/>
      <c r="B519" s="419"/>
      <c r="C519" s="523"/>
      <c r="D519" s="490"/>
      <c r="E519" s="493"/>
      <c r="F519" s="494"/>
      <c r="G519" s="495"/>
      <c r="H519" s="496"/>
      <c r="I519" s="497"/>
      <c r="J519" s="497"/>
      <c r="K519" s="497"/>
      <c r="L519" s="498"/>
    </row>
    <row r="520" spans="1:12" ht="16.5" customHeight="1">
      <c r="A520" s="524"/>
      <c r="B520" s="525"/>
      <c r="C520" s="526"/>
      <c r="D520" s="527"/>
      <c r="E520" s="491"/>
      <c r="F520" s="347"/>
      <c r="G520" s="348"/>
      <c r="H520" s="485"/>
      <c r="I520" s="486"/>
      <c r="J520" s="486"/>
      <c r="K520" s="486"/>
      <c r="L520" s="487"/>
    </row>
    <row r="521" spans="1:12" ht="14.25" customHeight="1">
      <c r="A521" s="557"/>
      <c r="B521" s="426"/>
      <c r="C521" s="558"/>
      <c r="D521" s="528"/>
      <c r="E521" s="492"/>
      <c r="F521" s="494"/>
      <c r="G521" s="495"/>
      <c r="H521" s="531"/>
      <c r="I521" s="532"/>
      <c r="J521" s="532"/>
      <c r="K521" s="532"/>
      <c r="L521" s="533"/>
    </row>
    <row r="522" spans="1:12" ht="15" customHeight="1" thickBot="1">
      <c r="A522" s="534"/>
      <c r="B522" s="535"/>
      <c r="C522" s="536"/>
      <c r="D522" s="529"/>
      <c r="E522" s="530"/>
      <c r="F522" s="351"/>
      <c r="G522" s="352"/>
      <c r="H522" s="537"/>
      <c r="I522" s="538"/>
      <c r="J522" s="538"/>
      <c r="K522" s="538"/>
      <c r="L522" s="539"/>
    </row>
    <row r="523" spans="1:12" ht="12.75" customHeight="1">
      <c r="A523" s="508"/>
      <c r="B523" s="509"/>
      <c r="C523" s="510"/>
      <c r="D523" s="514"/>
      <c r="E523" s="516"/>
      <c r="F523" s="517"/>
      <c r="G523" s="518"/>
      <c r="H523" s="519"/>
      <c r="I523" s="520"/>
      <c r="J523" s="520"/>
      <c r="K523" s="520"/>
      <c r="L523" s="521"/>
    </row>
    <row r="524" spans="1:12" ht="17.25" customHeight="1">
      <c r="A524" s="511"/>
      <c r="B524" s="512"/>
      <c r="C524" s="513"/>
      <c r="D524" s="515"/>
      <c r="E524" s="493"/>
      <c r="F524" s="347"/>
      <c r="G524" s="348"/>
      <c r="H524" s="531"/>
      <c r="I524" s="532"/>
      <c r="J524" s="532"/>
      <c r="K524" s="532"/>
      <c r="L524" s="533"/>
    </row>
    <row r="525" spans="1:12" ht="12.75" customHeight="1">
      <c r="A525" s="511"/>
      <c r="B525" s="512"/>
      <c r="C525" s="513"/>
      <c r="D525" s="488"/>
      <c r="E525" s="491"/>
      <c r="F525" s="494"/>
      <c r="G525" s="495"/>
      <c r="H525" s="496"/>
      <c r="I525" s="497"/>
      <c r="J525" s="497"/>
      <c r="K525" s="497"/>
      <c r="L525" s="498"/>
    </row>
    <row r="526" spans="1:12" ht="15" customHeight="1">
      <c r="A526" s="511"/>
      <c r="B526" s="512"/>
      <c r="C526" s="513"/>
      <c r="D526" s="489"/>
      <c r="E526" s="492"/>
      <c r="F526" s="347"/>
      <c r="G526" s="348"/>
      <c r="H526" s="485"/>
      <c r="I526" s="486"/>
      <c r="J526" s="486"/>
      <c r="K526" s="486"/>
      <c r="L526" s="487"/>
    </row>
    <row r="527" spans="1:12" ht="14.25" customHeight="1">
      <c r="A527" s="522"/>
      <c r="B527" s="419"/>
      <c r="C527" s="523"/>
      <c r="D527" s="490"/>
      <c r="E527" s="493"/>
      <c r="F527" s="494"/>
      <c r="G527" s="495"/>
      <c r="H527" s="496"/>
      <c r="I527" s="497"/>
      <c r="J527" s="497"/>
      <c r="K527" s="497"/>
      <c r="L527" s="498"/>
    </row>
    <row r="528" spans="1:12" ht="16.5" customHeight="1">
      <c r="A528" s="524"/>
      <c r="B528" s="525"/>
      <c r="C528" s="526"/>
      <c r="D528" s="527"/>
      <c r="E528" s="491"/>
      <c r="F528" s="347"/>
      <c r="G528" s="348"/>
      <c r="H528" s="485"/>
      <c r="I528" s="486"/>
      <c r="J528" s="486"/>
      <c r="K528" s="486"/>
      <c r="L528" s="487"/>
    </row>
    <row r="529" spans="1:12" ht="15.75" customHeight="1">
      <c r="A529" s="557"/>
      <c r="B529" s="426"/>
      <c r="C529" s="558"/>
      <c r="D529" s="528"/>
      <c r="E529" s="492"/>
      <c r="F529" s="494"/>
      <c r="G529" s="495"/>
      <c r="H529" s="531"/>
      <c r="I529" s="532"/>
      <c r="J529" s="532"/>
      <c r="K529" s="532"/>
      <c r="L529" s="533"/>
    </row>
    <row r="530" spans="1:12" ht="15" customHeight="1" thickBot="1">
      <c r="A530" s="534"/>
      <c r="B530" s="535"/>
      <c r="C530" s="536"/>
      <c r="D530" s="529"/>
      <c r="E530" s="530"/>
      <c r="F530" s="351"/>
      <c r="G530" s="352"/>
      <c r="H530" s="537"/>
      <c r="I530" s="538"/>
      <c r="J530" s="538"/>
      <c r="K530" s="538"/>
      <c r="L530" s="539"/>
    </row>
    <row r="531" spans="1:12" ht="9.9499999999999993" customHeight="1">
      <c r="A531" s="13"/>
      <c r="B531" s="13"/>
      <c r="C531" s="13"/>
      <c r="D531" s="375"/>
      <c r="E531" s="376"/>
      <c r="F531" s="377"/>
      <c r="G531" s="378"/>
      <c r="H531" s="368"/>
      <c r="I531" s="368"/>
      <c r="J531" s="368"/>
      <c r="K531" s="368"/>
      <c r="L531" s="368"/>
    </row>
    <row r="532" spans="1:12" ht="9.9499999999999993" customHeight="1">
      <c r="B532" s="312"/>
      <c r="C532" s="312"/>
      <c r="D532" s="313"/>
      <c r="E532" s="314"/>
      <c r="F532" s="71"/>
      <c r="H532" s="311"/>
      <c r="I532" s="311"/>
      <c r="J532" s="311"/>
      <c r="K532" s="311"/>
    </row>
    <row r="533" spans="1:12" ht="50.25" customHeight="1">
      <c r="D533" s="561" t="s">
        <v>95</v>
      </c>
      <c r="E533" s="562"/>
      <c r="F533" s="562"/>
      <c r="G533" s="562"/>
      <c r="H533" s="562"/>
      <c r="I533" s="563"/>
    </row>
    <row r="534" spans="1:12">
      <c r="A534" s="7"/>
      <c r="B534" s="7"/>
      <c r="C534" s="7"/>
      <c r="D534" s="7"/>
      <c r="E534" s="7"/>
      <c r="F534" s="7"/>
      <c r="G534" s="7"/>
      <c r="H534" s="7"/>
      <c r="I534" s="7"/>
      <c r="J534" s="7"/>
      <c r="K534" s="7"/>
      <c r="L534" s="7"/>
    </row>
    <row r="535" spans="1:12" ht="18.75" customHeight="1">
      <c r="A535" s="500" t="s">
        <v>96</v>
      </c>
      <c r="B535" s="500"/>
      <c r="C535" s="500"/>
      <c r="D535" s="500"/>
      <c r="E535" s="500"/>
      <c r="F535" s="500"/>
      <c r="G535" s="500"/>
      <c r="H535" s="500"/>
      <c r="I535" s="500"/>
      <c r="J535" s="500"/>
      <c r="K535" s="500"/>
      <c r="L535" s="500"/>
    </row>
    <row r="536" spans="1:12" ht="11.25" customHeight="1">
      <c r="A536" s="9"/>
      <c r="B536" s="9"/>
      <c r="C536" s="9"/>
      <c r="D536" s="9"/>
      <c r="E536" s="9"/>
      <c r="F536" s="9"/>
      <c r="G536" s="9"/>
      <c r="H536" s="9"/>
      <c r="I536" s="9"/>
      <c r="J536" s="9"/>
      <c r="K536" s="9"/>
      <c r="L536" s="9"/>
    </row>
    <row r="537" spans="1:12" ht="23.25" customHeight="1">
      <c r="A537" s="17"/>
      <c r="B537" s="564" t="s">
        <v>582</v>
      </c>
      <c r="C537" s="564"/>
      <c r="D537" s="564"/>
      <c r="E537" s="564"/>
      <c r="F537" s="564"/>
      <c r="G537" s="564"/>
      <c r="H537" s="564"/>
      <c r="I537" s="564"/>
      <c r="J537" s="393"/>
      <c r="K537" s="565" t="s">
        <v>929</v>
      </c>
      <c r="L537" s="566"/>
    </row>
    <row r="538" spans="1:12" ht="23.25" customHeight="1">
      <c r="A538" s="17"/>
      <c r="B538" s="564" t="s">
        <v>583</v>
      </c>
      <c r="C538" s="564"/>
      <c r="D538" s="564"/>
      <c r="E538" s="564"/>
      <c r="F538" s="564"/>
      <c r="G538" s="564"/>
      <c r="H538" s="564"/>
      <c r="I538" s="564"/>
      <c r="J538" s="393"/>
      <c r="K538" s="567" t="s">
        <v>929</v>
      </c>
      <c r="L538" s="568"/>
    </row>
    <row r="539" spans="1:12" ht="23.25" customHeight="1">
      <c r="A539" s="17"/>
      <c r="B539" s="564" t="s">
        <v>584</v>
      </c>
      <c r="C539" s="564"/>
      <c r="D539" s="564"/>
      <c r="E539" s="564"/>
      <c r="F539" s="564"/>
      <c r="G539" s="564"/>
      <c r="H539" s="564"/>
      <c r="I539" s="564"/>
      <c r="J539" s="393"/>
      <c r="K539" s="569"/>
      <c r="L539" s="570"/>
    </row>
    <row r="540" spans="1:12" ht="23.25" customHeight="1">
      <c r="A540" s="17"/>
      <c r="B540" s="564" t="s">
        <v>585</v>
      </c>
      <c r="C540" s="564"/>
      <c r="D540" s="564"/>
      <c r="E540" s="564"/>
      <c r="F540" s="564"/>
      <c r="G540" s="564"/>
      <c r="H540" s="564"/>
      <c r="I540" s="564"/>
      <c r="J540" s="393"/>
      <c r="K540" s="565" t="s">
        <v>929</v>
      </c>
      <c r="L540" s="566"/>
    </row>
    <row r="541" spans="1:12" ht="23.25" customHeight="1">
      <c r="A541" s="17"/>
      <c r="B541" s="564" t="s">
        <v>98</v>
      </c>
      <c r="C541" s="564"/>
      <c r="D541" s="564"/>
      <c r="E541" s="564"/>
      <c r="F541" s="564"/>
      <c r="G541" s="564"/>
      <c r="H541" s="564"/>
      <c r="I541" s="564"/>
      <c r="J541" s="393"/>
      <c r="K541" s="565"/>
      <c r="L541" s="566"/>
    </row>
    <row r="542" spans="1:12" ht="23.25" customHeight="1">
      <c r="A542" s="17"/>
      <c r="B542" s="564" t="s">
        <v>586</v>
      </c>
      <c r="C542" s="564"/>
      <c r="D542" s="564"/>
      <c r="E542" s="564"/>
      <c r="F542" s="564"/>
      <c r="G542" s="564"/>
      <c r="H542" s="564"/>
      <c r="I542" s="564"/>
      <c r="J542" s="393"/>
      <c r="K542" s="565" t="s">
        <v>929</v>
      </c>
      <c r="L542" s="566"/>
    </row>
    <row r="543" spans="1:12" ht="23.25" customHeight="1">
      <c r="A543" s="17"/>
      <c r="B543" s="564" t="s">
        <v>587</v>
      </c>
      <c r="C543" s="564"/>
      <c r="D543" s="564"/>
      <c r="E543" s="564"/>
      <c r="F543" s="564"/>
      <c r="G543" s="564"/>
      <c r="H543" s="564"/>
      <c r="I543" s="564"/>
      <c r="J543" s="393"/>
      <c r="K543" s="565" t="s">
        <v>929</v>
      </c>
      <c r="L543" s="566"/>
    </row>
    <row r="544" spans="1:12" ht="23.25" customHeight="1">
      <c r="A544" s="17"/>
      <c r="B544" s="564" t="s">
        <v>588</v>
      </c>
      <c r="C544" s="564"/>
      <c r="D544" s="564"/>
      <c r="E544" s="564"/>
      <c r="F544" s="564"/>
      <c r="G544" s="564"/>
      <c r="H544" s="564"/>
      <c r="I544" s="564"/>
      <c r="J544" s="393"/>
      <c r="K544" s="567" t="s">
        <v>929</v>
      </c>
      <c r="L544" s="568"/>
    </row>
    <row r="545" spans="1:12" ht="23.25" customHeight="1">
      <c r="A545" s="17"/>
      <c r="B545" s="564" t="s">
        <v>500</v>
      </c>
      <c r="C545" s="564"/>
      <c r="D545" s="564"/>
      <c r="E545" s="564"/>
      <c r="F545" s="564"/>
      <c r="G545" s="564"/>
      <c r="H545" s="564"/>
      <c r="I545" s="564"/>
      <c r="J545" s="393"/>
      <c r="K545" s="569"/>
      <c r="L545" s="570"/>
    </row>
    <row r="546" spans="1:12" ht="23.25" customHeight="1">
      <c r="A546" s="17"/>
      <c r="B546" s="564" t="s">
        <v>501</v>
      </c>
      <c r="C546" s="564"/>
      <c r="D546" s="564"/>
      <c r="E546" s="564"/>
      <c r="F546" s="564"/>
      <c r="G546" s="564"/>
      <c r="H546" s="564"/>
      <c r="I546" s="564"/>
      <c r="J546" s="393"/>
      <c r="K546" s="571"/>
      <c r="L546" s="572"/>
    </row>
    <row r="547" spans="1:12" ht="23.25" customHeight="1">
      <c r="A547" s="17"/>
      <c r="B547" s="564" t="s">
        <v>99</v>
      </c>
      <c r="C547" s="564"/>
      <c r="D547" s="564"/>
      <c r="E547" s="564"/>
      <c r="F547" s="564"/>
      <c r="G547" s="564"/>
      <c r="H547" s="564"/>
      <c r="I547" s="564"/>
      <c r="J547" s="393"/>
      <c r="K547" s="571"/>
      <c r="L547" s="572"/>
    </row>
    <row r="548" spans="1:12" ht="23.25" customHeight="1">
      <c r="A548" s="17"/>
      <c r="B548" s="564" t="s">
        <v>502</v>
      </c>
      <c r="C548" s="564"/>
      <c r="D548" s="564"/>
      <c r="E548" s="564"/>
      <c r="F548" s="564"/>
      <c r="G548" s="564"/>
      <c r="H548" s="564"/>
      <c r="I548" s="564"/>
      <c r="J548" s="393"/>
      <c r="K548" s="571"/>
      <c r="L548" s="572"/>
    </row>
    <row r="549" spans="1:12" ht="23.25" customHeight="1">
      <c r="A549" s="17"/>
      <c r="B549" s="564" t="s">
        <v>100</v>
      </c>
      <c r="C549" s="564"/>
      <c r="D549" s="564"/>
      <c r="E549" s="564"/>
      <c r="F549" s="564"/>
      <c r="G549" s="564"/>
      <c r="H549" s="564"/>
      <c r="I549" s="564"/>
      <c r="J549" s="393"/>
      <c r="K549" s="571"/>
      <c r="L549" s="572"/>
    </row>
    <row r="550" spans="1:12" ht="23.25" customHeight="1">
      <c r="A550" s="392"/>
      <c r="B550" s="564"/>
      <c r="C550" s="564"/>
      <c r="D550" s="564"/>
      <c r="E550" s="564"/>
      <c r="F550" s="564"/>
      <c r="G550" s="564"/>
      <c r="H550" s="564"/>
      <c r="I550" s="564"/>
      <c r="J550" s="393"/>
      <c r="K550" s="571"/>
      <c r="L550" s="572"/>
    </row>
    <row r="551" spans="1:12">
      <c r="A551" s="324"/>
      <c r="B551" s="324"/>
      <c r="C551" s="324"/>
      <c r="D551" s="324"/>
      <c r="E551" s="324"/>
      <c r="F551" s="324"/>
      <c r="G551" s="324"/>
      <c r="H551" s="324"/>
      <c r="I551" s="324"/>
      <c r="J551" s="324"/>
      <c r="K551" s="2"/>
      <c r="L551" s="2"/>
    </row>
    <row r="552" spans="1:12">
      <c r="A552" s="330"/>
      <c r="B552" s="330"/>
      <c r="C552" s="330"/>
      <c r="D552" s="330"/>
      <c r="E552" s="330"/>
      <c r="F552" s="330"/>
      <c r="G552" s="330"/>
      <c r="H552" s="330"/>
      <c r="I552" s="330"/>
      <c r="J552" s="330"/>
      <c r="K552" s="7"/>
      <c r="L552" s="7"/>
    </row>
    <row r="553" spans="1:12" ht="18.75" customHeight="1">
      <c r="A553" s="500" t="s">
        <v>97</v>
      </c>
      <c r="B553" s="500"/>
      <c r="C553" s="500"/>
      <c r="D553" s="500"/>
      <c r="E553" s="500"/>
      <c r="F553" s="500"/>
      <c r="G553" s="500"/>
      <c r="H553" s="500"/>
      <c r="I553" s="500"/>
      <c r="J553" s="500"/>
      <c r="K553" s="500"/>
      <c r="L553" s="500"/>
    </row>
    <row r="554" spans="1:12" ht="19.5" customHeight="1">
      <c r="A554" s="337"/>
      <c r="B554" s="337"/>
      <c r="C554" s="337"/>
      <c r="D554" s="337"/>
      <c r="E554" s="337"/>
      <c r="F554" s="337"/>
      <c r="G554" s="337"/>
      <c r="H554" s="337"/>
      <c r="I554" s="337"/>
      <c r="J554" s="337"/>
      <c r="K554" s="9"/>
      <c r="L554" s="9"/>
    </row>
    <row r="555" spans="1:12" ht="22.5" customHeight="1">
      <c r="A555" s="339"/>
      <c r="B555" s="564" t="s">
        <v>503</v>
      </c>
      <c r="C555" s="564"/>
      <c r="D555" s="564"/>
      <c r="E555" s="564"/>
      <c r="F555" s="564"/>
      <c r="G555" s="564"/>
      <c r="H555" s="564"/>
      <c r="I555" s="564"/>
      <c r="J555" s="564"/>
      <c r="K555" s="474"/>
      <c r="L555" s="474"/>
    </row>
    <row r="556" spans="1:12" ht="22.5" customHeight="1">
      <c r="A556" s="339"/>
      <c r="B556" s="564" t="s">
        <v>504</v>
      </c>
      <c r="C556" s="564"/>
      <c r="D556" s="564"/>
      <c r="E556" s="564"/>
      <c r="F556" s="564"/>
      <c r="G556" s="564"/>
      <c r="H556" s="564"/>
      <c r="I556" s="564"/>
      <c r="J556" s="564"/>
      <c r="K556" s="573"/>
      <c r="L556" s="542"/>
    </row>
    <row r="557" spans="1:12" ht="22.5" customHeight="1">
      <c r="A557" s="339"/>
      <c r="B557" s="564" t="s">
        <v>505</v>
      </c>
      <c r="C557" s="564"/>
      <c r="D557" s="564"/>
      <c r="E557" s="564"/>
      <c r="F557" s="564"/>
      <c r="G557" s="564"/>
      <c r="H557" s="564"/>
      <c r="I557" s="564"/>
      <c r="J557" s="564"/>
      <c r="K557" s="574"/>
      <c r="L557" s="526"/>
    </row>
    <row r="558" spans="1:12" ht="22.5" customHeight="1">
      <c r="A558" s="339"/>
      <c r="B558" s="564" t="s">
        <v>506</v>
      </c>
      <c r="C558" s="564"/>
      <c r="D558" s="564"/>
      <c r="E558" s="564"/>
      <c r="F558" s="564"/>
      <c r="G558" s="564"/>
      <c r="H558" s="564"/>
      <c r="I558" s="564"/>
      <c r="J558" s="564"/>
      <c r="K558" s="474"/>
      <c r="L558" s="474"/>
    </row>
    <row r="559" spans="1:12" ht="22.5" customHeight="1">
      <c r="A559" s="339"/>
      <c r="B559" s="564" t="s">
        <v>507</v>
      </c>
      <c r="C559" s="564"/>
      <c r="D559" s="564"/>
      <c r="E559" s="564"/>
      <c r="F559" s="564"/>
      <c r="G559" s="564"/>
      <c r="H559" s="564"/>
      <c r="I559" s="564"/>
      <c r="J559" s="564"/>
      <c r="K559" s="573"/>
      <c r="L559" s="542"/>
    </row>
    <row r="560" spans="1:12" ht="22.5" customHeight="1">
      <c r="A560" s="339"/>
      <c r="B560" s="564" t="s">
        <v>101</v>
      </c>
      <c r="C560" s="564"/>
      <c r="D560" s="564"/>
      <c r="E560" s="564"/>
      <c r="F560" s="564"/>
      <c r="G560" s="564"/>
      <c r="H560" s="564"/>
      <c r="I560" s="564"/>
      <c r="J560" s="564"/>
      <c r="K560" s="574"/>
      <c r="L560" s="526"/>
    </row>
    <row r="561" spans="1:12" ht="22.5" customHeight="1">
      <c r="A561" s="339"/>
      <c r="B561" s="564" t="s">
        <v>508</v>
      </c>
      <c r="C561" s="564"/>
      <c r="D561" s="564"/>
      <c r="E561" s="564"/>
      <c r="F561" s="564"/>
      <c r="G561" s="564"/>
      <c r="H561" s="564"/>
      <c r="I561" s="564"/>
      <c r="J561" s="564"/>
      <c r="K561" s="474"/>
      <c r="L561" s="474"/>
    </row>
    <row r="562" spans="1:12" ht="22.5" customHeight="1">
      <c r="A562" s="339"/>
      <c r="B562" s="564" t="s">
        <v>102</v>
      </c>
      <c r="C562" s="564"/>
      <c r="D562" s="564"/>
      <c r="E562" s="564"/>
      <c r="F562" s="564"/>
      <c r="G562" s="564"/>
      <c r="H562" s="564"/>
      <c r="I562" s="564"/>
      <c r="J562" s="564"/>
      <c r="K562" s="474"/>
      <c r="L562" s="474"/>
    </row>
    <row r="563" spans="1:12" ht="22.5" customHeight="1">
      <c r="A563" s="339"/>
      <c r="B563" s="564"/>
      <c r="C563" s="564"/>
      <c r="D563" s="564"/>
      <c r="E563" s="564"/>
      <c r="F563" s="564"/>
      <c r="G563" s="564"/>
      <c r="H563" s="564"/>
      <c r="I563" s="564"/>
      <c r="J563" s="564"/>
      <c r="K563" s="474"/>
      <c r="L563" s="474"/>
    </row>
    <row r="564" spans="1:12" ht="22.5" customHeight="1">
      <c r="A564" s="339"/>
      <c r="B564" s="564"/>
      <c r="C564" s="564"/>
      <c r="D564" s="564"/>
      <c r="E564" s="564"/>
      <c r="F564" s="564"/>
      <c r="G564" s="564"/>
      <c r="H564" s="564"/>
      <c r="I564" s="564"/>
      <c r="J564" s="564"/>
      <c r="K564" s="474"/>
      <c r="L564" s="474"/>
    </row>
    <row r="565" spans="1:12" ht="22.5" customHeight="1">
      <c r="A565" s="339"/>
      <c r="B565" s="564"/>
      <c r="C565" s="564"/>
      <c r="D565" s="564"/>
      <c r="E565" s="564"/>
      <c r="F565" s="564"/>
      <c r="G565" s="564"/>
      <c r="H565" s="564"/>
      <c r="I565" s="564"/>
      <c r="J565" s="564"/>
      <c r="K565" s="474"/>
      <c r="L565" s="474"/>
    </row>
    <row r="566" spans="1:12" ht="22.5" customHeight="1">
      <c r="A566" s="339"/>
      <c r="B566" s="564"/>
      <c r="C566" s="564"/>
      <c r="D566" s="564"/>
      <c r="E566" s="564"/>
      <c r="F566" s="564"/>
      <c r="G566" s="564"/>
      <c r="H566" s="564"/>
      <c r="I566" s="564"/>
      <c r="J566" s="564"/>
      <c r="K566" s="474"/>
      <c r="L566" s="474"/>
    </row>
    <row r="567" spans="1:12" ht="22.5" customHeight="1">
      <c r="A567" s="339"/>
      <c r="B567" s="564"/>
      <c r="C567" s="564"/>
      <c r="D567" s="564"/>
      <c r="E567" s="564"/>
      <c r="F567" s="564"/>
      <c r="G567" s="564"/>
      <c r="H567" s="564"/>
      <c r="I567" s="564"/>
      <c r="J567" s="564"/>
      <c r="K567" s="474"/>
      <c r="L567" s="474"/>
    </row>
    <row r="568" spans="1:12" ht="22.5" customHeight="1">
      <c r="A568" s="339"/>
      <c r="B568" s="564"/>
      <c r="C568" s="564"/>
      <c r="D568" s="564"/>
      <c r="E568" s="564"/>
      <c r="F568" s="564"/>
      <c r="G568" s="564"/>
      <c r="H568" s="564"/>
      <c r="I568" s="564"/>
      <c r="J568" s="564"/>
      <c r="K568" s="474"/>
      <c r="L568" s="474"/>
    </row>
    <row r="569" spans="1:12" ht="12" customHeight="1">
      <c r="A569" s="2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</row>
    <row r="570" spans="1:12">
      <c r="A570" s="500" t="s">
        <v>103</v>
      </c>
      <c r="B570" s="500"/>
      <c r="C570" s="500"/>
      <c r="D570" s="500"/>
      <c r="E570" s="500"/>
      <c r="F570" s="500"/>
      <c r="G570" s="500"/>
      <c r="H570" s="500"/>
      <c r="I570" s="500"/>
      <c r="J570" s="500"/>
      <c r="K570" s="500"/>
      <c r="L570" s="500"/>
    </row>
    <row r="571" spans="1:12">
      <c r="A571" s="9"/>
      <c r="B571" s="9"/>
      <c r="C571" s="9"/>
      <c r="D571" s="9"/>
      <c r="E571" s="9"/>
      <c r="F571" s="9"/>
      <c r="G571" s="9"/>
      <c r="H571" s="9"/>
      <c r="I571" s="9"/>
      <c r="J571" s="9"/>
      <c r="K571" s="9"/>
      <c r="L571" s="9"/>
    </row>
    <row r="572" spans="1:12">
      <c r="A572" s="1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3"/>
    </row>
    <row r="573" spans="1:12">
      <c r="A573" s="334" t="s">
        <v>49</v>
      </c>
      <c r="B573" s="15" t="s">
        <v>104</v>
      </c>
      <c r="C573" s="15"/>
      <c r="D573" s="15"/>
      <c r="E573" s="15"/>
      <c r="F573" s="15"/>
      <c r="G573" s="15"/>
      <c r="H573" s="15"/>
      <c r="I573" s="15"/>
      <c r="J573" s="15"/>
      <c r="K573" s="15"/>
      <c r="L573" s="329"/>
    </row>
    <row r="574" spans="1:12">
      <c r="A574" s="334"/>
      <c r="B574" s="424" t="s">
        <v>509</v>
      </c>
      <c r="C574" s="424"/>
      <c r="D574" s="424"/>
      <c r="E574" s="424"/>
      <c r="F574" s="424"/>
      <c r="G574" s="424"/>
      <c r="H574" s="424"/>
      <c r="I574" s="424"/>
      <c r="J574" s="15"/>
      <c r="K574" s="15"/>
      <c r="L574" s="329"/>
    </row>
    <row r="575" spans="1:12">
      <c r="A575" s="334"/>
      <c r="B575" s="325"/>
      <c r="C575" s="325"/>
      <c r="D575" s="325"/>
      <c r="E575" s="325"/>
      <c r="F575" s="325"/>
      <c r="G575" s="325"/>
      <c r="H575" s="325"/>
      <c r="I575" s="325"/>
      <c r="J575" s="15"/>
      <c r="K575" s="15"/>
      <c r="L575" s="329"/>
    </row>
    <row r="576" spans="1:12">
      <c r="A576" s="334" t="s">
        <v>49</v>
      </c>
      <c r="B576" s="15" t="s">
        <v>510</v>
      </c>
      <c r="C576" s="15"/>
      <c r="D576" s="15"/>
      <c r="E576" s="15"/>
      <c r="F576" s="15"/>
      <c r="G576" s="15"/>
      <c r="H576" s="15"/>
      <c r="I576" s="15"/>
      <c r="J576" s="15"/>
      <c r="K576" s="15"/>
      <c r="L576" s="329"/>
    </row>
    <row r="577" spans="1:12">
      <c r="A577" s="328"/>
      <c r="B577" s="15" t="s">
        <v>511</v>
      </c>
      <c r="C577" s="15"/>
      <c r="D577" s="15"/>
      <c r="E577" s="15"/>
      <c r="F577" s="15"/>
      <c r="G577" s="15"/>
      <c r="H577" s="15"/>
      <c r="I577" s="15"/>
      <c r="J577" s="15"/>
      <c r="K577" s="15"/>
      <c r="L577" s="329"/>
    </row>
    <row r="578" spans="1:12">
      <c r="A578" s="328"/>
      <c r="B578" s="15"/>
      <c r="C578" s="15"/>
      <c r="D578" s="15"/>
      <c r="E578" s="15"/>
      <c r="F578" s="15"/>
      <c r="G578" s="15"/>
      <c r="H578" s="15"/>
      <c r="I578" s="15"/>
      <c r="J578" s="15"/>
      <c r="K578" s="15"/>
      <c r="L578" s="329"/>
    </row>
    <row r="579" spans="1:12">
      <c r="A579" s="328"/>
      <c r="B579" s="15"/>
      <c r="C579" s="15"/>
      <c r="D579" s="15"/>
      <c r="E579" s="15"/>
      <c r="F579" s="15"/>
      <c r="G579" s="15" t="s">
        <v>106</v>
      </c>
      <c r="H579" s="15"/>
      <c r="I579" s="15"/>
      <c r="J579" s="15"/>
      <c r="K579" s="15"/>
      <c r="L579" s="329"/>
    </row>
    <row r="580" spans="1:12">
      <c r="A580" s="334" t="s">
        <v>49</v>
      </c>
      <c r="B580" s="15" t="s">
        <v>105</v>
      </c>
      <c r="C580" s="15"/>
      <c r="D580" s="15"/>
      <c r="E580" s="15"/>
      <c r="F580" s="15"/>
      <c r="G580" s="15"/>
      <c r="H580" s="15"/>
      <c r="I580" s="15"/>
      <c r="J580" s="15"/>
      <c r="K580" s="15"/>
      <c r="L580" s="329"/>
    </row>
    <row r="581" spans="1:12">
      <c r="A581" s="328"/>
      <c r="B581" s="15"/>
      <c r="C581" s="15"/>
      <c r="D581" s="15"/>
      <c r="E581" s="15"/>
      <c r="F581" s="15"/>
      <c r="G581" s="15"/>
      <c r="H581" s="15"/>
      <c r="I581" s="15"/>
      <c r="J581" s="15"/>
      <c r="K581" s="15"/>
      <c r="L581" s="329"/>
    </row>
    <row r="582" spans="1:12">
      <c r="A582" s="328"/>
      <c r="B582" s="15"/>
      <c r="C582" s="15"/>
      <c r="D582" s="15"/>
      <c r="E582" s="15"/>
      <c r="F582" s="15"/>
      <c r="G582" s="15" t="s">
        <v>107</v>
      </c>
      <c r="H582" s="15"/>
      <c r="I582" s="15"/>
      <c r="J582" s="15"/>
      <c r="K582" s="15"/>
      <c r="L582" s="329"/>
    </row>
    <row r="583" spans="1:12">
      <c r="A583" s="328"/>
      <c r="B583" s="15"/>
      <c r="C583" s="15"/>
      <c r="D583" s="15"/>
      <c r="E583" s="15"/>
      <c r="F583" s="15"/>
      <c r="G583" s="15"/>
      <c r="H583" s="15"/>
      <c r="I583" s="15"/>
      <c r="J583" s="15"/>
      <c r="K583" s="15"/>
      <c r="L583" s="329"/>
    </row>
    <row r="584" spans="1:12">
      <c r="A584" s="328"/>
      <c r="B584" s="15"/>
      <c r="C584" s="15"/>
      <c r="D584" s="15"/>
      <c r="E584" s="15"/>
      <c r="F584" s="15"/>
      <c r="G584" s="15"/>
      <c r="H584" s="15"/>
      <c r="I584" s="15"/>
      <c r="J584" s="15"/>
      <c r="K584" s="15"/>
      <c r="L584" s="329"/>
    </row>
    <row r="585" spans="1:12">
      <c r="A585" s="328"/>
      <c r="B585" s="424" t="s">
        <v>512</v>
      </c>
      <c r="C585" s="424"/>
      <c r="D585" s="424"/>
      <c r="E585" s="330"/>
      <c r="F585" s="330"/>
      <c r="G585" s="15"/>
      <c r="H585" s="15"/>
      <c r="I585" s="15"/>
      <c r="J585" s="15"/>
      <c r="K585" s="15"/>
      <c r="L585" s="329"/>
    </row>
    <row r="586" spans="1:12">
      <c r="A586" s="328"/>
      <c r="B586" s="15"/>
      <c r="C586" s="15"/>
      <c r="D586" s="15"/>
      <c r="E586" s="15"/>
      <c r="F586" s="15"/>
      <c r="G586" s="15"/>
      <c r="H586" s="15"/>
      <c r="I586" s="15"/>
      <c r="J586" s="15"/>
      <c r="K586" s="15"/>
      <c r="L586" s="329"/>
    </row>
    <row r="587" spans="1:12">
      <c r="A587" s="328"/>
      <c r="B587" s="15" t="s">
        <v>513</v>
      </c>
      <c r="C587" s="15"/>
      <c r="D587" s="330"/>
      <c r="E587" s="330"/>
      <c r="F587" s="330"/>
      <c r="G587" s="330"/>
      <c r="H587" s="330"/>
      <c r="I587" s="330"/>
      <c r="J587" s="330"/>
      <c r="K587" s="15"/>
      <c r="L587" s="329"/>
    </row>
    <row r="588" spans="1:12">
      <c r="A588" s="328"/>
      <c r="B588" s="15"/>
      <c r="C588" s="15"/>
      <c r="D588" s="15"/>
      <c r="E588" s="419" t="s">
        <v>514</v>
      </c>
      <c r="F588" s="419"/>
      <c r="G588" s="419"/>
      <c r="H588" s="419"/>
      <c r="I588" s="419"/>
      <c r="J588" s="15"/>
      <c r="K588" s="15"/>
      <c r="L588" s="329"/>
    </row>
    <row r="589" spans="1:12">
      <c r="A589" s="328"/>
      <c r="B589" s="15"/>
      <c r="C589" s="15"/>
      <c r="D589" s="15"/>
      <c r="E589" s="15"/>
      <c r="F589" s="15"/>
      <c r="G589" s="15"/>
      <c r="H589" s="15"/>
      <c r="I589" s="15"/>
      <c r="J589" s="15"/>
      <c r="K589" s="15"/>
      <c r="L589" s="329"/>
    </row>
    <row r="590" spans="1:12" ht="15.75" thickBot="1">
      <c r="A590" s="328"/>
      <c r="B590" s="15" t="s">
        <v>515</v>
      </c>
      <c r="C590" s="15"/>
      <c r="D590" s="15"/>
      <c r="E590" s="15"/>
      <c r="F590" s="15"/>
      <c r="G590" s="15"/>
      <c r="H590" s="15"/>
      <c r="I590" s="15"/>
      <c r="J590" s="15"/>
      <c r="K590" s="15"/>
      <c r="L590" s="329"/>
    </row>
    <row r="591" spans="1:12" ht="40.5" customHeight="1" thickBot="1">
      <c r="A591" s="4"/>
      <c r="B591" s="575" t="s">
        <v>516</v>
      </c>
      <c r="C591" s="576"/>
      <c r="D591" s="576"/>
      <c r="E591" s="576"/>
      <c r="F591" s="576"/>
      <c r="G591" s="577"/>
      <c r="H591" s="176" t="s">
        <v>517</v>
      </c>
      <c r="I591" s="578" t="s">
        <v>108</v>
      </c>
      <c r="J591" s="579"/>
      <c r="K591" s="580"/>
      <c r="L591" s="5"/>
    </row>
    <row r="592" spans="1:12" ht="36.75" customHeight="1">
      <c r="A592" s="4"/>
      <c r="B592" s="399"/>
      <c r="C592" s="400"/>
      <c r="D592" s="400"/>
      <c r="E592" s="400"/>
      <c r="F592" s="400"/>
      <c r="G592" s="401"/>
      <c r="H592" s="405"/>
      <c r="I592" s="407"/>
      <c r="J592" s="408"/>
      <c r="K592" s="409"/>
      <c r="L592" s="5"/>
    </row>
    <row r="593" spans="1:12" ht="36.75" customHeight="1" thickBot="1">
      <c r="A593" s="4"/>
      <c r="B593" s="402"/>
      <c r="C593" s="403"/>
      <c r="D593" s="403"/>
      <c r="E593" s="403"/>
      <c r="F593" s="403"/>
      <c r="G593" s="404"/>
      <c r="H593" s="406"/>
      <c r="I593" s="410"/>
      <c r="J593" s="411"/>
      <c r="K593" s="412"/>
      <c r="L593" s="5"/>
    </row>
    <row r="594" spans="1:12" ht="36.75" customHeight="1">
      <c r="A594" s="4"/>
      <c r="B594" s="399"/>
      <c r="C594" s="400"/>
      <c r="D594" s="400"/>
      <c r="E594" s="400"/>
      <c r="F594" s="400"/>
      <c r="G594" s="401"/>
      <c r="H594" s="405"/>
      <c r="I594" s="407"/>
      <c r="J594" s="408"/>
      <c r="K594" s="409"/>
      <c r="L594" s="5"/>
    </row>
    <row r="595" spans="1:12" ht="36.75" customHeight="1" thickBot="1">
      <c r="A595" s="4"/>
      <c r="B595" s="402"/>
      <c r="C595" s="403"/>
      <c r="D595" s="403"/>
      <c r="E595" s="403"/>
      <c r="F595" s="403"/>
      <c r="G595" s="404"/>
      <c r="H595" s="406"/>
      <c r="I595" s="410"/>
      <c r="J595" s="411"/>
      <c r="K595" s="412"/>
      <c r="L595" s="5"/>
    </row>
    <row r="596" spans="1:12" ht="36.75" customHeight="1">
      <c r="A596" s="4"/>
      <c r="B596" s="399"/>
      <c r="C596" s="400"/>
      <c r="D596" s="400"/>
      <c r="E596" s="400"/>
      <c r="F596" s="400"/>
      <c r="G596" s="401"/>
      <c r="H596" s="405"/>
      <c r="I596" s="407"/>
      <c r="J596" s="408"/>
      <c r="K596" s="409"/>
      <c r="L596" s="5"/>
    </row>
    <row r="597" spans="1:12" ht="36.75" customHeight="1" thickBot="1">
      <c r="A597" s="4"/>
      <c r="B597" s="587"/>
      <c r="C597" s="588"/>
      <c r="D597" s="588"/>
      <c r="E597" s="588"/>
      <c r="F597" s="588"/>
      <c r="G597" s="589"/>
      <c r="H597" s="406"/>
      <c r="I597" s="410"/>
      <c r="J597" s="411"/>
      <c r="K597" s="412"/>
      <c r="L597" s="5"/>
    </row>
    <row r="598" spans="1:12" ht="36.75" customHeight="1">
      <c r="A598" s="4"/>
      <c r="B598" s="399"/>
      <c r="C598" s="400"/>
      <c r="D598" s="400"/>
      <c r="E598" s="400"/>
      <c r="F598" s="400"/>
      <c r="G598" s="401"/>
      <c r="H598" s="406"/>
      <c r="I598" s="407"/>
      <c r="J598" s="408"/>
      <c r="K598" s="409"/>
      <c r="L598" s="5"/>
    </row>
    <row r="599" spans="1:12" ht="36.75" customHeight="1" thickBot="1">
      <c r="A599" s="4"/>
      <c r="B599" s="581"/>
      <c r="C599" s="582"/>
      <c r="D599" s="582"/>
      <c r="E599" s="582"/>
      <c r="F599" s="582"/>
      <c r="G599" s="583"/>
      <c r="H599" s="406"/>
      <c r="I599" s="410"/>
      <c r="J599" s="411"/>
      <c r="K599" s="412"/>
      <c r="L599" s="5"/>
    </row>
    <row r="600" spans="1:12" ht="36.75" customHeight="1">
      <c r="A600" s="4"/>
      <c r="B600" s="399"/>
      <c r="C600" s="400"/>
      <c r="D600" s="400"/>
      <c r="E600" s="400"/>
      <c r="F600" s="400"/>
      <c r="G600" s="401"/>
      <c r="H600" s="406"/>
      <c r="I600" s="267"/>
      <c r="J600" s="268"/>
      <c r="K600" s="269"/>
      <c r="L600" s="5"/>
    </row>
    <row r="601" spans="1:12" ht="36.75" customHeight="1" thickBot="1">
      <c r="A601" s="6"/>
      <c r="B601" s="581"/>
      <c r="C601" s="582"/>
      <c r="D601" s="582"/>
      <c r="E601" s="582"/>
      <c r="F601" s="582"/>
      <c r="G601" s="583"/>
      <c r="H601" s="584"/>
      <c r="I601" s="385"/>
      <c r="J601" s="268"/>
      <c r="K601" s="269"/>
      <c r="L601" s="8"/>
    </row>
    <row r="602" spans="1:12" ht="25.5" customHeight="1" thickBot="1">
      <c r="A602" s="2"/>
      <c r="G602" s="383" t="s">
        <v>159</v>
      </c>
      <c r="H602" s="382">
        <v>100</v>
      </c>
      <c r="J602" s="384"/>
      <c r="K602" s="384"/>
      <c r="L602" s="2"/>
    </row>
    <row r="603" spans="1:12" ht="21" customHeight="1">
      <c r="A603" s="7"/>
      <c r="B603" s="7"/>
      <c r="C603" s="7"/>
      <c r="D603" s="7"/>
      <c r="E603" s="7"/>
      <c r="F603" s="7"/>
      <c r="G603" s="7"/>
      <c r="H603" s="7"/>
      <c r="I603" s="7"/>
      <c r="J603" s="7"/>
      <c r="K603" s="7"/>
      <c r="L603" s="7"/>
    </row>
    <row r="604" spans="1:12">
      <c r="A604" s="413" t="s">
        <v>109</v>
      </c>
      <c r="B604" s="414"/>
      <c r="C604" s="414"/>
      <c r="D604" s="414"/>
      <c r="E604" s="414"/>
      <c r="F604" s="414"/>
      <c r="G604" s="414"/>
      <c r="H604" s="414"/>
      <c r="I604" s="414"/>
      <c r="J604" s="414"/>
      <c r="K604" s="414"/>
      <c r="L604" s="415"/>
    </row>
    <row r="605" spans="1:12">
      <c r="A605" s="37"/>
      <c r="B605" s="37"/>
      <c r="C605" s="37"/>
      <c r="D605" s="37"/>
      <c r="E605" s="37"/>
      <c r="F605" s="37"/>
      <c r="G605" s="37"/>
      <c r="H605" s="37"/>
      <c r="I605" s="37"/>
      <c r="J605" s="37"/>
      <c r="K605" s="37"/>
      <c r="L605" s="37"/>
    </row>
    <row r="606" spans="1:12">
      <c r="A606" s="15"/>
      <c r="B606" s="15" t="s">
        <v>110</v>
      </c>
      <c r="C606" s="15"/>
      <c r="D606" s="585"/>
      <c r="E606" s="419"/>
      <c r="F606" s="419"/>
      <c r="G606" s="419"/>
      <c r="H606" s="419"/>
      <c r="I606" s="419"/>
      <c r="J606" s="419"/>
      <c r="K606" s="523"/>
      <c r="L606" s="15"/>
    </row>
    <row r="607" spans="1:12" ht="9.75" customHeight="1">
      <c r="A607" s="15"/>
      <c r="B607" s="15"/>
      <c r="C607" s="15"/>
      <c r="D607" s="586"/>
      <c r="E607" s="423"/>
      <c r="F607" s="423"/>
      <c r="G607" s="423"/>
      <c r="H607" s="423"/>
      <c r="I607" s="423"/>
      <c r="J607" s="423"/>
      <c r="K607" s="560"/>
      <c r="L607" s="15"/>
    </row>
    <row r="608" spans="1:12">
      <c r="A608" s="15"/>
      <c r="B608" s="15"/>
      <c r="C608" s="15"/>
      <c r="D608" s="15"/>
      <c r="E608" s="15"/>
      <c r="F608" s="15"/>
      <c r="G608" s="15"/>
      <c r="H608" s="15"/>
      <c r="I608" s="15"/>
      <c r="J608" s="15"/>
      <c r="K608" s="15"/>
      <c r="L608" s="15"/>
    </row>
    <row r="609" spans="1:12">
      <c r="A609" s="15"/>
      <c r="B609" s="15" t="s">
        <v>518</v>
      </c>
      <c r="C609" s="15"/>
      <c r="D609" s="15"/>
      <c r="E609" s="15"/>
      <c r="F609" s="423"/>
      <c r="G609" s="423"/>
      <c r="H609" s="423"/>
      <c r="I609" s="423"/>
      <c r="J609" s="423"/>
      <c r="K609" s="423"/>
      <c r="L609" s="15"/>
    </row>
    <row r="610" spans="1:12">
      <c r="A610" s="15"/>
      <c r="B610" s="15" t="s">
        <v>519</v>
      </c>
      <c r="C610" s="15"/>
      <c r="D610" s="15"/>
      <c r="E610" s="15"/>
      <c r="F610" s="15"/>
      <c r="G610" s="337"/>
      <c r="H610" s="337"/>
      <c r="I610" s="337"/>
      <c r="J610" s="337"/>
      <c r="K610" s="337"/>
      <c r="L610" s="15"/>
    </row>
    <row r="611" spans="1:12">
      <c r="A611" s="15"/>
      <c r="B611" s="15" t="s">
        <v>520</v>
      </c>
      <c r="C611" s="15"/>
      <c r="D611" s="15"/>
      <c r="E611" s="15"/>
      <c r="F611" s="330"/>
      <c r="G611" s="330"/>
      <c r="H611" s="330"/>
      <c r="I611" s="330"/>
      <c r="J611" s="330"/>
      <c r="K611" s="330"/>
      <c r="L611" s="15"/>
    </row>
    <row r="612" spans="1:12">
      <c r="A612" s="330"/>
      <c r="B612" s="330"/>
      <c r="C612" s="330"/>
      <c r="D612" s="330"/>
      <c r="E612" s="330"/>
      <c r="F612" s="330"/>
      <c r="G612" s="330"/>
      <c r="H612" s="330"/>
      <c r="I612" s="330"/>
      <c r="J612" s="330"/>
      <c r="K612" s="330"/>
      <c r="L612" s="330"/>
    </row>
    <row r="613" spans="1:12" ht="25.5" customHeight="1">
      <c r="A613" s="450" t="s">
        <v>111</v>
      </c>
      <c r="B613" s="450"/>
      <c r="C613" s="450"/>
      <c r="D613" s="450"/>
      <c r="E613" s="450"/>
      <c r="F613" s="450" t="s">
        <v>112</v>
      </c>
      <c r="G613" s="450"/>
      <c r="H613" s="450"/>
      <c r="I613" s="450"/>
      <c r="J613" s="450"/>
      <c r="K613" s="450"/>
      <c r="L613" s="450"/>
    </row>
    <row r="614" spans="1:12" ht="25.5" customHeight="1">
      <c r="A614" s="474"/>
      <c r="B614" s="474"/>
      <c r="C614" s="474"/>
      <c r="D614" s="474"/>
      <c r="E614" s="474"/>
      <c r="F614" s="398"/>
      <c r="G614" s="398"/>
      <c r="H614" s="398"/>
      <c r="I614" s="398"/>
      <c r="J614" s="398"/>
      <c r="K614" s="398"/>
      <c r="L614" s="398"/>
    </row>
    <row r="615" spans="1:12" ht="25.5" customHeight="1">
      <c r="A615" s="474"/>
      <c r="B615" s="474"/>
      <c r="C615" s="474"/>
      <c r="D615" s="474"/>
      <c r="E615" s="474"/>
      <c r="F615" s="398"/>
      <c r="G615" s="398"/>
      <c r="H615" s="398"/>
      <c r="I615" s="398"/>
      <c r="J615" s="398"/>
      <c r="K615" s="398"/>
      <c r="L615" s="398"/>
    </row>
    <row r="616" spans="1:12" ht="25.5" customHeight="1">
      <c r="A616" s="474"/>
      <c r="B616" s="474"/>
      <c r="C616" s="474"/>
      <c r="D616" s="474"/>
      <c r="E616" s="474"/>
      <c r="F616" s="398"/>
      <c r="G616" s="398"/>
      <c r="H616" s="398"/>
      <c r="I616" s="398"/>
      <c r="J616" s="398"/>
      <c r="K616" s="398"/>
      <c r="L616" s="398"/>
    </row>
    <row r="617" spans="1:12" ht="9.9499999999999993" customHeight="1">
      <c r="C617" s="2"/>
      <c r="D617" s="2"/>
      <c r="E617" s="2"/>
      <c r="F617" s="2"/>
      <c r="G617" s="2"/>
      <c r="H617" s="2"/>
      <c r="I617" s="2"/>
      <c r="J617" s="2"/>
      <c r="K617" s="2"/>
      <c r="L617" s="2"/>
    </row>
    <row r="618" spans="1:12" ht="15" customHeight="1">
      <c r="A618" s="370" t="s">
        <v>920</v>
      </c>
    </row>
    <row r="619" spans="1:12">
      <c r="A619" s="306" t="s">
        <v>919</v>
      </c>
    </row>
    <row r="620" spans="1:12">
      <c r="A620" s="413" t="s">
        <v>113</v>
      </c>
      <c r="B620" s="414"/>
      <c r="C620" s="414"/>
      <c r="D620" s="414"/>
      <c r="E620" s="414"/>
      <c r="F620" s="414"/>
      <c r="G620" s="414"/>
      <c r="H620" s="414"/>
      <c r="I620" s="414"/>
      <c r="J620" s="414"/>
      <c r="K620" s="414"/>
      <c r="L620" s="415"/>
    </row>
    <row r="621" spans="1:12">
      <c r="A621" s="9"/>
      <c r="B621" s="9"/>
      <c r="C621" s="9"/>
      <c r="D621" s="9"/>
      <c r="E621" s="9"/>
      <c r="F621" s="9"/>
      <c r="G621" s="9"/>
      <c r="H621" s="9"/>
      <c r="I621" s="9"/>
      <c r="J621" s="9"/>
      <c r="K621" s="9"/>
      <c r="L621" s="9"/>
    </row>
    <row r="622" spans="1:12">
      <c r="A622" s="326"/>
      <c r="B622" s="324"/>
      <c r="C622" s="324"/>
      <c r="D622" s="324"/>
      <c r="E622" s="324"/>
      <c r="F622" s="324"/>
      <c r="G622" s="324"/>
      <c r="H622" s="324"/>
      <c r="I622" s="324"/>
      <c r="J622" s="324"/>
      <c r="K622" s="324"/>
      <c r="L622" s="327"/>
    </row>
    <row r="623" spans="1:12">
      <c r="A623" s="328"/>
      <c r="B623" s="590" t="str">
        <f>DATOS!D31</f>
        <v>SANTILLAN</v>
      </c>
      <c r="C623" s="591"/>
      <c r="D623" s="591"/>
      <c r="E623" s="592" t="str">
        <f>DATOS!D32</f>
        <v>QUIROZ</v>
      </c>
      <c r="F623" s="592"/>
      <c r="G623" s="592"/>
      <c r="H623" s="593" t="str">
        <f>DATOS!D33</f>
        <v>JULIO</v>
      </c>
      <c r="I623" s="593"/>
      <c r="J623" s="593"/>
      <c r="K623" s="353"/>
      <c r="L623" s="329"/>
    </row>
    <row r="624" spans="1:12">
      <c r="A624" s="328"/>
      <c r="B624" s="15"/>
      <c r="C624" s="15"/>
      <c r="D624" s="419" t="s">
        <v>114</v>
      </c>
      <c r="E624" s="419"/>
      <c r="F624" s="419"/>
      <c r="G624" s="419"/>
      <c r="H624" s="419"/>
      <c r="I624" s="15"/>
      <c r="J624" s="15"/>
      <c r="K624" s="15"/>
      <c r="L624" s="329"/>
    </row>
    <row r="625" spans="1:12">
      <c r="A625" s="328"/>
      <c r="B625" s="15"/>
      <c r="C625" s="15"/>
      <c r="D625" s="15"/>
      <c r="E625" s="15"/>
      <c r="F625" s="15"/>
      <c r="G625" s="15"/>
      <c r="H625" s="15"/>
      <c r="I625" s="15"/>
      <c r="J625" s="15"/>
      <c r="K625" s="15"/>
      <c r="L625" s="329"/>
    </row>
    <row r="626" spans="1:12" ht="26.25" customHeight="1">
      <c r="A626" s="328"/>
      <c r="B626" s="594" t="s">
        <v>521</v>
      </c>
      <c r="C626" s="594"/>
      <c r="D626" s="595">
        <f>DATOS!D34</f>
        <v>18845643</v>
      </c>
      <c r="E626" s="596"/>
      <c r="F626" s="380" t="s">
        <v>9</v>
      </c>
      <c r="G626" s="597" t="str">
        <f>DATOS!D35</f>
        <v>Jr.Guayabas 2039 Dpto.A-505 Urb.El trebol
 III Etapa-Los Olivos</v>
      </c>
      <c r="H626" s="598"/>
      <c r="I626" s="598"/>
      <c r="J626" s="598"/>
      <c r="K626" s="599"/>
      <c r="L626" s="329"/>
    </row>
    <row r="627" spans="1:12">
      <c r="A627" s="328"/>
      <c r="B627" s="15"/>
      <c r="C627" s="15"/>
      <c r="D627" s="15"/>
      <c r="E627" s="15"/>
      <c r="F627" s="15"/>
      <c r="G627" s="15"/>
      <c r="H627" s="15"/>
      <c r="I627" s="15"/>
      <c r="J627" s="15"/>
      <c r="K627" s="15"/>
      <c r="L627" s="329"/>
    </row>
    <row r="628" spans="1:12">
      <c r="A628" s="328"/>
      <c r="B628" s="15"/>
      <c r="C628" s="15"/>
      <c r="D628" s="15"/>
      <c r="E628" s="15"/>
      <c r="F628" s="15"/>
      <c r="G628" s="15"/>
      <c r="H628" s="15"/>
      <c r="I628" s="15"/>
      <c r="J628" s="15"/>
      <c r="K628" s="15"/>
      <c r="L628" s="329"/>
    </row>
    <row r="629" spans="1:12">
      <c r="A629" s="328"/>
      <c r="B629" s="15"/>
      <c r="C629" s="15"/>
      <c r="D629" s="15" t="s">
        <v>116</v>
      </c>
      <c r="E629" s="15"/>
      <c r="F629" s="15"/>
      <c r="G629" s="15" t="s">
        <v>118</v>
      </c>
      <c r="H629" s="390"/>
      <c r="I629" s="422"/>
      <c r="J629" s="422"/>
      <c r="K629" s="391"/>
      <c r="L629" s="329"/>
    </row>
    <row r="630" spans="1:12">
      <c r="A630" s="328"/>
      <c r="B630" s="15" t="s">
        <v>115</v>
      </c>
      <c r="C630" s="15"/>
      <c r="D630" s="15"/>
      <c r="E630" s="15"/>
      <c r="F630" s="15"/>
      <c r="G630" s="15"/>
      <c r="H630" s="15"/>
      <c r="I630" s="15"/>
      <c r="J630" s="15"/>
      <c r="K630" s="15"/>
      <c r="L630" s="329"/>
    </row>
    <row r="631" spans="1:12">
      <c r="A631" s="328"/>
      <c r="B631" s="15"/>
      <c r="C631" s="15"/>
      <c r="D631" s="15"/>
      <c r="E631" s="15"/>
      <c r="F631" s="15"/>
      <c r="G631" s="15" t="s">
        <v>119</v>
      </c>
      <c r="H631" s="15"/>
      <c r="I631" s="15" t="s">
        <v>120</v>
      </c>
      <c r="J631" s="15"/>
      <c r="K631" s="15"/>
      <c r="L631" s="329"/>
    </row>
    <row r="632" spans="1:12">
      <c r="A632" s="328"/>
      <c r="B632" s="15"/>
      <c r="C632" s="15"/>
      <c r="D632" s="15" t="s">
        <v>117</v>
      </c>
      <c r="E632" s="15"/>
      <c r="F632" s="15"/>
      <c r="G632" s="15"/>
      <c r="H632" s="15"/>
      <c r="I632" s="15"/>
      <c r="J632" s="15"/>
      <c r="K632" s="15"/>
      <c r="L632" s="329"/>
    </row>
    <row r="633" spans="1:12">
      <c r="A633" s="328"/>
      <c r="B633" s="15"/>
      <c r="C633" s="15"/>
      <c r="D633" s="15"/>
      <c r="E633" s="15"/>
      <c r="F633" s="15"/>
      <c r="G633" s="15"/>
      <c r="H633" s="15"/>
      <c r="I633" s="15"/>
      <c r="J633" s="15"/>
      <c r="K633" s="15"/>
      <c r="L633" s="329"/>
    </row>
    <row r="634" spans="1:12">
      <c r="A634" s="328"/>
      <c r="B634" s="15"/>
      <c r="C634" s="15"/>
      <c r="D634" s="15"/>
      <c r="E634" s="15"/>
      <c r="F634" s="15" t="s">
        <v>522</v>
      </c>
      <c r="G634" s="15"/>
      <c r="H634" s="602" t="str">
        <f>DATOS!D36</f>
        <v>022023VCZRIX</v>
      </c>
      <c r="I634" s="592"/>
      <c r="J634" s="603"/>
      <c r="K634" s="15"/>
      <c r="L634" s="329"/>
    </row>
    <row r="635" spans="1:12">
      <c r="A635" s="328"/>
      <c r="B635" s="15"/>
      <c r="C635" s="15"/>
      <c r="D635" s="15"/>
      <c r="E635" s="15"/>
      <c r="F635" s="15"/>
      <c r="G635" s="15"/>
      <c r="H635" s="15"/>
      <c r="I635" s="15"/>
      <c r="J635" s="15"/>
      <c r="K635" s="15"/>
      <c r="L635" s="329"/>
    </row>
    <row r="636" spans="1:12" ht="17.25" customHeight="1">
      <c r="A636" s="328"/>
      <c r="B636" s="15" t="s">
        <v>523</v>
      </c>
      <c r="C636" s="15"/>
      <c r="D636" s="15"/>
      <c r="E636" s="15"/>
      <c r="F636" s="15"/>
      <c r="G636" s="15"/>
      <c r="H636" s="15"/>
      <c r="I636" s="15"/>
      <c r="J636" s="15"/>
      <c r="K636" s="15"/>
      <c r="L636" s="329"/>
    </row>
    <row r="637" spans="1:12" ht="17.25" customHeight="1">
      <c r="A637" s="328"/>
      <c r="B637" s="15" t="s">
        <v>524</v>
      </c>
      <c r="C637" s="15"/>
      <c r="D637" s="15"/>
      <c r="E637" s="15"/>
      <c r="F637" s="15"/>
      <c r="G637" s="15"/>
      <c r="H637" s="15"/>
      <c r="I637" s="15"/>
      <c r="J637" s="15"/>
      <c r="K637" s="15"/>
      <c r="L637" s="329"/>
    </row>
    <row r="638" spans="1:12" ht="17.25" customHeight="1">
      <c r="A638" s="328"/>
      <c r="B638" s="15" t="s">
        <v>525</v>
      </c>
      <c r="C638" s="15"/>
      <c r="D638" s="15"/>
      <c r="E638" s="15"/>
      <c r="F638" s="15"/>
      <c r="G638" s="15"/>
      <c r="H638" s="15"/>
      <c r="I638" s="15"/>
      <c r="J638" s="15"/>
      <c r="K638" s="15"/>
      <c r="L638" s="329"/>
    </row>
    <row r="639" spans="1:12" ht="17.25" customHeight="1">
      <c r="A639" s="328"/>
      <c r="B639" s="15" t="s">
        <v>121</v>
      </c>
      <c r="C639" s="15"/>
      <c r="D639" s="15"/>
      <c r="E639" s="15"/>
      <c r="F639" s="15"/>
      <c r="G639" s="15"/>
      <c r="H639" s="15"/>
      <c r="I639" s="15"/>
      <c r="J639" s="15"/>
      <c r="K639" s="15"/>
      <c r="L639" s="329"/>
    </row>
    <row r="640" spans="1:12" ht="17.25" customHeight="1">
      <c r="A640" s="328"/>
      <c r="B640" s="15" t="s">
        <v>526</v>
      </c>
      <c r="C640" s="15"/>
      <c r="D640" s="15"/>
      <c r="E640" s="15"/>
      <c r="F640" s="15"/>
      <c r="G640" s="15"/>
      <c r="H640" s="15"/>
      <c r="I640" s="15"/>
      <c r="J640" s="15"/>
      <c r="K640" s="15"/>
      <c r="L640" s="329"/>
    </row>
    <row r="641" spans="1:12" ht="17.25" customHeight="1">
      <c r="A641" s="328"/>
      <c r="B641" s="15"/>
      <c r="C641" s="15"/>
      <c r="D641" s="15"/>
      <c r="E641" s="15"/>
      <c r="F641" s="15"/>
      <c r="G641" s="15"/>
      <c r="H641" s="15"/>
      <c r="I641" s="15"/>
      <c r="J641" s="15"/>
      <c r="K641" s="15"/>
      <c r="L641" s="329"/>
    </row>
    <row r="642" spans="1:12" ht="17.25" customHeight="1">
      <c r="A642" s="328"/>
      <c r="B642" s="15" t="s">
        <v>122</v>
      </c>
      <c r="C642" s="15"/>
      <c r="D642" s="15"/>
      <c r="E642" s="15"/>
      <c r="F642" s="15"/>
      <c r="G642" s="15"/>
      <c r="H642" s="15"/>
      <c r="I642" s="15"/>
      <c r="J642" s="15"/>
      <c r="K642" s="15"/>
      <c r="L642" s="329"/>
    </row>
    <row r="643" spans="1:12">
      <c r="A643" s="328"/>
      <c r="B643" s="15"/>
      <c r="C643" s="15"/>
      <c r="D643" s="15"/>
      <c r="E643" s="15"/>
      <c r="F643" s="15"/>
      <c r="G643" s="15"/>
      <c r="H643" s="15"/>
      <c r="I643" s="15"/>
      <c r="J643" s="15"/>
      <c r="K643" s="15"/>
      <c r="L643" s="329"/>
    </row>
    <row r="644" spans="1:12">
      <c r="A644" s="328"/>
      <c r="B644" s="15"/>
      <c r="C644" s="15"/>
      <c r="D644" s="15"/>
      <c r="E644" s="15"/>
      <c r="F644" s="15"/>
      <c r="G644" s="15"/>
      <c r="H644" s="15"/>
      <c r="I644" s="15"/>
      <c r="J644" s="15"/>
      <c r="K644" s="15"/>
      <c r="L644" s="329"/>
    </row>
    <row r="645" spans="1:12">
      <c r="A645" s="328"/>
      <c r="B645" s="15"/>
      <c r="C645" s="15"/>
      <c r="D645" s="15"/>
      <c r="E645" s="15"/>
      <c r="F645" s="15"/>
      <c r="G645" s="15"/>
      <c r="H645" s="15"/>
      <c r="I645" s="15"/>
      <c r="J645" s="15"/>
      <c r="K645" s="15"/>
      <c r="L645" s="329"/>
    </row>
    <row r="646" spans="1:12">
      <c r="A646" s="328"/>
      <c r="B646" s="15"/>
      <c r="C646" s="15"/>
      <c r="D646" s="15"/>
      <c r="E646" s="15"/>
      <c r="F646" s="15"/>
      <c r="G646" s="15"/>
      <c r="H646" s="15"/>
      <c r="I646" s="15"/>
      <c r="J646" s="15"/>
      <c r="K646" s="15"/>
      <c r="L646" s="329"/>
    </row>
    <row r="647" spans="1:12">
      <c r="A647" s="328"/>
      <c r="B647" s="15"/>
      <c r="C647" s="15"/>
      <c r="D647" s="15"/>
      <c r="E647" s="15"/>
      <c r="F647" s="15"/>
      <c r="G647" s="15"/>
      <c r="H647" s="15"/>
      <c r="I647" s="15"/>
      <c r="J647" s="15"/>
      <c r="K647" s="15"/>
      <c r="L647" s="329"/>
    </row>
    <row r="648" spans="1:12">
      <c r="A648" s="328"/>
      <c r="B648" s="15"/>
      <c r="C648" s="15"/>
      <c r="D648" s="15"/>
      <c r="E648" s="15"/>
      <c r="F648" s="15"/>
      <c r="G648" s="15"/>
      <c r="H648" s="15"/>
      <c r="I648" s="15"/>
      <c r="J648" s="15"/>
      <c r="K648" s="15"/>
      <c r="L648" s="329"/>
    </row>
    <row r="649" spans="1:12">
      <c r="A649" s="328"/>
      <c r="B649" s="15"/>
      <c r="C649" s="15"/>
      <c r="D649" s="15"/>
      <c r="E649" s="15"/>
      <c r="F649" s="15"/>
      <c r="G649" s="15"/>
      <c r="H649" s="15"/>
      <c r="I649" s="15"/>
      <c r="J649" s="15"/>
      <c r="K649" s="15"/>
      <c r="L649" s="329"/>
    </row>
    <row r="650" spans="1:12" ht="17.25" customHeight="1">
      <c r="A650" s="331"/>
      <c r="B650" s="423" t="s">
        <v>527</v>
      </c>
      <c r="C650" s="423"/>
      <c r="D650" s="423"/>
      <c r="E650" s="604">
        <v>43216</v>
      </c>
      <c r="F650" s="604"/>
      <c r="G650" s="330"/>
      <c r="H650" s="330"/>
      <c r="I650" s="330"/>
      <c r="J650" s="330"/>
      <c r="K650" s="330"/>
      <c r="L650" s="332"/>
    </row>
    <row r="651" spans="1:12" ht="17.25" customHeight="1">
      <c r="A651" s="15"/>
      <c r="B651" s="379"/>
      <c r="C651" s="379"/>
      <c r="D651" s="379"/>
      <c r="E651" s="381"/>
      <c r="F651" s="381"/>
      <c r="G651" s="324"/>
      <c r="H651" s="324"/>
      <c r="I651" s="324"/>
      <c r="J651" s="324"/>
      <c r="K651" s="324"/>
      <c r="L651" s="324"/>
    </row>
    <row r="652" spans="1:12">
      <c r="A652" s="7"/>
      <c r="B652" s="7"/>
      <c r="C652" s="7"/>
      <c r="D652" s="7"/>
      <c r="E652" s="7"/>
      <c r="F652" s="7"/>
      <c r="G652" s="7"/>
      <c r="H652" s="7"/>
      <c r="I652" s="7"/>
      <c r="J652" s="7"/>
      <c r="K652" s="7"/>
      <c r="L652" s="7"/>
    </row>
    <row r="653" spans="1:12" ht="18" customHeight="1">
      <c r="A653" s="605" t="s">
        <v>123</v>
      </c>
      <c r="B653" s="606"/>
      <c r="C653" s="606"/>
      <c r="D653" s="606"/>
      <c r="E653" s="606"/>
      <c r="F653" s="606"/>
      <c r="G653" s="606"/>
      <c r="H653" s="606"/>
      <c r="I653" s="606"/>
      <c r="J653" s="606"/>
      <c r="K653" s="606"/>
      <c r="L653" s="607"/>
    </row>
    <row r="654" spans="1:12">
      <c r="A654" s="2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</row>
    <row r="655" spans="1:12" ht="26.25" customHeight="1">
      <c r="A655" s="450" t="s">
        <v>124</v>
      </c>
      <c r="B655" s="450"/>
      <c r="C655" s="450"/>
      <c r="D655" s="450"/>
      <c r="E655" s="450"/>
      <c r="F655" s="450"/>
      <c r="G655" s="450"/>
      <c r="H655" s="450"/>
      <c r="I655" s="450" t="s">
        <v>125</v>
      </c>
      <c r="J655" s="450"/>
      <c r="K655" s="450"/>
      <c r="L655" s="450"/>
    </row>
    <row r="656" spans="1:12" ht="77.25" customHeight="1">
      <c r="A656" s="600">
        <f>B592</f>
        <v>0</v>
      </c>
      <c r="B656" s="600"/>
      <c r="C656" s="600"/>
      <c r="D656" s="600"/>
      <c r="E656" s="600"/>
      <c r="F656" s="600"/>
      <c r="G656" s="600"/>
      <c r="H656" s="600"/>
      <c r="I656" s="601"/>
      <c r="J656" s="601"/>
      <c r="K656" s="601"/>
      <c r="L656" s="601"/>
    </row>
    <row r="657" spans="1:12" ht="77.25" customHeight="1">
      <c r="A657" s="600">
        <f>B594</f>
        <v>0</v>
      </c>
      <c r="B657" s="600"/>
      <c r="C657" s="600"/>
      <c r="D657" s="600"/>
      <c r="E657" s="600"/>
      <c r="F657" s="600"/>
      <c r="G657" s="600"/>
      <c r="H657" s="600"/>
      <c r="I657" s="601"/>
      <c r="J657" s="601"/>
      <c r="K657" s="601"/>
      <c r="L657" s="601"/>
    </row>
    <row r="658" spans="1:12" ht="77.25" customHeight="1">
      <c r="A658" s="600">
        <f>B596</f>
        <v>0</v>
      </c>
      <c r="B658" s="600"/>
      <c r="C658" s="600"/>
      <c r="D658" s="600"/>
      <c r="E658" s="600"/>
      <c r="F658" s="600"/>
      <c r="G658" s="600"/>
      <c r="H658" s="600"/>
      <c r="I658" s="601"/>
      <c r="J658" s="601"/>
      <c r="K658" s="601"/>
      <c r="L658" s="601"/>
    </row>
    <row r="659" spans="1:12" ht="77.25" customHeight="1">
      <c r="A659" s="600">
        <f>B598</f>
        <v>0</v>
      </c>
      <c r="B659" s="600"/>
      <c r="C659" s="600"/>
      <c r="D659" s="600"/>
      <c r="E659" s="600"/>
      <c r="F659" s="600"/>
      <c r="G659" s="600"/>
      <c r="H659" s="600"/>
      <c r="I659" s="601"/>
      <c r="J659" s="601"/>
      <c r="K659" s="601"/>
      <c r="L659" s="601"/>
    </row>
    <row r="660" spans="1:12" ht="77.25" customHeight="1">
      <c r="A660" s="600">
        <f>B600</f>
        <v>0</v>
      </c>
      <c r="B660" s="600"/>
      <c r="C660" s="600"/>
      <c r="D660" s="600"/>
      <c r="E660" s="600"/>
      <c r="F660" s="600"/>
      <c r="G660" s="600"/>
      <c r="H660" s="600"/>
      <c r="I660" s="601"/>
      <c r="J660" s="601"/>
      <c r="K660" s="601"/>
      <c r="L660" s="601"/>
    </row>
    <row r="661" spans="1:12">
      <c r="A661" s="611" t="s">
        <v>866</v>
      </c>
      <c r="B661" s="611"/>
      <c r="C661" s="611"/>
      <c r="D661" s="611"/>
      <c r="E661" s="611"/>
      <c r="F661" s="611"/>
      <c r="G661" s="611"/>
      <c r="H661" s="611"/>
      <c r="I661" s="611"/>
      <c r="J661" s="611"/>
      <c r="K661" s="611"/>
      <c r="L661" s="611"/>
    </row>
    <row r="662" spans="1:12">
      <c r="A662" s="16"/>
      <c r="B662" s="16"/>
      <c r="C662" s="16"/>
      <c r="D662" s="16"/>
      <c r="E662" s="16"/>
      <c r="F662" s="16"/>
      <c r="G662" s="16"/>
      <c r="H662" s="16"/>
      <c r="I662" s="16"/>
      <c r="J662" s="16"/>
      <c r="K662" s="16"/>
      <c r="L662" s="16"/>
    </row>
    <row r="663" spans="1:12" ht="17.25" customHeight="1">
      <c r="A663" s="413" t="s">
        <v>126</v>
      </c>
      <c r="B663" s="414"/>
      <c r="C663" s="414"/>
      <c r="D663" s="414"/>
      <c r="E663" s="414"/>
      <c r="F663" s="414"/>
      <c r="G663" s="414"/>
      <c r="H663" s="414"/>
      <c r="I663" s="414"/>
      <c r="J663" s="414"/>
      <c r="K663" s="414"/>
      <c r="L663" s="415"/>
    </row>
    <row r="664" spans="1:12" ht="17.25" customHeight="1">
      <c r="A664" s="9"/>
      <c r="B664" s="9"/>
      <c r="C664" s="9"/>
      <c r="D664" s="9"/>
      <c r="E664" s="9"/>
      <c r="F664" s="9"/>
      <c r="G664" s="9"/>
      <c r="H664" s="9"/>
      <c r="I664" s="9"/>
      <c r="J664" s="9"/>
      <c r="K664" s="9"/>
      <c r="L664" s="9"/>
    </row>
    <row r="665" spans="1:12" ht="12.75" customHeight="1">
      <c r="A665" s="326"/>
      <c r="B665" s="324"/>
      <c r="C665" s="324"/>
      <c r="D665" s="324"/>
      <c r="E665" s="324"/>
      <c r="F665" s="324"/>
      <c r="G665" s="324"/>
      <c r="H665" s="324"/>
      <c r="I665" s="324"/>
      <c r="J665" s="324"/>
      <c r="K665" s="324"/>
      <c r="L665" s="327"/>
    </row>
    <row r="666" spans="1:12" ht="17.25" customHeight="1">
      <c r="A666" s="328"/>
      <c r="B666" s="15" t="s">
        <v>24</v>
      </c>
      <c r="C666" s="15"/>
      <c r="D666" s="15"/>
      <c r="E666" s="15"/>
      <c r="F666" s="15"/>
      <c r="G666" s="15"/>
      <c r="H666" s="15"/>
      <c r="I666" s="15"/>
      <c r="J666" s="15"/>
      <c r="K666" s="15"/>
      <c r="L666" s="329"/>
    </row>
    <row r="667" spans="1:12" ht="12" customHeight="1">
      <c r="A667" s="328"/>
      <c r="B667" s="15"/>
      <c r="C667" s="15"/>
      <c r="D667" s="15"/>
      <c r="E667" s="15"/>
      <c r="F667" s="15"/>
      <c r="G667" s="15"/>
      <c r="H667" s="15"/>
      <c r="I667" s="15"/>
      <c r="J667" s="15"/>
      <c r="K667" s="15"/>
      <c r="L667" s="329"/>
    </row>
    <row r="668" spans="1:12" ht="17.25" customHeight="1">
      <c r="A668" s="328"/>
      <c r="B668" s="15" t="s">
        <v>25</v>
      </c>
      <c r="C668" s="15"/>
      <c r="D668" s="330"/>
      <c r="E668" s="330"/>
      <c r="F668" s="330"/>
      <c r="G668" s="330"/>
      <c r="H668" s="15" t="s">
        <v>26</v>
      </c>
      <c r="I668" s="330"/>
      <c r="J668" s="15"/>
      <c r="K668" s="15"/>
      <c r="L668" s="329"/>
    </row>
    <row r="669" spans="1:12" ht="12.75" customHeight="1">
      <c r="A669" s="328"/>
      <c r="B669" s="15"/>
      <c r="C669" s="15"/>
      <c r="D669" s="15"/>
      <c r="E669" s="15"/>
      <c r="F669" s="15"/>
      <c r="G669" s="15"/>
      <c r="H669" s="15"/>
      <c r="I669" s="15"/>
      <c r="J669" s="15"/>
      <c r="K669" s="15"/>
      <c r="L669" s="329"/>
    </row>
    <row r="670" spans="1:12" ht="17.25" customHeight="1">
      <c r="A670" s="328"/>
      <c r="B670" s="15" t="s">
        <v>528</v>
      </c>
      <c r="C670" s="15"/>
      <c r="D670" s="15"/>
      <c r="E670" s="423"/>
      <c r="F670" s="423"/>
      <c r="G670" s="423"/>
      <c r="H670" s="15" t="s">
        <v>27</v>
      </c>
      <c r="I670" s="15" t="s">
        <v>899</v>
      </c>
      <c r="J670" s="15"/>
      <c r="K670" s="15"/>
      <c r="L670" s="329"/>
    </row>
    <row r="671" spans="1:12" ht="12.75" customHeight="1">
      <c r="A671" s="328"/>
      <c r="B671" s="15"/>
      <c r="C671" s="15"/>
      <c r="D671" s="15"/>
      <c r="E671" s="15"/>
      <c r="F671" s="15"/>
      <c r="G671" s="15"/>
      <c r="H671" s="15"/>
      <c r="I671" s="15"/>
      <c r="J671" s="15"/>
      <c r="K671" s="15"/>
      <c r="L671" s="329"/>
    </row>
    <row r="672" spans="1:12" ht="17.25" customHeight="1">
      <c r="A672" s="328"/>
      <c r="B672" s="15" t="s">
        <v>542</v>
      </c>
      <c r="C672" s="15"/>
      <c r="D672" s="423"/>
      <c r="E672" s="423"/>
      <c r="F672" s="423"/>
      <c r="G672" s="423"/>
      <c r="H672" s="15" t="s">
        <v>529</v>
      </c>
      <c r="I672" s="330"/>
      <c r="J672" s="15"/>
      <c r="K672" s="15"/>
      <c r="L672" s="329"/>
    </row>
    <row r="673" spans="1:12" ht="14.25" customHeight="1">
      <c r="A673" s="328"/>
      <c r="B673" s="15"/>
      <c r="C673" s="15"/>
      <c r="D673" s="15"/>
      <c r="E673" s="15"/>
      <c r="F673" s="15"/>
      <c r="G673" s="15"/>
      <c r="H673" s="15"/>
      <c r="I673" s="15"/>
      <c r="J673" s="15"/>
      <c r="K673" s="15"/>
      <c r="L673" s="329"/>
    </row>
    <row r="674" spans="1:12" ht="17.25" customHeight="1">
      <c r="A674" s="328"/>
      <c r="B674" s="15" t="s">
        <v>530</v>
      </c>
      <c r="C674" s="330"/>
      <c r="D674" s="330"/>
      <c r="E674" s="330"/>
      <c r="F674" s="330"/>
      <c r="G674" s="330"/>
      <c r="H674" s="330"/>
      <c r="I674" s="330"/>
      <c r="J674" s="15"/>
      <c r="K674" s="15"/>
      <c r="L674" s="329"/>
    </row>
    <row r="675" spans="1:12" ht="12" customHeight="1">
      <c r="A675" s="328"/>
      <c r="B675" s="15"/>
      <c r="C675" s="15"/>
      <c r="D675" s="15"/>
      <c r="E675" s="15"/>
      <c r="F675" s="15"/>
      <c r="G675" s="15"/>
      <c r="H675" s="15"/>
      <c r="I675" s="15"/>
      <c r="J675" s="15"/>
      <c r="K675" s="15"/>
      <c r="L675" s="329"/>
    </row>
    <row r="676" spans="1:12" ht="17.25" customHeight="1">
      <c r="A676" s="328"/>
      <c r="B676" s="15" t="s">
        <v>531</v>
      </c>
      <c r="C676" s="15"/>
      <c r="D676" s="15"/>
      <c r="E676" s="426"/>
      <c r="F676" s="426"/>
      <c r="G676" s="426"/>
      <c r="H676" s="426"/>
      <c r="I676" s="426"/>
      <c r="J676" s="15"/>
      <c r="K676" s="15"/>
      <c r="L676" s="329"/>
    </row>
    <row r="677" spans="1:12" ht="10.5" customHeight="1">
      <c r="A677" s="328"/>
      <c r="B677" s="15"/>
      <c r="C677" s="15"/>
      <c r="D677" s="15"/>
      <c r="E677" s="15"/>
      <c r="F677" s="15"/>
      <c r="G677" s="15"/>
      <c r="H677" s="15"/>
      <c r="I677" s="15"/>
      <c r="J677" s="15"/>
      <c r="K677" s="15"/>
      <c r="L677" s="329"/>
    </row>
    <row r="678" spans="1:12" ht="17.25" customHeight="1">
      <c r="A678" s="328"/>
      <c r="B678" s="15" t="s">
        <v>28</v>
      </c>
      <c r="C678" s="15"/>
      <c r="D678" s="423"/>
      <c r="E678" s="423"/>
      <c r="F678" s="423"/>
      <c r="G678" s="423"/>
      <c r="H678" s="423"/>
      <c r="I678" s="423"/>
      <c r="J678" s="15"/>
      <c r="K678" s="15"/>
      <c r="L678" s="329"/>
    </row>
    <row r="679" spans="1:12" ht="12.75" customHeight="1">
      <c r="A679" s="328"/>
      <c r="B679" s="15"/>
      <c r="C679" s="15"/>
      <c r="D679" s="15"/>
      <c r="E679" s="15"/>
      <c r="F679" s="15"/>
      <c r="G679" s="15"/>
      <c r="H679" s="15"/>
      <c r="I679" s="15"/>
      <c r="J679" s="15"/>
      <c r="K679" s="15"/>
      <c r="L679" s="329"/>
    </row>
    <row r="680" spans="1:12" ht="17.25" customHeight="1">
      <c r="A680" s="328"/>
      <c r="B680" s="15" t="s">
        <v>29</v>
      </c>
      <c r="C680" s="15"/>
      <c r="D680" s="423"/>
      <c r="E680" s="423"/>
      <c r="F680" s="423"/>
      <c r="G680" s="423"/>
      <c r="H680" s="423"/>
      <c r="I680" s="423"/>
      <c r="J680" s="15"/>
      <c r="K680" s="15"/>
      <c r="L680" s="329"/>
    </row>
    <row r="681" spans="1:12" ht="14.25" customHeight="1">
      <c r="A681" s="328"/>
      <c r="B681" s="15"/>
      <c r="C681" s="15"/>
      <c r="D681" s="15"/>
      <c r="E681" s="15"/>
      <c r="F681" s="15"/>
      <c r="G681" s="15"/>
      <c r="H681" s="15"/>
      <c r="I681" s="15"/>
      <c r="J681" s="15"/>
      <c r="K681" s="15"/>
      <c r="L681" s="329"/>
    </row>
    <row r="682" spans="1:12" ht="17.25" customHeight="1">
      <c r="A682" s="328"/>
      <c r="B682" s="15" t="s">
        <v>30</v>
      </c>
      <c r="C682" s="15"/>
      <c r="D682" s="423"/>
      <c r="E682" s="423"/>
      <c r="F682" s="423"/>
      <c r="G682" s="423"/>
      <c r="H682" s="423"/>
      <c r="I682" s="423"/>
      <c r="J682" s="15"/>
      <c r="K682" s="15"/>
      <c r="L682" s="329"/>
    </row>
    <row r="683" spans="1:12" ht="14.25" customHeight="1">
      <c r="A683" s="328"/>
      <c r="B683" s="15"/>
      <c r="C683" s="15"/>
      <c r="D683" s="15"/>
      <c r="E683" s="15"/>
      <c r="F683" s="15"/>
      <c r="G683" s="15"/>
      <c r="H683" s="15"/>
      <c r="I683" s="15"/>
      <c r="J683" s="15"/>
      <c r="K683" s="15"/>
      <c r="L683" s="329"/>
    </row>
    <row r="684" spans="1:12" ht="17.25" customHeight="1">
      <c r="A684" s="328"/>
      <c r="B684" s="15" t="s">
        <v>31</v>
      </c>
      <c r="C684" s="15"/>
      <c r="D684" s="423"/>
      <c r="E684" s="423"/>
      <c r="F684" s="423"/>
      <c r="G684" s="423"/>
      <c r="H684" s="423"/>
      <c r="I684" s="423"/>
      <c r="J684" s="15"/>
      <c r="K684" s="15"/>
      <c r="L684" s="329"/>
    </row>
    <row r="685" spans="1:12" ht="13.5" customHeight="1">
      <c r="A685" s="328"/>
      <c r="B685" s="15"/>
      <c r="C685" s="15"/>
      <c r="D685" s="15"/>
      <c r="E685" s="15"/>
      <c r="F685" s="15"/>
      <c r="G685" s="15"/>
      <c r="H685" s="15"/>
      <c r="I685" s="15"/>
      <c r="J685" s="15"/>
      <c r="K685" s="15"/>
      <c r="L685" s="329"/>
    </row>
    <row r="686" spans="1:12" ht="17.25" customHeight="1">
      <c r="A686" s="328"/>
      <c r="B686" s="15" t="s">
        <v>32</v>
      </c>
      <c r="C686" s="15"/>
      <c r="D686" s="423"/>
      <c r="E686" s="423"/>
      <c r="F686" s="423"/>
      <c r="G686" s="423"/>
      <c r="H686" s="423"/>
      <c r="I686" s="423"/>
      <c r="J686" s="15"/>
      <c r="K686" s="15"/>
      <c r="L686" s="329"/>
    </row>
    <row r="687" spans="1:12" ht="17.25" customHeight="1">
      <c r="A687" s="328"/>
      <c r="B687" s="15"/>
      <c r="C687" s="15"/>
      <c r="D687" s="15"/>
      <c r="E687" s="15"/>
      <c r="F687" s="15"/>
      <c r="G687" s="15"/>
      <c r="H687" s="15"/>
      <c r="I687" s="15"/>
      <c r="J687" s="15"/>
      <c r="K687" s="15"/>
      <c r="L687" s="329"/>
    </row>
    <row r="688" spans="1:12" ht="17.25" customHeight="1">
      <c r="A688" s="328"/>
      <c r="B688" s="15"/>
      <c r="C688" s="330"/>
      <c r="D688" s="330"/>
      <c r="E688" s="330"/>
      <c r="F688" s="330"/>
      <c r="G688" s="330"/>
      <c r="H688" s="330"/>
      <c r="I688" s="330"/>
      <c r="J688" s="15"/>
      <c r="K688" s="15"/>
      <c r="L688" s="329"/>
    </row>
    <row r="689" spans="1:12" ht="7.5" customHeight="1">
      <c r="A689" s="328"/>
      <c r="B689" s="15"/>
      <c r="C689" s="15"/>
      <c r="D689" s="15"/>
      <c r="E689" s="15"/>
      <c r="F689" s="15"/>
      <c r="G689" s="15"/>
      <c r="H689" s="15"/>
      <c r="I689" s="15"/>
      <c r="J689" s="15"/>
      <c r="K689" s="15"/>
      <c r="L689" s="329"/>
    </row>
    <row r="690" spans="1:12" ht="17.25" customHeight="1">
      <c r="A690" s="6"/>
      <c r="B690" s="7"/>
      <c r="C690" s="7"/>
      <c r="D690" s="7"/>
      <c r="E690" s="7"/>
      <c r="F690" s="7"/>
      <c r="G690" s="7"/>
      <c r="H690" s="7"/>
      <c r="I690" s="7"/>
      <c r="J690" s="7"/>
      <c r="K690" s="7"/>
      <c r="L690" s="8"/>
    </row>
    <row r="691" spans="1:12">
      <c r="A691" s="9"/>
      <c r="B691" s="9"/>
      <c r="C691" s="9"/>
      <c r="D691" s="9"/>
      <c r="E691" s="9"/>
      <c r="F691" s="9"/>
      <c r="G691" s="9"/>
      <c r="H691" s="9"/>
      <c r="I691" s="9"/>
      <c r="J691" s="9"/>
      <c r="K691" s="9"/>
      <c r="L691" s="9"/>
    </row>
    <row r="692" spans="1:12" ht="17.25" customHeight="1">
      <c r="A692" s="608" t="s">
        <v>127</v>
      </c>
      <c r="B692" s="609"/>
      <c r="C692" s="609"/>
      <c r="D692" s="609"/>
      <c r="E692" s="609"/>
      <c r="F692" s="609"/>
      <c r="G692" s="609"/>
      <c r="H692" s="609"/>
      <c r="I692" s="609"/>
      <c r="J692" s="609"/>
      <c r="K692" s="609"/>
      <c r="L692" s="610"/>
    </row>
    <row r="693" spans="1:12" ht="17.25" customHeight="1">
      <c r="A693" s="279"/>
      <c r="B693" s="279"/>
      <c r="C693" s="279"/>
      <c r="D693" s="279"/>
      <c r="E693" s="279"/>
      <c r="F693" s="279"/>
      <c r="G693" s="279"/>
      <c r="H693" s="279"/>
      <c r="I693" s="279"/>
      <c r="J693" s="279"/>
      <c r="K693" s="279"/>
      <c r="L693" s="279"/>
    </row>
    <row r="694" spans="1:12" ht="11.25" customHeight="1">
      <c r="A694" s="326"/>
      <c r="B694" s="324"/>
      <c r="C694" s="324"/>
      <c r="D694" s="324"/>
      <c r="E694" s="324"/>
      <c r="F694" s="324"/>
      <c r="G694" s="324"/>
      <c r="H694" s="324"/>
      <c r="I694" s="324"/>
      <c r="J694" s="324"/>
      <c r="K694" s="324"/>
      <c r="L694" s="327"/>
    </row>
    <row r="695" spans="1:12" ht="17.25" customHeight="1">
      <c r="A695" s="328"/>
      <c r="B695" s="426" t="s">
        <v>34</v>
      </c>
      <c r="C695" s="426"/>
      <c r="D695" s="426"/>
      <c r="E695" s="330"/>
      <c r="F695" s="330"/>
      <c r="G695" s="7"/>
      <c r="H695" s="15" t="s">
        <v>35</v>
      </c>
      <c r="I695" s="15"/>
      <c r="J695" s="15"/>
      <c r="K695" s="15"/>
      <c r="L695" s="329"/>
    </row>
    <row r="696" spans="1:12" ht="17.25" customHeight="1">
      <c r="A696" s="328"/>
      <c r="B696" s="15"/>
      <c r="C696" s="15"/>
      <c r="D696" s="15"/>
      <c r="E696" s="15"/>
      <c r="F696" s="15"/>
      <c r="G696" s="15"/>
      <c r="H696" s="15"/>
      <c r="I696" s="15"/>
      <c r="J696" s="15"/>
      <c r="K696" s="15"/>
      <c r="L696" s="329"/>
    </row>
    <row r="697" spans="1:12" ht="17.25" customHeight="1">
      <c r="A697" s="328"/>
      <c r="B697" s="612" t="s">
        <v>898</v>
      </c>
      <c r="C697" s="613"/>
      <c r="D697" s="613"/>
      <c r="E697" s="613"/>
      <c r="F697" s="613"/>
      <c r="G697" s="613"/>
      <c r="H697" s="613"/>
      <c r="I697" s="613"/>
      <c r="J697" s="613"/>
      <c r="K697" s="15"/>
      <c r="L697" s="329"/>
    </row>
    <row r="698" spans="1:12" ht="17.25" customHeight="1">
      <c r="A698" s="328"/>
      <c r="B698" s="613" t="s">
        <v>532</v>
      </c>
      <c r="C698" s="613"/>
      <c r="D698" s="613"/>
      <c r="E698" s="613"/>
      <c r="F698" s="613"/>
      <c r="G698" s="613"/>
      <c r="H698" s="613"/>
      <c r="I698" s="613"/>
      <c r="J698" s="613"/>
      <c r="K698" s="15"/>
      <c r="L698" s="329"/>
    </row>
    <row r="699" spans="1:12" ht="13.5" customHeight="1">
      <c r="A699" s="328"/>
      <c r="B699" s="15"/>
      <c r="C699" s="15"/>
      <c r="D699" s="15"/>
      <c r="E699" s="15"/>
      <c r="F699" s="15"/>
      <c r="G699" s="15"/>
      <c r="H699" s="15"/>
      <c r="I699" s="15"/>
      <c r="J699" s="15"/>
      <c r="K699" s="15"/>
      <c r="L699" s="329"/>
    </row>
    <row r="700" spans="1:12" ht="17.25" customHeight="1">
      <c r="A700" s="328"/>
      <c r="B700" s="425" t="s">
        <v>873</v>
      </c>
      <c r="C700" s="424"/>
      <c r="D700" s="424"/>
      <c r="E700" s="424"/>
      <c r="F700" s="424"/>
      <c r="G700" s="424"/>
      <c r="H700" s="424"/>
      <c r="I700" s="424"/>
      <c r="J700" s="424"/>
      <c r="K700" s="15"/>
      <c r="L700" s="329"/>
    </row>
    <row r="701" spans="1:12" ht="17.25" customHeight="1">
      <c r="A701" s="328"/>
      <c r="B701" s="424" t="s">
        <v>533</v>
      </c>
      <c r="C701" s="424"/>
      <c r="D701" s="424"/>
      <c r="E701" s="424"/>
      <c r="F701" s="424"/>
      <c r="G701" s="424"/>
      <c r="H701" s="424"/>
      <c r="I701" s="424"/>
      <c r="J701" s="424"/>
      <c r="K701" s="15"/>
      <c r="L701" s="329"/>
    </row>
    <row r="702" spans="1:12" ht="12.75" customHeight="1">
      <c r="A702" s="328"/>
      <c r="B702" s="15"/>
      <c r="C702" s="15"/>
      <c r="D702" s="15"/>
      <c r="E702" s="15"/>
      <c r="F702" s="15"/>
      <c r="G702" s="15"/>
      <c r="H702" s="15"/>
      <c r="I702" s="15"/>
      <c r="J702" s="15"/>
      <c r="K702" s="15"/>
      <c r="L702" s="329"/>
    </row>
    <row r="703" spans="1:12" ht="17.25" customHeight="1">
      <c r="A703" s="328"/>
      <c r="B703" s="425" t="s">
        <v>874</v>
      </c>
      <c r="C703" s="424"/>
      <c r="D703" s="424"/>
      <c r="E703" s="424"/>
      <c r="F703" s="424"/>
      <c r="G703" s="424"/>
      <c r="H703" s="424"/>
      <c r="I703" s="15"/>
      <c r="J703" s="15"/>
      <c r="K703" s="15"/>
      <c r="L703" s="329"/>
    </row>
    <row r="704" spans="1:12" ht="17.25" customHeight="1">
      <c r="A704" s="328"/>
      <c r="B704" s="15"/>
      <c r="C704" s="15"/>
      <c r="D704" s="15"/>
      <c r="E704" s="15"/>
      <c r="F704" s="15"/>
      <c r="G704" s="15"/>
      <c r="H704" s="15"/>
      <c r="I704" s="15"/>
      <c r="J704" s="15"/>
      <c r="K704" s="15"/>
      <c r="L704" s="329"/>
    </row>
    <row r="705" spans="1:12" ht="17.25" customHeight="1">
      <c r="A705" s="328"/>
      <c r="B705" s="425" t="s">
        <v>875</v>
      </c>
      <c r="C705" s="424"/>
      <c r="D705" s="424"/>
      <c r="E705" s="424"/>
      <c r="F705" s="424"/>
      <c r="G705" s="424"/>
      <c r="H705" s="424"/>
      <c r="I705" s="15"/>
      <c r="J705" s="15"/>
      <c r="K705" s="15"/>
      <c r="L705" s="329"/>
    </row>
    <row r="706" spans="1:12" ht="17.25" customHeight="1">
      <c r="A706" s="328"/>
      <c r="B706" s="15"/>
      <c r="C706" s="15"/>
      <c r="D706" s="15"/>
      <c r="E706" s="15"/>
      <c r="F706" s="15"/>
      <c r="G706" s="15"/>
      <c r="H706" s="15"/>
      <c r="I706" s="15"/>
      <c r="J706" s="15"/>
      <c r="K706" s="15"/>
      <c r="L706" s="329"/>
    </row>
    <row r="707" spans="1:12" ht="17.25" customHeight="1">
      <c r="A707" s="328"/>
      <c r="B707" s="425" t="s">
        <v>876</v>
      </c>
      <c r="C707" s="424"/>
      <c r="D707" s="424"/>
      <c r="E707" s="424"/>
      <c r="F707" s="424"/>
      <c r="G707" s="424"/>
      <c r="H707" s="424"/>
      <c r="I707" s="424"/>
      <c r="J707" s="424"/>
      <c r="K707" s="15"/>
      <c r="L707" s="329"/>
    </row>
    <row r="708" spans="1:12" ht="17.25" customHeight="1">
      <c r="A708" s="328"/>
      <c r="B708" s="424" t="s">
        <v>36</v>
      </c>
      <c r="C708" s="424"/>
      <c r="D708" s="424"/>
      <c r="E708" s="424"/>
      <c r="F708" s="424"/>
      <c r="G708" s="424"/>
      <c r="H708" s="424"/>
      <c r="I708" s="424"/>
      <c r="J708" s="424"/>
      <c r="K708" s="15"/>
      <c r="L708" s="329"/>
    </row>
    <row r="709" spans="1:12" ht="11.25" customHeight="1">
      <c r="A709" s="328"/>
      <c r="B709" s="15"/>
      <c r="C709" s="15"/>
      <c r="D709" s="15"/>
      <c r="E709" s="15"/>
      <c r="F709" s="15"/>
      <c r="G709" s="15"/>
      <c r="H709" s="15"/>
      <c r="I709" s="15"/>
      <c r="J709" s="15"/>
      <c r="K709" s="15"/>
      <c r="L709" s="329"/>
    </row>
    <row r="710" spans="1:12" ht="17.25" customHeight="1">
      <c r="A710" s="328"/>
      <c r="B710" s="15" t="s">
        <v>534</v>
      </c>
      <c r="C710" s="15"/>
      <c r="D710" s="15"/>
      <c r="E710" s="15"/>
      <c r="F710" s="15"/>
      <c r="G710" s="15"/>
      <c r="H710" s="15"/>
      <c r="I710" s="15"/>
      <c r="J710" s="15"/>
      <c r="K710" s="15"/>
      <c r="L710" s="329"/>
    </row>
    <row r="711" spans="1:12" ht="12.75" customHeight="1">
      <c r="A711" s="328"/>
      <c r="B711" s="15"/>
      <c r="C711" s="15"/>
      <c r="D711" s="15"/>
      <c r="E711" s="15"/>
      <c r="F711" s="15"/>
      <c r="G711" s="15"/>
      <c r="H711" s="15"/>
      <c r="I711" s="15"/>
      <c r="J711" s="15"/>
      <c r="K711" s="15"/>
      <c r="L711" s="329"/>
    </row>
    <row r="712" spans="1:12" ht="17.25" customHeight="1">
      <c r="A712" s="328"/>
      <c r="B712" s="424" t="s">
        <v>867</v>
      </c>
      <c r="C712" s="424"/>
      <c r="D712" s="424"/>
      <c r="E712" s="424"/>
      <c r="F712" s="424"/>
      <c r="G712" s="424"/>
      <c r="H712" s="15"/>
      <c r="I712" s="15"/>
      <c r="J712" s="15"/>
      <c r="K712" s="15"/>
      <c r="L712" s="329"/>
    </row>
    <row r="713" spans="1:12" ht="14.25" customHeight="1">
      <c r="A713" s="328"/>
      <c r="B713" s="15"/>
      <c r="C713" s="15"/>
      <c r="D713" s="15"/>
      <c r="E713" s="15"/>
      <c r="F713" s="15"/>
      <c r="G713" s="15"/>
      <c r="H713" s="15"/>
      <c r="I713" s="15"/>
      <c r="J713" s="15"/>
      <c r="K713" s="15"/>
      <c r="L713" s="329"/>
    </row>
    <row r="714" spans="1:12" ht="17.25" customHeight="1">
      <c r="A714" s="328"/>
      <c r="B714" s="15" t="s">
        <v>527</v>
      </c>
      <c r="C714" s="15"/>
      <c r="D714" s="15"/>
      <c r="E714" s="15"/>
      <c r="F714" s="15"/>
      <c r="G714" s="15"/>
      <c r="H714" s="15"/>
      <c r="I714" s="15"/>
      <c r="J714" s="15"/>
      <c r="K714" s="15"/>
      <c r="L714" s="329"/>
    </row>
    <row r="715" spans="1:12" ht="15" customHeight="1">
      <c r="A715" s="331"/>
      <c r="B715" s="330"/>
      <c r="C715" s="330"/>
      <c r="D715" s="330"/>
      <c r="E715" s="330"/>
      <c r="F715" s="330"/>
      <c r="G715" s="330"/>
      <c r="H715" s="330"/>
      <c r="I715" s="330"/>
      <c r="J715" s="330"/>
      <c r="K715" s="330"/>
      <c r="L715" s="332"/>
    </row>
    <row r="716" spans="1:12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</row>
  </sheetData>
  <protectedRanges>
    <protectedRange sqref="B13:F13 H13:K13" name="I15"/>
  </protectedRanges>
  <mergeCells count="935">
    <mergeCell ref="B707:J707"/>
    <mergeCell ref="B708:J708"/>
    <mergeCell ref="B712:G712"/>
    <mergeCell ref="B697:J697"/>
    <mergeCell ref="B698:J698"/>
    <mergeCell ref="B700:J700"/>
    <mergeCell ref="B701:J701"/>
    <mergeCell ref="B703:H703"/>
    <mergeCell ref="B705:H705"/>
    <mergeCell ref="D680:I680"/>
    <mergeCell ref="D682:I682"/>
    <mergeCell ref="D684:I684"/>
    <mergeCell ref="D686:I686"/>
    <mergeCell ref="A692:L692"/>
    <mergeCell ref="B695:D695"/>
    <mergeCell ref="A661:L661"/>
    <mergeCell ref="A663:L663"/>
    <mergeCell ref="E670:G670"/>
    <mergeCell ref="D672:G672"/>
    <mergeCell ref="E676:I676"/>
    <mergeCell ref="D678:I678"/>
    <mergeCell ref="A656:H656"/>
    <mergeCell ref="I656:L656"/>
    <mergeCell ref="A657:H657"/>
    <mergeCell ref="I657:L657"/>
    <mergeCell ref="A660:H660"/>
    <mergeCell ref="I660:L660"/>
    <mergeCell ref="H629:K629"/>
    <mergeCell ref="H634:J634"/>
    <mergeCell ref="B650:D650"/>
    <mergeCell ref="E650:F650"/>
    <mergeCell ref="A653:L653"/>
    <mergeCell ref="A655:H655"/>
    <mergeCell ref="I655:L655"/>
    <mergeCell ref="A658:H658"/>
    <mergeCell ref="I658:L658"/>
    <mergeCell ref="A659:H659"/>
    <mergeCell ref="I659:L659"/>
    <mergeCell ref="A620:L620"/>
    <mergeCell ref="B623:D623"/>
    <mergeCell ref="E623:G623"/>
    <mergeCell ref="H623:J623"/>
    <mergeCell ref="D624:H624"/>
    <mergeCell ref="B626:C626"/>
    <mergeCell ref="D626:E626"/>
    <mergeCell ref="G626:K626"/>
    <mergeCell ref="A614:E614"/>
    <mergeCell ref="F614:L614"/>
    <mergeCell ref="A615:E615"/>
    <mergeCell ref="F615:L615"/>
    <mergeCell ref="A616:E616"/>
    <mergeCell ref="F616:L616"/>
    <mergeCell ref="B600:G601"/>
    <mergeCell ref="H600:H601"/>
    <mergeCell ref="A604:L604"/>
    <mergeCell ref="D606:K607"/>
    <mergeCell ref="F609:K609"/>
    <mergeCell ref="A613:E613"/>
    <mergeCell ref="F613:L613"/>
    <mergeCell ref="B596:G597"/>
    <mergeCell ref="H596:H597"/>
    <mergeCell ref="I596:K597"/>
    <mergeCell ref="B598:G599"/>
    <mergeCell ref="H598:H599"/>
    <mergeCell ref="I598:K599"/>
    <mergeCell ref="A570:L570"/>
    <mergeCell ref="B574:I574"/>
    <mergeCell ref="B585:D585"/>
    <mergeCell ref="E588:I588"/>
    <mergeCell ref="B591:G591"/>
    <mergeCell ref="I591:K591"/>
    <mergeCell ref="B566:J566"/>
    <mergeCell ref="K566:L566"/>
    <mergeCell ref="B567:J567"/>
    <mergeCell ref="K567:L567"/>
    <mergeCell ref="B568:J568"/>
    <mergeCell ref="K568:L568"/>
    <mergeCell ref="B563:J563"/>
    <mergeCell ref="K563:L563"/>
    <mergeCell ref="B564:J564"/>
    <mergeCell ref="K564:L564"/>
    <mergeCell ref="B565:J565"/>
    <mergeCell ref="K565:L565"/>
    <mergeCell ref="B560:J560"/>
    <mergeCell ref="B561:J561"/>
    <mergeCell ref="K561:L561"/>
    <mergeCell ref="B562:J562"/>
    <mergeCell ref="K562:L562"/>
    <mergeCell ref="K559:L560"/>
    <mergeCell ref="B557:J557"/>
    <mergeCell ref="B558:J558"/>
    <mergeCell ref="K558:L558"/>
    <mergeCell ref="B559:J559"/>
    <mergeCell ref="A550:J550"/>
    <mergeCell ref="K550:L550"/>
    <mergeCell ref="A553:L553"/>
    <mergeCell ref="B555:J555"/>
    <mergeCell ref="K555:L555"/>
    <mergeCell ref="B556:J556"/>
    <mergeCell ref="K556:L557"/>
    <mergeCell ref="B547:J547"/>
    <mergeCell ref="K547:L547"/>
    <mergeCell ref="B548:J548"/>
    <mergeCell ref="K548:L548"/>
    <mergeCell ref="B549:J549"/>
    <mergeCell ref="K549:L549"/>
    <mergeCell ref="B544:J544"/>
    <mergeCell ref="B545:J545"/>
    <mergeCell ref="B546:J546"/>
    <mergeCell ref="K546:L546"/>
    <mergeCell ref="K544:L545"/>
    <mergeCell ref="B541:J541"/>
    <mergeCell ref="K541:L541"/>
    <mergeCell ref="B542:J542"/>
    <mergeCell ref="K542:L542"/>
    <mergeCell ref="B543:J543"/>
    <mergeCell ref="K543:L543"/>
    <mergeCell ref="B538:J538"/>
    <mergeCell ref="B539:J539"/>
    <mergeCell ref="B540:J540"/>
    <mergeCell ref="K540:L540"/>
    <mergeCell ref="K538:L539"/>
    <mergeCell ref="H529:L529"/>
    <mergeCell ref="A530:C530"/>
    <mergeCell ref="H530:L530"/>
    <mergeCell ref="D533:I533"/>
    <mergeCell ref="A535:L535"/>
    <mergeCell ref="B537:J537"/>
    <mergeCell ref="K537:L537"/>
    <mergeCell ref="H526:L526"/>
    <mergeCell ref="A527:C527"/>
    <mergeCell ref="F527:G527"/>
    <mergeCell ref="H527:L527"/>
    <mergeCell ref="A528:C528"/>
    <mergeCell ref="D528:D530"/>
    <mergeCell ref="E528:E530"/>
    <mergeCell ref="H528:L528"/>
    <mergeCell ref="A529:C529"/>
    <mergeCell ref="F529:G529"/>
    <mergeCell ref="A523:C526"/>
    <mergeCell ref="D523:D524"/>
    <mergeCell ref="E523:E524"/>
    <mergeCell ref="F523:G523"/>
    <mergeCell ref="H523:L523"/>
    <mergeCell ref="H524:L524"/>
    <mergeCell ref="D525:D527"/>
    <mergeCell ref="E525:E527"/>
    <mergeCell ref="F525:G525"/>
    <mergeCell ref="H525:L525"/>
    <mergeCell ref="A520:C520"/>
    <mergeCell ref="D520:D522"/>
    <mergeCell ref="E520:E522"/>
    <mergeCell ref="H520:L520"/>
    <mergeCell ref="A521:C521"/>
    <mergeCell ref="F521:G521"/>
    <mergeCell ref="H521:L521"/>
    <mergeCell ref="A522:C522"/>
    <mergeCell ref="H522:L522"/>
    <mergeCell ref="E517:E519"/>
    <mergeCell ref="F517:G517"/>
    <mergeCell ref="H517:L517"/>
    <mergeCell ref="H518:L518"/>
    <mergeCell ref="A519:C519"/>
    <mergeCell ref="F519:G519"/>
    <mergeCell ref="H519:L519"/>
    <mergeCell ref="H513:L513"/>
    <mergeCell ref="A514:C514"/>
    <mergeCell ref="H514:L514"/>
    <mergeCell ref="A515:C518"/>
    <mergeCell ref="D515:D516"/>
    <mergeCell ref="E515:E516"/>
    <mergeCell ref="F515:G515"/>
    <mergeCell ref="H515:L515"/>
    <mergeCell ref="H516:L516"/>
    <mergeCell ref="D517:D519"/>
    <mergeCell ref="H510:L510"/>
    <mergeCell ref="A511:C511"/>
    <mergeCell ref="F511:G511"/>
    <mergeCell ref="H511:L511"/>
    <mergeCell ref="A512:C512"/>
    <mergeCell ref="D512:D514"/>
    <mergeCell ref="E512:E514"/>
    <mergeCell ref="H512:L512"/>
    <mergeCell ref="A513:C513"/>
    <mergeCell ref="F513:G513"/>
    <mergeCell ref="A507:C510"/>
    <mergeCell ref="D507:D508"/>
    <mergeCell ref="E507:E508"/>
    <mergeCell ref="F507:G507"/>
    <mergeCell ref="H507:L507"/>
    <mergeCell ref="H508:L508"/>
    <mergeCell ref="D509:D511"/>
    <mergeCell ref="E509:E511"/>
    <mergeCell ref="F509:G509"/>
    <mergeCell ref="H509:L509"/>
    <mergeCell ref="A504:C504"/>
    <mergeCell ref="D504:D506"/>
    <mergeCell ref="E504:E506"/>
    <mergeCell ref="H504:L504"/>
    <mergeCell ref="A505:C505"/>
    <mergeCell ref="F505:G505"/>
    <mergeCell ref="H505:L505"/>
    <mergeCell ref="A506:C506"/>
    <mergeCell ref="H506:L506"/>
    <mergeCell ref="E501:E503"/>
    <mergeCell ref="F501:G501"/>
    <mergeCell ref="H501:L501"/>
    <mergeCell ref="H502:L502"/>
    <mergeCell ref="A503:C503"/>
    <mergeCell ref="F503:G503"/>
    <mergeCell ref="H503:L503"/>
    <mergeCell ref="H497:L497"/>
    <mergeCell ref="A498:C498"/>
    <mergeCell ref="H498:L498"/>
    <mergeCell ref="A499:C502"/>
    <mergeCell ref="D499:D500"/>
    <mergeCell ref="E499:E500"/>
    <mergeCell ref="F499:G499"/>
    <mergeCell ref="H499:L499"/>
    <mergeCell ref="H500:L500"/>
    <mergeCell ref="D501:D503"/>
    <mergeCell ref="H494:L494"/>
    <mergeCell ref="A495:C495"/>
    <mergeCell ref="F495:G495"/>
    <mergeCell ref="H495:L495"/>
    <mergeCell ref="A496:C496"/>
    <mergeCell ref="D496:D498"/>
    <mergeCell ref="E496:E498"/>
    <mergeCell ref="H496:L496"/>
    <mergeCell ref="A497:C497"/>
    <mergeCell ref="F497:G497"/>
    <mergeCell ref="A491:C494"/>
    <mergeCell ref="D491:D492"/>
    <mergeCell ref="E491:E492"/>
    <mergeCell ref="F491:G491"/>
    <mergeCell ref="H491:L491"/>
    <mergeCell ref="H492:L492"/>
    <mergeCell ref="D493:D495"/>
    <mergeCell ref="E493:E495"/>
    <mergeCell ref="F493:G493"/>
    <mergeCell ref="H493:L493"/>
    <mergeCell ref="A488:C488"/>
    <mergeCell ref="D488:D490"/>
    <mergeCell ref="E488:E490"/>
    <mergeCell ref="H488:L488"/>
    <mergeCell ref="A489:C489"/>
    <mergeCell ref="F489:G489"/>
    <mergeCell ref="H489:L489"/>
    <mergeCell ref="A490:C490"/>
    <mergeCell ref="H490:L490"/>
    <mergeCell ref="E485:E487"/>
    <mergeCell ref="F485:G485"/>
    <mergeCell ref="H485:L485"/>
    <mergeCell ref="H486:L486"/>
    <mergeCell ref="A487:C487"/>
    <mergeCell ref="F487:G487"/>
    <mergeCell ref="H487:L487"/>
    <mergeCell ref="H481:L481"/>
    <mergeCell ref="A482:C482"/>
    <mergeCell ref="H482:L482"/>
    <mergeCell ref="A483:C486"/>
    <mergeCell ref="D483:D484"/>
    <mergeCell ref="E483:E484"/>
    <mergeCell ref="F483:G483"/>
    <mergeCell ref="H483:L483"/>
    <mergeCell ref="H484:L484"/>
    <mergeCell ref="D485:D487"/>
    <mergeCell ref="H478:L478"/>
    <mergeCell ref="A479:C479"/>
    <mergeCell ref="F479:G479"/>
    <mergeCell ref="H479:L479"/>
    <mergeCell ref="A480:C480"/>
    <mergeCell ref="D480:D482"/>
    <mergeCell ref="E480:E482"/>
    <mergeCell ref="H480:L480"/>
    <mergeCell ref="A481:C481"/>
    <mergeCell ref="F481:G481"/>
    <mergeCell ref="A475:C478"/>
    <mergeCell ref="D475:D476"/>
    <mergeCell ref="E475:E476"/>
    <mergeCell ref="F475:G475"/>
    <mergeCell ref="H475:L475"/>
    <mergeCell ref="H476:L476"/>
    <mergeCell ref="D477:D479"/>
    <mergeCell ref="E477:E479"/>
    <mergeCell ref="F477:G477"/>
    <mergeCell ref="H477:L477"/>
    <mergeCell ref="H471:L471"/>
    <mergeCell ref="A472:C472"/>
    <mergeCell ref="H472:L472"/>
    <mergeCell ref="A474:C474"/>
    <mergeCell ref="D474:E474"/>
    <mergeCell ref="F474:L474"/>
    <mergeCell ref="H468:L468"/>
    <mergeCell ref="A469:C469"/>
    <mergeCell ref="F469:G469"/>
    <mergeCell ref="H469:L469"/>
    <mergeCell ref="A470:C470"/>
    <mergeCell ref="D470:D472"/>
    <mergeCell ref="E470:E472"/>
    <mergeCell ref="H470:L470"/>
    <mergeCell ref="A471:C471"/>
    <mergeCell ref="F471:G471"/>
    <mergeCell ref="A465:C468"/>
    <mergeCell ref="D465:D466"/>
    <mergeCell ref="E465:E466"/>
    <mergeCell ref="F465:G465"/>
    <mergeCell ref="H465:L465"/>
    <mergeCell ref="H466:L466"/>
    <mergeCell ref="D467:D469"/>
    <mergeCell ref="E467:E469"/>
    <mergeCell ref="F467:G467"/>
    <mergeCell ref="H467:L467"/>
    <mergeCell ref="A462:C462"/>
    <mergeCell ref="D462:D464"/>
    <mergeCell ref="E462:E464"/>
    <mergeCell ref="H462:L462"/>
    <mergeCell ref="A463:C463"/>
    <mergeCell ref="F463:G463"/>
    <mergeCell ref="H463:L463"/>
    <mergeCell ref="A464:C464"/>
    <mergeCell ref="H464:L464"/>
    <mergeCell ref="E459:E461"/>
    <mergeCell ref="F459:G459"/>
    <mergeCell ref="H459:L459"/>
    <mergeCell ref="H460:L460"/>
    <mergeCell ref="A461:C461"/>
    <mergeCell ref="F461:G461"/>
    <mergeCell ref="H461:L461"/>
    <mergeCell ref="H455:L455"/>
    <mergeCell ref="A456:C456"/>
    <mergeCell ref="H456:L456"/>
    <mergeCell ref="A457:C460"/>
    <mergeCell ref="D457:D458"/>
    <mergeCell ref="E457:E458"/>
    <mergeCell ref="F457:G457"/>
    <mergeCell ref="H457:L457"/>
    <mergeCell ref="H458:L458"/>
    <mergeCell ref="D459:D461"/>
    <mergeCell ref="H452:L452"/>
    <mergeCell ref="A453:C453"/>
    <mergeCell ref="F453:G453"/>
    <mergeCell ref="H453:L453"/>
    <mergeCell ref="A454:C454"/>
    <mergeCell ref="D454:D456"/>
    <mergeCell ref="E454:E456"/>
    <mergeCell ref="H454:L454"/>
    <mergeCell ref="A455:C455"/>
    <mergeCell ref="F455:G455"/>
    <mergeCell ref="A449:C452"/>
    <mergeCell ref="D449:D450"/>
    <mergeCell ref="E449:E450"/>
    <mergeCell ref="F449:G449"/>
    <mergeCell ref="H449:L449"/>
    <mergeCell ref="H450:L450"/>
    <mergeCell ref="D451:D453"/>
    <mergeCell ref="E451:E453"/>
    <mergeCell ref="F451:G451"/>
    <mergeCell ref="H451:L451"/>
    <mergeCell ref="A446:C446"/>
    <mergeCell ref="D446:D448"/>
    <mergeCell ref="E446:E448"/>
    <mergeCell ref="H446:L446"/>
    <mergeCell ref="A447:C447"/>
    <mergeCell ref="F447:G447"/>
    <mergeCell ref="H447:L447"/>
    <mergeCell ref="A448:C448"/>
    <mergeCell ref="H448:L448"/>
    <mergeCell ref="E443:E445"/>
    <mergeCell ref="F443:G443"/>
    <mergeCell ref="H443:L443"/>
    <mergeCell ref="H444:L444"/>
    <mergeCell ref="A445:C445"/>
    <mergeCell ref="F445:G445"/>
    <mergeCell ref="H445:L445"/>
    <mergeCell ref="H439:L439"/>
    <mergeCell ref="A440:C440"/>
    <mergeCell ref="H440:L440"/>
    <mergeCell ref="A441:C444"/>
    <mergeCell ref="D441:D442"/>
    <mergeCell ref="E441:E442"/>
    <mergeCell ref="F441:G441"/>
    <mergeCell ref="H441:L441"/>
    <mergeCell ref="H442:L442"/>
    <mergeCell ref="D443:D445"/>
    <mergeCell ref="H436:L436"/>
    <mergeCell ref="A437:C437"/>
    <mergeCell ref="F437:G437"/>
    <mergeCell ref="H437:L437"/>
    <mergeCell ref="A438:C438"/>
    <mergeCell ref="D438:D440"/>
    <mergeCell ref="E438:E440"/>
    <mergeCell ref="H438:L438"/>
    <mergeCell ref="A439:C439"/>
    <mergeCell ref="F439:G439"/>
    <mergeCell ref="A433:C436"/>
    <mergeCell ref="D433:D434"/>
    <mergeCell ref="E433:E434"/>
    <mergeCell ref="F433:G433"/>
    <mergeCell ref="H433:L433"/>
    <mergeCell ref="H434:L434"/>
    <mergeCell ref="D435:D437"/>
    <mergeCell ref="E435:E437"/>
    <mergeCell ref="F435:G435"/>
    <mergeCell ref="H435:L435"/>
    <mergeCell ref="A430:C430"/>
    <mergeCell ref="D430:D432"/>
    <mergeCell ref="E430:E432"/>
    <mergeCell ref="H430:L430"/>
    <mergeCell ref="A431:C431"/>
    <mergeCell ref="F431:G431"/>
    <mergeCell ref="H431:L431"/>
    <mergeCell ref="A432:C432"/>
    <mergeCell ref="H432:L432"/>
    <mergeCell ref="E427:E429"/>
    <mergeCell ref="F427:G427"/>
    <mergeCell ref="H427:L427"/>
    <mergeCell ref="H428:L428"/>
    <mergeCell ref="A429:C429"/>
    <mergeCell ref="F429:G429"/>
    <mergeCell ref="H429:L429"/>
    <mergeCell ref="H423:L423"/>
    <mergeCell ref="A424:C424"/>
    <mergeCell ref="H424:L424"/>
    <mergeCell ref="A425:C428"/>
    <mergeCell ref="D425:D426"/>
    <mergeCell ref="E425:E426"/>
    <mergeCell ref="F425:G425"/>
    <mergeCell ref="H425:L425"/>
    <mergeCell ref="H426:L426"/>
    <mergeCell ref="D427:D429"/>
    <mergeCell ref="H420:L420"/>
    <mergeCell ref="A421:C421"/>
    <mergeCell ref="F421:G421"/>
    <mergeCell ref="H421:L421"/>
    <mergeCell ref="A422:C422"/>
    <mergeCell ref="D422:D424"/>
    <mergeCell ref="E422:E424"/>
    <mergeCell ref="H422:L422"/>
    <mergeCell ref="A423:C423"/>
    <mergeCell ref="F423:G423"/>
    <mergeCell ref="A417:C420"/>
    <mergeCell ref="D417:D418"/>
    <mergeCell ref="E417:E418"/>
    <mergeCell ref="F417:G417"/>
    <mergeCell ref="H417:L417"/>
    <mergeCell ref="H418:L418"/>
    <mergeCell ref="D419:D421"/>
    <mergeCell ref="E419:E421"/>
    <mergeCell ref="F419:G419"/>
    <mergeCell ref="H419:L419"/>
    <mergeCell ref="H411:L411"/>
    <mergeCell ref="A412:C412"/>
    <mergeCell ref="H412:L412"/>
    <mergeCell ref="A414:L414"/>
    <mergeCell ref="A416:C416"/>
    <mergeCell ref="D416:E416"/>
    <mergeCell ref="F416:L416"/>
    <mergeCell ref="H408:L408"/>
    <mergeCell ref="A409:C409"/>
    <mergeCell ref="F409:G409"/>
    <mergeCell ref="H409:L409"/>
    <mergeCell ref="A410:C410"/>
    <mergeCell ref="D410:D412"/>
    <mergeCell ref="E410:E412"/>
    <mergeCell ref="F410:G410"/>
    <mergeCell ref="H410:L410"/>
    <mergeCell ref="A411:C411"/>
    <mergeCell ref="A405:C408"/>
    <mergeCell ref="D405:D406"/>
    <mergeCell ref="E405:E406"/>
    <mergeCell ref="F405:G405"/>
    <mergeCell ref="H405:L405"/>
    <mergeCell ref="H406:L406"/>
    <mergeCell ref="D407:D409"/>
    <mergeCell ref="E407:E409"/>
    <mergeCell ref="F407:G407"/>
    <mergeCell ref="H407:L407"/>
    <mergeCell ref="A402:C402"/>
    <mergeCell ref="D402:D404"/>
    <mergeCell ref="E402:E404"/>
    <mergeCell ref="H402:L402"/>
    <mergeCell ref="A403:C403"/>
    <mergeCell ref="F403:G403"/>
    <mergeCell ref="H403:L403"/>
    <mergeCell ref="A404:C404"/>
    <mergeCell ref="H404:L404"/>
    <mergeCell ref="E399:E401"/>
    <mergeCell ref="F399:G399"/>
    <mergeCell ref="H399:L399"/>
    <mergeCell ref="H400:L400"/>
    <mergeCell ref="A401:C401"/>
    <mergeCell ref="F401:G401"/>
    <mergeCell ref="H401:L401"/>
    <mergeCell ref="H395:L395"/>
    <mergeCell ref="A396:C396"/>
    <mergeCell ref="H396:L396"/>
    <mergeCell ref="A397:C400"/>
    <mergeCell ref="D397:D398"/>
    <mergeCell ref="E397:E398"/>
    <mergeCell ref="F397:G397"/>
    <mergeCell ref="H397:L397"/>
    <mergeCell ref="H398:L398"/>
    <mergeCell ref="D399:D401"/>
    <mergeCell ref="H392:L392"/>
    <mergeCell ref="A393:C393"/>
    <mergeCell ref="F393:G393"/>
    <mergeCell ref="H393:L393"/>
    <mergeCell ref="A394:C394"/>
    <mergeCell ref="D394:D396"/>
    <mergeCell ref="E394:E396"/>
    <mergeCell ref="H394:L394"/>
    <mergeCell ref="A395:C395"/>
    <mergeCell ref="F395:G395"/>
    <mergeCell ref="A389:C392"/>
    <mergeCell ref="D389:D390"/>
    <mergeCell ref="E389:E390"/>
    <mergeCell ref="F389:G389"/>
    <mergeCell ref="H389:L389"/>
    <mergeCell ref="H390:L390"/>
    <mergeCell ref="D391:D393"/>
    <mergeCell ref="E391:E393"/>
    <mergeCell ref="F391:G391"/>
    <mergeCell ref="H391:L391"/>
    <mergeCell ref="A386:C386"/>
    <mergeCell ref="D386:D388"/>
    <mergeCell ref="E386:E388"/>
    <mergeCell ref="H386:L386"/>
    <mergeCell ref="A387:C387"/>
    <mergeCell ref="F387:G387"/>
    <mergeCell ref="H387:L387"/>
    <mergeCell ref="A388:C388"/>
    <mergeCell ref="H388:L388"/>
    <mergeCell ref="E383:E385"/>
    <mergeCell ref="F383:G383"/>
    <mergeCell ref="H383:L383"/>
    <mergeCell ref="H384:L384"/>
    <mergeCell ref="A385:C385"/>
    <mergeCell ref="F385:G385"/>
    <mergeCell ref="H385:L385"/>
    <mergeCell ref="H379:L379"/>
    <mergeCell ref="A380:C380"/>
    <mergeCell ref="H380:L380"/>
    <mergeCell ref="A381:C384"/>
    <mergeCell ref="D381:D382"/>
    <mergeCell ref="E381:E382"/>
    <mergeCell ref="F381:G381"/>
    <mergeCell ref="H381:L381"/>
    <mergeCell ref="H382:L382"/>
    <mergeCell ref="D383:D385"/>
    <mergeCell ref="H376:L376"/>
    <mergeCell ref="A377:C377"/>
    <mergeCell ref="F377:G377"/>
    <mergeCell ref="H377:L377"/>
    <mergeCell ref="A378:C378"/>
    <mergeCell ref="D378:D380"/>
    <mergeCell ref="E378:E380"/>
    <mergeCell ref="H378:L378"/>
    <mergeCell ref="A379:C379"/>
    <mergeCell ref="F379:G379"/>
    <mergeCell ref="A373:C376"/>
    <mergeCell ref="D373:D374"/>
    <mergeCell ref="E373:E374"/>
    <mergeCell ref="F373:G373"/>
    <mergeCell ref="H373:L373"/>
    <mergeCell ref="H374:L374"/>
    <mergeCell ref="D375:D377"/>
    <mergeCell ref="E375:E377"/>
    <mergeCell ref="F375:G375"/>
    <mergeCell ref="H375:L375"/>
    <mergeCell ref="A370:C370"/>
    <mergeCell ref="D370:D372"/>
    <mergeCell ref="E370:E372"/>
    <mergeCell ref="H370:L370"/>
    <mergeCell ref="A371:C371"/>
    <mergeCell ref="F371:G371"/>
    <mergeCell ref="H371:L371"/>
    <mergeCell ref="A372:C372"/>
    <mergeCell ref="H372:L372"/>
    <mergeCell ref="E367:E369"/>
    <mergeCell ref="F367:G367"/>
    <mergeCell ref="H367:L367"/>
    <mergeCell ref="H368:L368"/>
    <mergeCell ref="A369:C369"/>
    <mergeCell ref="F369:G369"/>
    <mergeCell ref="H369:L369"/>
    <mergeCell ref="A364:C364"/>
    <mergeCell ref="D364:E364"/>
    <mergeCell ref="F364:L364"/>
    <mergeCell ref="A365:C368"/>
    <mergeCell ref="D365:D366"/>
    <mergeCell ref="E365:E366"/>
    <mergeCell ref="F365:G365"/>
    <mergeCell ref="H365:L365"/>
    <mergeCell ref="H366:L366"/>
    <mergeCell ref="D367:D369"/>
    <mergeCell ref="A360:C360"/>
    <mergeCell ref="D360:D362"/>
    <mergeCell ref="E360:E362"/>
    <mergeCell ref="F360:G360"/>
    <mergeCell ref="H360:L360"/>
    <mergeCell ref="A361:C361"/>
    <mergeCell ref="H361:L361"/>
    <mergeCell ref="A362:C362"/>
    <mergeCell ref="H362:L362"/>
    <mergeCell ref="E357:E359"/>
    <mergeCell ref="F357:G357"/>
    <mergeCell ref="H357:L357"/>
    <mergeCell ref="H358:L358"/>
    <mergeCell ref="A359:C359"/>
    <mergeCell ref="F359:G359"/>
    <mergeCell ref="H359:L359"/>
    <mergeCell ref="H353:L353"/>
    <mergeCell ref="A354:C354"/>
    <mergeCell ref="H354:L354"/>
    <mergeCell ref="A355:C358"/>
    <mergeCell ref="D355:D356"/>
    <mergeCell ref="E355:E356"/>
    <mergeCell ref="F355:G355"/>
    <mergeCell ref="H355:L355"/>
    <mergeCell ref="H356:L356"/>
    <mergeCell ref="D357:D359"/>
    <mergeCell ref="H350:L350"/>
    <mergeCell ref="A351:C351"/>
    <mergeCell ref="F351:G351"/>
    <mergeCell ref="H351:L351"/>
    <mergeCell ref="A352:C352"/>
    <mergeCell ref="D352:D354"/>
    <mergeCell ref="E352:E354"/>
    <mergeCell ref="H352:L352"/>
    <mergeCell ref="A353:C353"/>
    <mergeCell ref="F353:G353"/>
    <mergeCell ref="A347:C350"/>
    <mergeCell ref="D347:D348"/>
    <mergeCell ref="E347:E348"/>
    <mergeCell ref="F347:G347"/>
    <mergeCell ref="H347:L347"/>
    <mergeCell ref="H348:L348"/>
    <mergeCell ref="D349:D351"/>
    <mergeCell ref="E349:E351"/>
    <mergeCell ref="F349:G349"/>
    <mergeCell ref="H349:L349"/>
    <mergeCell ref="A344:C344"/>
    <mergeCell ref="D344:D346"/>
    <mergeCell ref="E344:E346"/>
    <mergeCell ref="H344:L344"/>
    <mergeCell ref="A345:C345"/>
    <mergeCell ref="F345:G345"/>
    <mergeCell ref="H345:L345"/>
    <mergeCell ref="A346:C346"/>
    <mergeCell ref="H346:L346"/>
    <mergeCell ref="E341:E343"/>
    <mergeCell ref="F341:G341"/>
    <mergeCell ref="H341:L341"/>
    <mergeCell ref="H342:L342"/>
    <mergeCell ref="A343:C343"/>
    <mergeCell ref="F343:G343"/>
    <mergeCell ref="H343:L343"/>
    <mergeCell ref="H337:L337"/>
    <mergeCell ref="A338:C338"/>
    <mergeCell ref="H338:L338"/>
    <mergeCell ref="A339:C342"/>
    <mergeCell ref="D339:D340"/>
    <mergeCell ref="E339:E340"/>
    <mergeCell ref="F339:G339"/>
    <mergeCell ref="H339:L339"/>
    <mergeCell ref="H340:L340"/>
    <mergeCell ref="D341:D343"/>
    <mergeCell ref="H334:L334"/>
    <mergeCell ref="A335:C335"/>
    <mergeCell ref="F335:G335"/>
    <mergeCell ref="H335:L335"/>
    <mergeCell ref="A336:C336"/>
    <mergeCell ref="D336:D338"/>
    <mergeCell ref="E336:E338"/>
    <mergeCell ref="H336:L336"/>
    <mergeCell ref="A337:C337"/>
    <mergeCell ref="F337:G337"/>
    <mergeCell ref="A331:C334"/>
    <mergeCell ref="D331:D332"/>
    <mergeCell ref="E331:E332"/>
    <mergeCell ref="F331:G331"/>
    <mergeCell ref="H331:L331"/>
    <mergeCell ref="H332:L332"/>
    <mergeCell ref="D333:D335"/>
    <mergeCell ref="E333:E335"/>
    <mergeCell ref="F333:G333"/>
    <mergeCell ref="H333:L333"/>
    <mergeCell ref="A328:C328"/>
    <mergeCell ref="D328:D330"/>
    <mergeCell ref="E328:E330"/>
    <mergeCell ref="H328:L328"/>
    <mergeCell ref="A329:C329"/>
    <mergeCell ref="F329:G329"/>
    <mergeCell ref="H329:L329"/>
    <mergeCell ref="A330:C330"/>
    <mergeCell ref="H330:L330"/>
    <mergeCell ref="H326:L326"/>
    <mergeCell ref="A327:C327"/>
    <mergeCell ref="F327:G327"/>
    <mergeCell ref="H327:L327"/>
    <mergeCell ref="A322:C322"/>
    <mergeCell ref="H322:L322"/>
    <mergeCell ref="A323:C326"/>
    <mergeCell ref="D323:D324"/>
    <mergeCell ref="E323:E324"/>
    <mergeCell ref="F323:G323"/>
    <mergeCell ref="H323:L323"/>
    <mergeCell ref="H324:L324"/>
    <mergeCell ref="D325:D327"/>
    <mergeCell ref="E325:E327"/>
    <mergeCell ref="A320:C320"/>
    <mergeCell ref="D320:D322"/>
    <mergeCell ref="E320:E322"/>
    <mergeCell ref="H320:L320"/>
    <mergeCell ref="A321:C321"/>
    <mergeCell ref="F321:G321"/>
    <mergeCell ref="H321:L321"/>
    <mergeCell ref="F325:G325"/>
    <mergeCell ref="H325:L325"/>
    <mergeCell ref="H316:L316"/>
    <mergeCell ref="D317:D319"/>
    <mergeCell ref="E317:E319"/>
    <mergeCell ref="F317:G317"/>
    <mergeCell ref="H317:L317"/>
    <mergeCell ref="H318:L318"/>
    <mergeCell ref="D310:I310"/>
    <mergeCell ref="A312:L312"/>
    <mergeCell ref="A314:C314"/>
    <mergeCell ref="D314:E314"/>
    <mergeCell ref="F314:L314"/>
    <mergeCell ref="A315:C318"/>
    <mergeCell ref="D315:D316"/>
    <mergeCell ref="E315:E316"/>
    <mergeCell ref="F315:G315"/>
    <mergeCell ref="H315:L315"/>
    <mergeCell ref="A319:C319"/>
    <mergeCell ref="F319:G319"/>
    <mergeCell ref="H319:L319"/>
    <mergeCell ref="A294:B294"/>
    <mergeCell ref="C293:D293"/>
    <mergeCell ref="C294:D294"/>
    <mergeCell ref="J293:L293"/>
    <mergeCell ref="J294:L294"/>
    <mergeCell ref="A299:B299"/>
    <mergeCell ref="C299:D299"/>
    <mergeCell ref="J299:L299"/>
    <mergeCell ref="A300:B300"/>
    <mergeCell ref="C300:D300"/>
    <mergeCell ref="J300:L300"/>
    <mergeCell ref="A295:B295"/>
    <mergeCell ref="A296:B296"/>
    <mergeCell ref="C295:D295"/>
    <mergeCell ref="C296:D296"/>
    <mergeCell ref="J295:L295"/>
    <mergeCell ref="J296:L296"/>
    <mergeCell ref="I290:I292"/>
    <mergeCell ref="J290:L292"/>
    <mergeCell ref="A290:B292"/>
    <mergeCell ref="C290:D292"/>
    <mergeCell ref="E290:E292"/>
    <mergeCell ref="F290:F292"/>
    <mergeCell ref="G290:G292"/>
    <mergeCell ref="H290:H292"/>
    <mergeCell ref="A293:B293"/>
    <mergeCell ref="A269:L269"/>
    <mergeCell ref="A270:L270"/>
    <mergeCell ref="A271:L271"/>
    <mergeCell ref="A272:L272"/>
    <mergeCell ref="A274:L274"/>
    <mergeCell ref="A288:L288"/>
    <mergeCell ref="A262:L262"/>
    <mergeCell ref="A264:L264"/>
    <mergeCell ref="A265:L265"/>
    <mergeCell ref="A266:L266"/>
    <mergeCell ref="A267:L267"/>
    <mergeCell ref="A268:L268"/>
    <mergeCell ref="A255:I255"/>
    <mergeCell ref="J255:L255"/>
    <mergeCell ref="A256:I256"/>
    <mergeCell ref="J256:L256"/>
    <mergeCell ref="A257:I257"/>
    <mergeCell ref="J257:L257"/>
    <mergeCell ref="A252:I252"/>
    <mergeCell ref="J252:L252"/>
    <mergeCell ref="A253:I253"/>
    <mergeCell ref="J253:L253"/>
    <mergeCell ref="A254:I254"/>
    <mergeCell ref="J254:L254"/>
    <mergeCell ref="A243:L243"/>
    <mergeCell ref="A248:L248"/>
    <mergeCell ref="A249:L249"/>
    <mergeCell ref="A250:L250"/>
    <mergeCell ref="A251:I251"/>
    <mergeCell ref="J251:L251"/>
    <mergeCell ref="H229:J229"/>
    <mergeCell ref="A230:L230"/>
    <mergeCell ref="A239:L239"/>
    <mergeCell ref="A240:L240"/>
    <mergeCell ref="A241:L241"/>
    <mergeCell ref="A242:L242"/>
    <mergeCell ref="A247:L247"/>
    <mergeCell ref="A246:L246"/>
    <mergeCell ref="A244:L244"/>
    <mergeCell ref="A245:L245"/>
    <mergeCell ref="A228:D228"/>
    <mergeCell ref="E228:F228"/>
    <mergeCell ref="I228:L228"/>
    <mergeCell ref="A225:D225"/>
    <mergeCell ref="E225:F225"/>
    <mergeCell ref="I225:L225"/>
    <mergeCell ref="A226:D226"/>
    <mergeCell ref="E226:F226"/>
    <mergeCell ref="I226:L226"/>
    <mergeCell ref="E224:F224"/>
    <mergeCell ref="I224:L224"/>
    <mergeCell ref="A219:D219"/>
    <mergeCell ref="I219:J219"/>
    <mergeCell ref="K219:L219"/>
    <mergeCell ref="A221:D221"/>
    <mergeCell ref="I221:J221"/>
    <mergeCell ref="K221:L221"/>
    <mergeCell ref="A227:D227"/>
    <mergeCell ref="E227:F227"/>
    <mergeCell ref="I227:L227"/>
    <mergeCell ref="A223:D223"/>
    <mergeCell ref="E223:F223"/>
    <mergeCell ref="I223:L223"/>
    <mergeCell ref="A224:D224"/>
    <mergeCell ref="A213:D214"/>
    <mergeCell ref="E213:F214"/>
    <mergeCell ref="G213:H214"/>
    <mergeCell ref="I213:L214"/>
    <mergeCell ref="A215:D215"/>
    <mergeCell ref="I215:J215"/>
    <mergeCell ref="K215:L215"/>
    <mergeCell ref="A222:D222"/>
    <mergeCell ref="I222:L222"/>
    <mergeCell ref="A216:D216"/>
    <mergeCell ref="I216:J216"/>
    <mergeCell ref="K216:L216"/>
    <mergeCell ref="A220:D220"/>
    <mergeCell ref="I220:J220"/>
    <mergeCell ref="K220:L220"/>
    <mergeCell ref="A217:D217"/>
    <mergeCell ref="I217:J217"/>
    <mergeCell ref="K217:L217"/>
    <mergeCell ref="A218:D218"/>
    <mergeCell ref="I218:J218"/>
    <mergeCell ref="K218:L218"/>
    <mergeCell ref="A203:L203"/>
    <mergeCell ref="A205:L205"/>
    <mergeCell ref="D207:I207"/>
    <mergeCell ref="A209:L209"/>
    <mergeCell ref="D211:E211"/>
    <mergeCell ref="J211:L211"/>
    <mergeCell ref="D150:J150"/>
    <mergeCell ref="B156:E156"/>
    <mergeCell ref="B181:K181"/>
    <mergeCell ref="B182:K182"/>
    <mergeCell ref="B183:K183"/>
    <mergeCell ref="H185:K185"/>
    <mergeCell ref="D65:I65"/>
    <mergeCell ref="D67:I67"/>
    <mergeCell ref="D69:I69"/>
    <mergeCell ref="D121:K121"/>
    <mergeCell ref="E126:K126"/>
    <mergeCell ref="F130:G130"/>
    <mergeCell ref="I130:K130"/>
    <mergeCell ref="B147:C147"/>
    <mergeCell ref="D147:J147"/>
    <mergeCell ref="A106:L106"/>
    <mergeCell ref="C111:D111"/>
    <mergeCell ref="E111:F111"/>
    <mergeCell ref="G111:I111"/>
    <mergeCell ref="J111:K111"/>
    <mergeCell ref="E114:K114"/>
    <mergeCell ref="J1:K1"/>
    <mergeCell ref="E2:L3"/>
    <mergeCell ref="E4:L4"/>
    <mergeCell ref="E5:L5"/>
    <mergeCell ref="E6:L6"/>
    <mergeCell ref="E7:L7"/>
    <mergeCell ref="H30:K30"/>
    <mergeCell ref="B39:D39"/>
    <mergeCell ref="I39:J39"/>
    <mergeCell ref="B18:K18"/>
    <mergeCell ref="F19:G19"/>
    <mergeCell ref="B23:K23"/>
    <mergeCell ref="B24:K24"/>
    <mergeCell ref="B26:G26"/>
    <mergeCell ref="B27:G27"/>
    <mergeCell ref="I27:K27"/>
    <mergeCell ref="B592:G593"/>
    <mergeCell ref="H592:H593"/>
    <mergeCell ref="I592:K593"/>
    <mergeCell ref="B594:G595"/>
    <mergeCell ref="H594:H595"/>
    <mergeCell ref="I594:K595"/>
    <mergeCell ref="A9:L9"/>
    <mergeCell ref="B13:F13"/>
    <mergeCell ref="H13:K13"/>
    <mergeCell ref="B14:F14"/>
    <mergeCell ref="H14:K14"/>
    <mergeCell ref="H16:I16"/>
    <mergeCell ref="E40:F40"/>
    <mergeCell ref="H42:J42"/>
    <mergeCell ref="A50:L50"/>
    <mergeCell ref="D71:I71"/>
    <mergeCell ref="D73:I73"/>
    <mergeCell ref="B82:D82"/>
    <mergeCell ref="B90:H90"/>
    <mergeCell ref="B92:H92"/>
    <mergeCell ref="B99:G99"/>
    <mergeCell ref="E57:G57"/>
    <mergeCell ref="D59:G59"/>
    <mergeCell ref="E63:I63"/>
    <mergeCell ref="J304:L304"/>
    <mergeCell ref="C304:D304"/>
    <mergeCell ref="A304:B304"/>
    <mergeCell ref="A297:B297"/>
    <mergeCell ref="A298:B298"/>
    <mergeCell ref="C297:D297"/>
    <mergeCell ref="C298:D298"/>
    <mergeCell ref="J297:L297"/>
    <mergeCell ref="J298:L298"/>
    <mergeCell ref="A303:B303"/>
    <mergeCell ref="C303:D303"/>
    <mergeCell ref="J303:L303"/>
    <mergeCell ref="A301:B301"/>
    <mergeCell ref="C301:D301"/>
    <mergeCell ref="J301:L301"/>
    <mergeCell ref="A302:B302"/>
    <mergeCell ref="C302:D302"/>
    <mergeCell ref="J302:L302"/>
  </mergeCells>
  <pageMargins left="0.70866141732283472" right="0.31496062992125984" top="0.39370078740157483" bottom="0.39370078740157483" header="0.31496062992125984" footer="0.19685039370078741"/>
  <pageSetup paperSize="9" scale="84" fitToWidth="0" fitToHeight="0" orientation="portrait" horizontalDpi="360" verticalDpi="360" r:id="rId1"/>
  <headerFooter>
    <oddFooter>&amp;CPágina &amp;P</oddFooter>
  </headerFooter>
  <rowBreaks count="14" manualBreakCount="14">
    <brk id="49" max="16383" man="1"/>
    <brk id="105" max="16383" man="1"/>
    <brk id="154" max="16383" man="1"/>
    <brk id="206" max="16383" man="1"/>
    <brk id="261" max="16383" man="1"/>
    <brk id="308" max="16383" man="1"/>
    <brk id="363" max="16383" man="1"/>
    <brk id="413" max="16383" man="1"/>
    <brk id="473" max="16383" man="1"/>
    <brk id="531" max="16383" man="1"/>
    <brk id="569" max="16383" man="1"/>
    <brk id="602" max="16383" man="1"/>
    <brk id="651" max="16383" man="1"/>
    <brk id="662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Botón1_Haga_clic_en">
                <anchor moveWithCells="1" sizeWithCells="1">
                  <from>
                    <xdr:col>12</xdr:col>
                    <xdr:colOff>771525</xdr:colOff>
                    <xdr:row>216</xdr:row>
                    <xdr:rowOff>200025</xdr:rowOff>
                  </from>
                  <to>
                    <xdr:col>14</xdr:col>
                    <xdr:colOff>152400</xdr:colOff>
                    <xdr:row>220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tnDepartamentos">
              <controlPr defaultSize="0" print="0" autoFill="0" autoPict="0" macro="[0]!Button3_Click">
                <anchor moveWithCells="1" sizeWithCells="1">
                  <from>
                    <xdr:col>12</xdr:col>
                    <xdr:colOff>352425</xdr:colOff>
                    <xdr:row>315</xdr:row>
                    <xdr:rowOff>0</xdr:rowOff>
                  </from>
                  <to>
                    <xdr:col>13</xdr:col>
                    <xdr:colOff>533400</xdr:colOff>
                    <xdr:row>317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6" name="Button 3">
              <controlPr defaultSize="0" print="0" autoFill="0" autoPict="0" macro="[0]!Button3_Click">
                <anchor moveWithCells="1" sizeWithCells="1">
                  <from>
                    <xdr:col>12</xdr:col>
                    <xdr:colOff>352425</xdr:colOff>
                    <xdr:row>365</xdr:row>
                    <xdr:rowOff>0</xdr:rowOff>
                  </from>
                  <to>
                    <xdr:col>13</xdr:col>
                    <xdr:colOff>533400</xdr:colOff>
                    <xdr:row>367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2">
    <tabColor rgb="FF75AD45"/>
    <pageSetUpPr fitToPage="1"/>
  </sheetPr>
  <dimension ref="A1:L205"/>
  <sheetViews>
    <sheetView view="pageLayout" zoomScaleNormal="75" zoomScaleSheetLayoutView="100" workbookViewId="0">
      <selection activeCell="C48" sqref="C48:D48"/>
    </sheetView>
  </sheetViews>
  <sheetFormatPr defaultColWidth="10.7109375" defaultRowHeight="15" zeroHeight="1"/>
  <cols>
    <col min="1" max="1" width="4" customWidth="1"/>
    <col min="2" max="2" width="11.140625" customWidth="1"/>
    <col min="3" max="5" width="12.5703125" customWidth="1"/>
    <col min="6" max="6" width="14.28515625" customWidth="1"/>
    <col min="7" max="7" width="12.5703125" customWidth="1"/>
    <col min="8" max="8" width="11.140625" customWidth="1"/>
    <col min="9" max="9" width="13.85546875" customWidth="1"/>
    <col min="10" max="10" width="11.85546875" customWidth="1"/>
    <col min="11" max="11" width="5.5703125" customWidth="1"/>
    <col min="12" max="12" width="6.7109375" customWidth="1"/>
  </cols>
  <sheetData>
    <row r="1" spans="1:12" ht="14.1" customHeight="1">
      <c r="K1" s="427" t="str">
        <f>_xlfn.CONCAT(DATOS!D1," ",DATOS!D2)</f>
        <v xml:space="preserve"> KTN</v>
      </c>
      <c r="L1" s="427"/>
    </row>
    <row r="2" spans="1:12" ht="14.1" customHeight="1"/>
    <row r="3" spans="1:12" ht="14.1" customHeight="1"/>
    <row r="4" spans="1:12" ht="14.1" customHeight="1"/>
    <row r="5" spans="1:12" ht="14.1" customHeight="1"/>
    <row r="6" spans="1:12" ht="14.1" customHeight="1"/>
    <row r="7" spans="1:12" ht="27.75" customHeight="1">
      <c r="E7" s="20"/>
      <c r="F7" s="20"/>
      <c r="G7" s="20"/>
      <c r="H7" s="20"/>
      <c r="I7" s="20"/>
    </row>
    <row r="8" spans="1:12" ht="6.75" customHeight="1"/>
    <row r="9" spans="1:12" ht="26.25" customHeight="1">
      <c r="B9" s="647" t="s">
        <v>153</v>
      </c>
      <c r="C9" s="648"/>
      <c r="D9" s="648"/>
      <c r="E9" s="648"/>
      <c r="F9" s="649"/>
      <c r="G9" s="20"/>
      <c r="H9" s="20"/>
    </row>
    <row r="10" spans="1:12" ht="18.600000000000001" customHeight="1">
      <c r="B10" s="650"/>
      <c r="C10" s="651"/>
      <c r="D10" s="651"/>
      <c r="E10" s="651"/>
      <c r="F10" s="652"/>
      <c r="G10" s="21"/>
      <c r="H10" s="21"/>
      <c r="I10" s="21"/>
      <c r="J10" s="21"/>
      <c r="K10" s="14"/>
      <c r="L10" s="14"/>
    </row>
    <row r="11" spans="1:12" ht="18.600000000000001" customHeight="1">
      <c r="B11" s="650"/>
      <c r="C11" s="651"/>
      <c r="D11" s="651"/>
      <c r="E11" s="651"/>
      <c r="F11" s="652"/>
      <c r="G11" s="21"/>
      <c r="H11" s="21"/>
      <c r="I11" s="21"/>
      <c r="J11" s="21"/>
      <c r="K11" s="14"/>
      <c r="L11" s="14"/>
    </row>
    <row r="12" spans="1:12" ht="18.600000000000001" customHeight="1">
      <c r="B12" s="650"/>
      <c r="C12" s="651"/>
      <c r="D12" s="651"/>
      <c r="E12" s="651"/>
      <c r="F12" s="652"/>
    </row>
    <row r="13" spans="1:12" ht="9.75" customHeight="1">
      <c r="B13" s="653"/>
      <c r="C13" s="654"/>
      <c r="D13" s="654"/>
      <c r="E13" s="654"/>
      <c r="F13" s="655"/>
    </row>
    <row r="14" spans="1:12" ht="8.4499999999999993" customHeight="1"/>
    <row r="15" spans="1:12" ht="18.600000000000001" customHeight="1">
      <c r="A15" t="s">
        <v>128</v>
      </c>
    </row>
    <row r="16" spans="1:12" ht="8.4499999999999993" customHeight="1"/>
    <row r="17" spans="1:12" ht="22.5" customHeight="1">
      <c r="A17" s="632" t="s">
        <v>129</v>
      </c>
      <c r="B17" s="633"/>
      <c r="C17" s="633"/>
      <c r="D17" s="633"/>
      <c r="E17" s="633"/>
      <c r="F17" s="24" t="s">
        <v>130</v>
      </c>
      <c r="G17" s="45"/>
      <c r="H17" s="22"/>
      <c r="I17" s="24" t="s">
        <v>131</v>
      </c>
      <c r="J17" s="45"/>
      <c r="K17" s="22"/>
      <c r="L17" s="23"/>
    </row>
    <row r="18" spans="1:12" ht="8.4499999999999993" customHeight="1">
      <c r="A18" s="4"/>
      <c r="L18" s="5"/>
    </row>
    <row r="19" spans="1:12" ht="22.5" customHeight="1">
      <c r="A19" s="4"/>
      <c r="B19" s="614" t="str">
        <f>DATOS!D5</f>
        <v>-</v>
      </c>
      <c r="C19" s="615"/>
      <c r="D19" s="615"/>
      <c r="E19" s="615"/>
      <c r="F19" s="615"/>
      <c r="G19" s="616"/>
      <c r="H19" s="614" t="str">
        <f>DATOS!D6</f>
        <v>-</v>
      </c>
      <c r="I19" s="615"/>
      <c r="J19" s="615"/>
      <c r="K19" s="615"/>
      <c r="L19" s="616"/>
    </row>
    <row r="20" spans="1:12" ht="14.1" customHeight="1">
      <c r="A20" s="4"/>
      <c r="E20" s="622" t="s">
        <v>599</v>
      </c>
      <c r="F20" s="622"/>
      <c r="G20" s="622"/>
      <c r="H20" s="622"/>
      <c r="L20" s="5"/>
    </row>
    <row r="21" spans="1:12" ht="22.5" customHeight="1">
      <c r="A21" s="4"/>
      <c r="B21" s="656" t="str">
        <f>DATOS!D7</f>
        <v>-</v>
      </c>
      <c r="C21" s="657"/>
      <c r="D21" s="658"/>
      <c r="L21" s="5"/>
    </row>
    <row r="22" spans="1:12" ht="14.1" customHeight="1">
      <c r="A22" s="6"/>
      <c r="B22" s="659" t="s">
        <v>132</v>
      </c>
      <c r="C22" s="659"/>
      <c r="D22" s="659"/>
      <c r="E22" s="660"/>
      <c r="F22" s="660"/>
      <c r="G22" s="660"/>
      <c r="H22" s="660"/>
      <c r="I22" s="7"/>
      <c r="J22" s="7"/>
      <c r="K22" s="7"/>
      <c r="L22" s="8"/>
    </row>
    <row r="23" spans="1:12" ht="8.4499999999999993" customHeight="1"/>
    <row r="24" spans="1:12" ht="22.5" customHeight="1">
      <c r="A24" s="626" t="s">
        <v>133</v>
      </c>
      <c r="B24" s="627"/>
      <c r="C24" s="627"/>
      <c r="D24" s="627"/>
      <c r="E24" s="627"/>
      <c r="F24" s="25" t="s">
        <v>119</v>
      </c>
      <c r="G24" s="46"/>
      <c r="H24" s="25"/>
      <c r="I24" s="25" t="s">
        <v>120</v>
      </c>
      <c r="J24" s="47"/>
      <c r="K24" s="26"/>
      <c r="L24" s="27"/>
    </row>
    <row r="25" spans="1:12" ht="8.4499999999999993" customHeight="1">
      <c r="A25" s="4"/>
      <c r="L25" s="5"/>
    </row>
    <row r="26" spans="1:12" ht="22.5" customHeight="1">
      <c r="A26" s="4"/>
      <c r="B26" s="670" t="e">
        <f>#REF!</f>
        <v>#REF!</v>
      </c>
      <c r="C26" s="471"/>
      <c r="D26" s="472"/>
      <c r="E26" s="670" t="e">
        <f>#REF!</f>
        <v>#REF!</v>
      </c>
      <c r="F26" s="471"/>
      <c r="G26" s="472"/>
      <c r="H26" s="670" t="e">
        <f>#REF!</f>
        <v>#REF!</v>
      </c>
      <c r="I26" s="471"/>
      <c r="J26" s="471"/>
      <c r="K26" s="472"/>
      <c r="L26" s="277"/>
    </row>
    <row r="27" spans="1:12" ht="14.1" customHeight="1">
      <c r="A27" s="4"/>
      <c r="B27" s="617" t="s">
        <v>134</v>
      </c>
      <c r="C27" s="617"/>
      <c r="D27" s="617"/>
      <c r="E27" s="622" t="s">
        <v>135</v>
      </c>
      <c r="F27" s="622"/>
      <c r="G27" s="622"/>
      <c r="H27" s="617" t="s">
        <v>3</v>
      </c>
      <c r="I27" s="617"/>
      <c r="J27" s="617"/>
      <c r="K27" s="617"/>
      <c r="L27" s="288"/>
    </row>
    <row r="28" spans="1:12" ht="22.5" customHeight="1">
      <c r="A28" s="4"/>
      <c r="B28" s="670" t="e">
        <f>#REF!</f>
        <v>#REF!</v>
      </c>
      <c r="C28" s="471"/>
      <c r="D28" s="472"/>
      <c r="H28" s="670">
        <v>137864</v>
      </c>
      <c r="I28" s="471"/>
      <c r="J28" s="471"/>
      <c r="K28" s="472"/>
      <c r="L28" s="178"/>
    </row>
    <row r="29" spans="1:12" ht="14.1" customHeight="1">
      <c r="A29" s="4"/>
      <c r="B29" s="622" t="s">
        <v>136</v>
      </c>
      <c r="C29" s="622"/>
      <c r="D29" s="622"/>
      <c r="H29" s="622" t="s">
        <v>137</v>
      </c>
      <c r="I29" s="622"/>
      <c r="J29" s="622"/>
      <c r="K29" s="622"/>
      <c r="L29" s="288"/>
    </row>
    <row r="30" spans="1:12" ht="22.5" customHeight="1">
      <c r="A30" s="4"/>
      <c r="B30" s="666" t="s">
        <v>138</v>
      </c>
      <c r="C30" s="666"/>
      <c r="D30" s="666"/>
      <c r="G30" s="12" t="s">
        <v>139</v>
      </c>
      <c r="H30" s="48"/>
      <c r="I30" s="12" t="s">
        <v>140</v>
      </c>
      <c r="J30" s="48"/>
      <c r="L30" s="5"/>
    </row>
    <row r="31" spans="1:12" ht="8.4499999999999993" customHeight="1">
      <c r="A31" s="6"/>
      <c r="B31" s="7"/>
      <c r="C31" s="7"/>
      <c r="D31" s="7"/>
      <c r="E31" s="7"/>
      <c r="F31" s="7"/>
      <c r="G31" s="7"/>
      <c r="H31" s="7"/>
      <c r="I31" s="7"/>
      <c r="J31" s="7"/>
      <c r="K31" s="7"/>
      <c r="L31" s="8"/>
    </row>
    <row r="32" spans="1:12" ht="8.4499999999999993" customHeight="1">
      <c r="B32" s="659"/>
      <c r="C32" s="659"/>
      <c r="D32" s="659"/>
      <c r="E32" s="659"/>
      <c r="F32" s="659"/>
      <c r="G32" s="659"/>
      <c r="I32" s="659"/>
      <c r="J32" s="659"/>
      <c r="K32" s="659"/>
      <c r="L32" s="13"/>
    </row>
    <row r="33" spans="1:12" ht="22.5" customHeight="1">
      <c r="A33" s="626" t="s">
        <v>141</v>
      </c>
      <c r="B33" s="627"/>
      <c r="C33" s="627"/>
      <c r="D33" s="627"/>
      <c r="E33" s="627"/>
      <c r="F33" s="627"/>
      <c r="G33" s="627"/>
      <c r="H33" s="627"/>
      <c r="I33" s="627"/>
      <c r="J33" s="627"/>
      <c r="K33" s="627"/>
      <c r="L33" s="661"/>
    </row>
    <row r="34" spans="1:12" ht="33" customHeight="1">
      <c r="A34" s="629" t="s">
        <v>142</v>
      </c>
      <c r="B34" s="629"/>
      <c r="C34" s="629"/>
      <c r="D34" s="629"/>
      <c r="E34" s="629"/>
      <c r="F34" s="629"/>
      <c r="G34" s="629"/>
      <c r="H34" s="629"/>
      <c r="I34" s="629"/>
      <c r="J34" s="629"/>
      <c r="K34" s="629"/>
      <c r="L34" s="629"/>
    </row>
    <row r="35" spans="1:12" ht="22.5" customHeight="1">
      <c r="A35" s="626" t="s">
        <v>143</v>
      </c>
      <c r="B35" s="627"/>
      <c r="C35" s="627"/>
      <c r="D35" s="627"/>
      <c r="E35" s="627"/>
      <c r="F35" s="25" t="s">
        <v>144</v>
      </c>
      <c r="G35" s="46"/>
      <c r="H35" s="46"/>
      <c r="I35" s="25" t="s">
        <v>145</v>
      </c>
      <c r="J35" s="46"/>
      <c r="K35" s="22"/>
      <c r="L35" s="23"/>
    </row>
    <row r="36" spans="1:12" ht="8.4499999999999993" customHeight="1">
      <c r="A36" s="4"/>
      <c r="L36" s="5"/>
    </row>
    <row r="37" spans="1:12" ht="18" customHeight="1">
      <c r="A37" s="614" t="str">
        <f>DATOS!D17</f>
        <v>-</v>
      </c>
      <c r="B37" s="615"/>
      <c r="C37" s="616"/>
      <c r="D37" s="614" t="str">
        <f>DATOS!D18</f>
        <v>-</v>
      </c>
      <c r="E37" s="615"/>
      <c r="F37" s="616"/>
      <c r="G37" s="614" t="str">
        <f>DATOS!D19</f>
        <v>-</v>
      </c>
      <c r="H37" s="615"/>
      <c r="I37" s="615"/>
      <c r="J37" s="615"/>
      <c r="K37" s="615"/>
      <c r="L37" s="616"/>
    </row>
    <row r="38" spans="1:12" ht="16.5" customHeight="1">
      <c r="A38" s="636" t="s">
        <v>87</v>
      </c>
      <c r="B38" s="617"/>
      <c r="C38" s="617"/>
      <c r="D38" s="617" t="s">
        <v>146</v>
      </c>
      <c r="E38" s="617"/>
      <c r="F38" s="617"/>
      <c r="G38" s="617" t="s">
        <v>26</v>
      </c>
      <c r="H38" s="617"/>
      <c r="I38" s="617"/>
      <c r="J38" s="617"/>
      <c r="K38" s="617"/>
      <c r="L38" s="618"/>
    </row>
    <row r="39" spans="1:12" ht="22.5" customHeight="1">
      <c r="A39" s="667" t="str">
        <f>DATOS!D20</f>
        <v>-</v>
      </c>
      <c r="B39" s="668"/>
      <c r="C39" s="668"/>
      <c r="D39" s="669"/>
      <c r="E39" s="287" t="str">
        <f>DATOS!D21</f>
        <v>-</v>
      </c>
      <c r="F39" s="287" t="str">
        <f>DATOS!D22</f>
        <v>-</v>
      </c>
      <c r="G39" s="614" t="str">
        <f>DATOS!D23</f>
        <v>-</v>
      </c>
      <c r="H39" s="615"/>
      <c r="I39" s="616"/>
      <c r="J39" s="287" t="str">
        <f>DATOS!D24</f>
        <v>-</v>
      </c>
      <c r="K39" s="614" t="str">
        <f>DATOS!D25</f>
        <v>-</v>
      </c>
      <c r="L39" s="616"/>
    </row>
    <row r="40" spans="1:12" ht="14.1" customHeight="1">
      <c r="A40" s="6"/>
      <c r="B40" s="195" t="s">
        <v>213</v>
      </c>
      <c r="C40" s="195"/>
      <c r="D40" s="195"/>
      <c r="E40" s="290" t="s">
        <v>27</v>
      </c>
      <c r="F40" s="28" t="s">
        <v>147</v>
      </c>
      <c r="G40" s="617" t="s">
        <v>214</v>
      </c>
      <c r="H40" s="617"/>
      <c r="I40" s="617"/>
      <c r="J40" s="290" t="s">
        <v>208</v>
      </c>
      <c r="K40" s="28" t="s">
        <v>215</v>
      </c>
      <c r="L40" s="182"/>
    </row>
    <row r="41" spans="1:12" ht="8.4499999999999993" customHeight="1">
      <c r="A41" s="4"/>
    </row>
    <row r="42" spans="1:12" ht="22.5" customHeight="1">
      <c r="A42" s="626" t="s">
        <v>148</v>
      </c>
      <c r="B42" s="627"/>
      <c r="C42" s="627"/>
      <c r="D42" s="627"/>
      <c r="E42" s="627"/>
      <c r="F42" s="25" t="s">
        <v>144</v>
      </c>
      <c r="G42" s="46"/>
      <c r="H42" s="25"/>
      <c r="I42" s="25" t="s">
        <v>145</v>
      </c>
      <c r="J42" s="46"/>
      <c r="K42" s="22"/>
      <c r="L42" s="23"/>
    </row>
    <row r="43" spans="1:12" ht="14.1" customHeight="1">
      <c r="A43" s="1" t="s">
        <v>600</v>
      </c>
      <c r="B43" s="2"/>
      <c r="C43" s="2"/>
      <c r="D43" s="2"/>
      <c r="E43" s="2"/>
      <c r="F43" s="2"/>
      <c r="G43" s="2"/>
      <c r="H43" s="2"/>
      <c r="I43" s="2"/>
      <c r="J43" s="2"/>
      <c r="K43" s="2"/>
      <c r="L43" s="3"/>
    </row>
    <row r="44" spans="1:12" ht="22.5" customHeight="1">
      <c r="A44" s="624" t="s">
        <v>149</v>
      </c>
      <c r="B44" s="625"/>
      <c r="C44" s="625"/>
      <c r="D44" s="625"/>
      <c r="E44" s="625"/>
      <c r="F44" s="10"/>
      <c r="G44" s="10"/>
      <c r="H44" s="10"/>
      <c r="L44" s="5"/>
    </row>
    <row r="45" spans="1:12" ht="22.5" customHeight="1">
      <c r="A45" s="634"/>
      <c r="B45" s="635"/>
      <c r="C45" s="619"/>
      <c r="D45" s="621"/>
      <c r="E45" s="619"/>
      <c r="F45" s="621"/>
      <c r="G45" s="619"/>
      <c r="H45" s="621"/>
      <c r="I45" s="619"/>
      <c r="J45" s="620"/>
      <c r="K45" s="620"/>
      <c r="L45" s="621"/>
    </row>
    <row r="46" spans="1:12" ht="14.1" customHeight="1">
      <c r="A46" s="628" t="s">
        <v>601</v>
      </c>
      <c r="B46" s="622"/>
      <c r="C46" s="622" t="s">
        <v>150</v>
      </c>
      <c r="D46" s="622"/>
      <c r="E46" s="622" t="s">
        <v>605</v>
      </c>
      <c r="F46" s="622"/>
      <c r="G46" s="622" t="s">
        <v>151</v>
      </c>
      <c r="H46" s="622"/>
      <c r="I46" s="622" t="s">
        <v>152</v>
      </c>
      <c r="J46" s="622"/>
      <c r="K46" s="622"/>
      <c r="L46" s="623"/>
    </row>
    <row r="47" spans="1:12" ht="22.5" customHeight="1">
      <c r="A47" s="624" t="s">
        <v>602</v>
      </c>
      <c r="B47" s="625"/>
      <c r="C47" s="625"/>
      <c r="D47" s="625"/>
      <c r="E47" s="625"/>
      <c r="F47" s="10"/>
      <c r="G47" s="10"/>
      <c r="H47" s="10"/>
      <c r="L47" s="5"/>
    </row>
    <row r="48" spans="1:12" ht="22.5" customHeight="1">
      <c r="A48" s="634">
        <f>A45</f>
        <v>0</v>
      </c>
      <c r="B48" s="635"/>
      <c r="C48" s="619">
        <f>C45</f>
        <v>0</v>
      </c>
      <c r="D48" s="621"/>
      <c r="E48" s="619">
        <f>E45</f>
        <v>0</v>
      </c>
      <c r="F48" s="621"/>
      <c r="G48" s="619">
        <f>G45</f>
        <v>0</v>
      </c>
      <c r="H48" s="621"/>
      <c r="I48" s="619">
        <f>I45</f>
        <v>0</v>
      </c>
      <c r="J48" s="620"/>
      <c r="K48" s="620"/>
      <c r="L48" s="621"/>
    </row>
    <row r="49" spans="1:12" ht="22.5" customHeight="1">
      <c r="A49" s="636" t="s">
        <v>601</v>
      </c>
      <c r="B49" s="617"/>
      <c r="C49" s="617" t="s">
        <v>150</v>
      </c>
      <c r="D49" s="617"/>
      <c r="E49" s="617" t="str">
        <f>E46</f>
        <v>Por la Derecha (ml)</v>
      </c>
      <c r="F49" s="617"/>
      <c r="G49" s="617" t="str">
        <f>G46</f>
        <v>Por la Izquierda (ml)</v>
      </c>
      <c r="H49" s="617"/>
      <c r="I49" s="617" t="str">
        <f>I46</f>
        <v>Por el Fondo (ml)</v>
      </c>
      <c r="J49" s="617"/>
      <c r="K49" s="617"/>
      <c r="L49" s="618"/>
    </row>
    <row r="50" spans="1:12" ht="22.5" customHeight="1">
      <c r="A50" s="638"/>
      <c r="B50" s="638"/>
      <c r="C50" s="638"/>
      <c r="D50" s="638"/>
      <c r="E50" s="638"/>
      <c r="F50" s="638"/>
      <c r="G50" s="638"/>
      <c r="H50" s="638"/>
      <c r="I50" s="638"/>
      <c r="J50" s="638"/>
      <c r="K50" s="638"/>
      <c r="L50" s="638"/>
    </row>
    <row r="51" spans="1:12" ht="22.5" customHeight="1">
      <c r="A51" s="637"/>
      <c r="B51" s="638"/>
      <c r="C51" s="638"/>
      <c r="D51" s="638"/>
      <c r="E51" s="638"/>
      <c r="F51" s="638"/>
      <c r="G51" s="638"/>
      <c r="H51" s="638"/>
      <c r="I51" s="638"/>
      <c r="J51" s="638"/>
      <c r="K51" s="638"/>
      <c r="L51" s="639"/>
    </row>
    <row r="52" spans="1:12" ht="22.5" customHeight="1">
      <c r="A52" s="637"/>
      <c r="B52" s="638"/>
      <c r="C52" s="638"/>
      <c r="D52" s="638"/>
      <c r="E52" s="638"/>
      <c r="F52" s="638"/>
      <c r="G52" s="638"/>
      <c r="H52" s="638"/>
      <c r="I52" s="638"/>
      <c r="J52" s="638"/>
      <c r="K52" s="638"/>
      <c r="L52" s="639"/>
    </row>
    <row r="53" spans="1:12" ht="22.5" customHeight="1">
      <c r="A53" s="637"/>
      <c r="B53" s="638"/>
      <c r="C53" s="638"/>
      <c r="D53" s="638"/>
      <c r="E53" s="638"/>
      <c r="F53" s="638"/>
      <c r="G53" s="638"/>
      <c r="H53" s="638"/>
      <c r="I53" s="638"/>
      <c r="J53" s="638"/>
      <c r="K53" s="638"/>
      <c r="L53" s="639"/>
    </row>
    <row r="54" spans="1:12" ht="22.5" customHeight="1">
      <c r="A54" s="637"/>
      <c r="B54" s="638"/>
      <c r="C54" s="638"/>
      <c r="D54" s="638"/>
      <c r="E54" s="638"/>
      <c r="F54" s="638"/>
      <c r="G54" s="638"/>
      <c r="H54" s="638"/>
      <c r="I54" s="638"/>
      <c r="J54" s="638"/>
      <c r="K54" s="638"/>
      <c r="L54" s="639"/>
    </row>
    <row r="55" spans="1:12" ht="16.5" customHeight="1"/>
    <row r="56" spans="1:12" ht="14.1" customHeight="1"/>
    <row r="57" spans="1:12" ht="17.100000000000001" customHeight="1">
      <c r="A57" s="29" t="s">
        <v>154</v>
      </c>
      <c r="B57" s="30"/>
      <c r="C57" s="30"/>
      <c r="D57" s="30"/>
      <c r="E57" s="33"/>
      <c r="F57" s="33"/>
      <c r="G57" s="33"/>
      <c r="H57" s="33"/>
      <c r="I57" s="33"/>
      <c r="J57" s="640"/>
      <c r="K57" s="640"/>
      <c r="L57" s="300"/>
    </row>
    <row r="58" spans="1:12" ht="17.100000000000001" customHeight="1">
      <c r="A58" s="31" t="s">
        <v>155</v>
      </c>
      <c r="B58" s="296"/>
      <c r="C58" s="296"/>
      <c r="D58" s="296"/>
      <c r="E58" s="297" t="s">
        <v>144</v>
      </c>
      <c r="F58" s="298"/>
      <c r="G58" s="631" t="s">
        <v>145</v>
      </c>
      <c r="H58" s="631"/>
      <c r="I58" s="298"/>
      <c r="J58" s="641"/>
      <c r="K58" s="641"/>
      <c r="L58" s="301"/>
    </row>
    <row r="59" spans="1:12" ht="17.100000000000001" customHeight="1">
      <c r="A59" s="32"/>
      <c r="B59" s="19"/>
      <c r="C59" s="19"/>
      <c r="D59" s="19"/>
      <c r="E59" s="19"/>
      <c r="F59" s="19"/>
      <c r="G59" s="19"/>
      <c r="H59" s="19"/>
      <c r="I59" s="19"/>
      <c r="J59" s="642"/>
      <c r="K59" s="642"/>
      <c r="L59" s="302"/>
    </row>
    <row r="60" spans="1:12" ht="17.100000000000001" customHeight="1">
      <c r="A60" s="299"/>
      <c r="B60" s="180"/>
      <c r="C60" s="180"/>
      <c r="D60" s="180"/>
      <c r="E60" s="180"/>
      <c r="F60" s="180"/>
      <c r="G60" s="180"/>
      <c r="H60" s="180"/>
      <c r="I60" s="180"/>
      <c r="J60" s="180"/>
      <c r="K60" s="180"/>
      <c r="L60" s="3"/>
    </row>
    <row r="61" spans="1:12" ht="17.100000000000001" customHeight="1">
      <c r="A61" s="49"/>
      <c r="B61" s="48"/>
      <c r="C61" s="48"/>
      <c r="D61" s="48"/>
      <c r="E61" s="48"/>
      <c r="F61" s="48"/>
      <c r="G61" s="48"/>
      <c r="H61" s="48"/>
      <c r="I61" s="48"/>
      <c r="J61" s="48"/>
      <c r="K61" s="48"/>
      <c r="L61" s="5"/>
    </row>
    <row r="62" spans="1:12" ht="17.100000000000001" customHeight="1">
      <c r="A62" s="246"/>
      <c r="B62" s="295" t="s">
        <v>497</v>
      </c>
      <c r="C62" s="295"/>
      <c r="D62" s="295"/>
      <c r="E62" s="295"/>
      <c r="F62" s="295"/>
      <c r="G62" s="295"/>
      <c r="H62" s="295"/>
      <c r="I62" s="48"/>
      <c r="J62" s="48"/>
      <c r="K62" s="48"/>
      <c r="L62" s="5"/>
    </row>
    <row r="63" spans="1:12" ht="17.100000000000001" customHeight="1">
      <c r="A63" s="245"/>
      <c r="B63" s="51" t="s">
        <v>498</v>
      </c>
      <c r="C63" s="51"/>
      <c r="D63" s="51"/>
      <c r="E63" s="51"/>
      <c r="F63" s="51"/>
      <c r="G63" s="51"/>
      <c r="H63" s="51"/>
      <c r="I63" s="51"/>
      <c r="L63" s="5"/>
    </row>
    <row r="64" spans="1:12" ht="17.100000000000001" customHeight="1">
      <c r="A64" s="245"/>
      <c r="B64" s="51" t="s">
        <v>499</v>
      </c>
      <c r="C64" s="51"/>
      <c r="D64" s="51"/>
      <c r="E64" s="51"/>
      <c r="F64" s="51"/>
      <c r="G64" s="51"/>
      <c r="H64" s="51"/>
      <c r="I64" s="51"/>
      <c r="L64" s="5"/>
    </row>
    <row r="65" spans="1:12" ht="17.100000000000001" customHeight="1">
      <c r="A65" s="4"/>
      <c r="L65" s="5"/>
    </row>
    <row r="66" spans="1:12" ht="17.100000000000001" customHeight="1">
      <c r="A66" s="289"/>
      <c r="B66" s="98" t="s">
        <v>489</v>
      </c>
      <c r="C66" s="98"/>
      <c r="D66" s="98"/>
      <c r="E66" s="98"/>
      <c r="F66" s="98"/>
      <c r="G66" s="98"/>
      <c r="H66" s="98"/>
      <c r="I66" s="98"/>
      <c r="J66" s="98"/>
      <c r="K66" s="98"/>
      <c r="L66" s="5"/>
    </row>
    <row r="67" spans="1:12" ht="17.100000000000001" customHeight="1">
      <c r="A67" s="289"/>
      <c r="B67" s="98" t="s">
        <v>603</v>
      </c>
      <c r="C67" s="98"/>
      <c r="D67" s="98"/>
      <c r="E67" s="98"/>
      <c r="F67" s="98"/>
      <c r="G67" s="98"/>
      <c r="H67" s="98"/>
      <c r="I67" s="98"/>
      <c r="J67" s="140"/>
      <c r="K67" s="140"/>
      <c r="L67" s="5"/>
    </row>
    <row r="68" spans="1:12" ht="17.100000000000001" customHeight="1">
      <c r="A68" s="289"/>
      <c r="B68" s="98" t="s">
        <v>604</v>
      </c>
      <c r="C68" s="98"/>
      <c r="D68" s="98"/>
      <c r="E68" s="98"/>
      <c r="F68" s="98"/>
      <c r="G68" s="98"/>
      <c r="H68" s="98"/>
      <c r="I68" s="98"/>
      <c r="J68" s="98"/>
      <c r="K68" s="98"/>
      <c r="L68" s="5"/>
    </row>
    <row r="69" spans="1:12" ht="17.100000000000001" customHeight="1">
      <c r="A69" s="245"/>
      <c r="B69" s="51" t="s">
        <v>428</v>
      </c>
      <c r="C69" s="51"/>
      <c r="D69" s="51"/>
      <c r="E69" s="51"/>
      <c r="F69" s="51"/>
      <c r="G69" s="51"/>
      <c r="H69" s="51"/>
      <c r="I69" s="51"/>
      <c r="J69" s="51"/>
      <c r="K69" s="98"/>
      <c r="L69" s="5"/>
    </row>
    <row r="70" spans="1:12" ht="17.100000000000001" customHeight="1">
      <c r="A70" s="245"/>
      <c r="B70" s="51" t="s">
        <v>430</v>
      </c>
      <c r="C70" s="51"/>
      <c r="D70" s="51"/>
      <c r="E70" s="51"/>
      <c r="F70" s="51"/>
      <c r="G70" s="51"/>
      <c r="H70" s="51"/>
      <c r="I70" s="51"/>
      <c r="J70" s="51"/>
      <c r="K70" s="98"/>
      <c r="L70" s="5"/>
    </row>
    <row r="71" spans="1:12" ht="17.100000000000001" customHeight="1">
      <c r="A71" s="245"/>
      <c r="B71" s="51" t="s">
        <v>429</v>
      </c>
      <c r="C71" s="51"/>
      <c r="D71" s="51"/>
      <c r="E71" s="51"/>
      <c r="F71" s="51"/>
      <c r="G71" s="51"/>
      <c r="H71" s="51"/>
      <c r="I71" s="51"/>
      <c r="J71" s="51"/>
      <c r="K71" s="98"/>
      <c r="L71" s="5"/>
    </row>
    <row r="72" spans="1:12" ht="17.100000000000001" customHeight="1">
      <c r="A72" s="4"/>
      <c r="L72" s="5"/>
    </row>
    <row r="73" spans="1:12" ht="17.100000000000001" customHeight="1">
      <c r="A73" s="6"/>
      <c r="B73" s="7"/>
      <c r="C73" s="7"/>
      <c r="D73" s="7"/>
      <c r="E73" s="7"/>
      <c r="F73" s="7"/>
      <c r="G73" s="7"/>
      <c r="H73" s="7"/>
      <c r="I73" s="7"/>
      <c r="J73" s="7"/>
      <c r="K73" s="7"/>
      <c r="L73" s="8"/>
    </row>
    <row r="74" spans="1:12" ht="17.100000000000001" customHeight="1">
      <c r="C74" s="427"/>
      <c r="D74" s="427"/>
      <c r="E74" s="427"/>
      <c r="F74" s="427"/>
      <c r="G74" s="427"/>
      <c r="H74" s="427"/>
    </row>
    <row r="75" spans="1:12" ht="17.100000000000001" customHeight="1">
      <c r="A75" s="29" t="s">
        <v>156</v>
      </c>
      <c r="B75" s="30"/>
      <c r="C75" s="30"/>
      <c r="D75" s="30"/>
      <c r="E75" s="33"/>
      <c r="F75" s="33"/>
      <c r="G75" s="33"/>
      <c r="H75" s="33"/>
      <c r="I75" s="33"/>
      <c r="J75" s="30"/>
      <c r="K75" s="30"/>
      <c r="L75" s="300"/>
    </row>
    <row r="76" spans="1:12" ht="17.100000000000001" customHeight="1">
      <c r="A76" s="31" t="s">
        <v>157</v>
      </c>
      <c r="B76" s="296"/>
      <c r="C76" s="296"/>
      <c r="D76" s="296"/>
      <c r="E76" s="297" t="s">
        <v>144</v>
      </c>
      <c r="F76" s="298"/>
      <c r="G76" s="297"/>
      <c r="H76" s="297" t="s">
        <v>145</v>
      </c>
      <c r="I76" s="298"/>
      <c r="J76" s="296"/>
      <c r="K76" s="296"/>
      <c r="L76" s="301"/>
    </row>
    <row r="77" spans="1:12" ht="17.100000000000001" customHeight="1">
      <c r="A77" s="32"/>
      <c r="B77" s="19"/>
      <c r="C77" s="19"/>
      <c r="D77" s="19"/>
      <c r="E77" s="19"/>
      <c r="F77" s="19"/>
      <c r="G77" s="19"/>
      <c r="H77" s="19"/>
      <c r="I77" s="19"/>
      <c r="J77" s="294"/>
      <c r="K77" s="294"/>
      <c r="L77" s="302"/>
    </row>
    <row r="78" spans="1:12" ht="17.100000000000001" customHeight="1">
      <c r="A78" s="299"/>
      <c r="B78" s="180"/>
      <c r="C78" s="180"/>
      <c r="D78" s="180"/>
      <c r="E78" s="180"/>
      <c r="F78" s="180"/>
      <c r="G78" s="180"/>
      <c r="H78" s="180"/>
      <c r="I78" s="180"/>
      <c r="J78" s="180"/>
      <c r="K78" s="180"/>
      <c r="L78" s="3"/>
    </row>
    <row r="79" spans="1:12" ht="17.100000000000001" customHeight="1">
      <c r="A79" s="49"/>
      <c r="B79" s="48"/>
      <c r="C79" s="48"/>
      <c r="D79" s="48"/>
      <c r="E79" s="48"/>
      <c r="F79" s="48"/>
      <c r="G79" s="48"/>
      <c r="H79" s="48"/>
      <c r="I79" s="48"/>
      <c r="J79" s="48"/>
      <c r="K79" s="48"/>
      <c r="L79" s="5"/>
    </row>
    <row r="80" spans="1:12" ht="17.100000000000001" customHeight="1">
      <c r="A80" s="246"/>
      <c r="B80" s="295" t="s">
        <v>497</v>
      </c>
      <c r="C80" s="295"/>
      <c r="D80" s="295"/>
      <c r="E80" s="295"/>
      <c r="F80" s="295"/>
      <c r="G80" s="295"/>
      <c r="H80" s="295"/>
      <c r="I80" s="48"/>
      <c r="J80" s="48"/>
      <c r="K80" s="48"/>
      <c r="L80" s="5"/>
    </row>
    <row r="81" spans="1:12" ht="17.100000000000001" customHeight="1">
      <c r="A81" s="245"/>
      <c r="B81" s="51" t="s">
        <v>498</v>
      </c>
      <c r="C81" s="51"/>
      <c r="D81" s="51"/>
      <c r="E81" s="51"/>
      <c r="F81" s="51"/>
      <c r="G81" s="51"/>
      <c r="H81" s="51"/>
      <c r="I81" s="51"/>
      <c r="J81" s="48"/>
      <c r="K81" s="48"/>
      <c r="L81" s="5"/>
    </row>
    <row r="82" spans="1:12" ht="17.100000000000001" customHeight="1">
      <c r="A82" s="245"/>
      <c r="B82" s="51" t="s">
        <v>499</v>
      </c>
      <c r="C82" s="51"/>
      <c r="D82" s="51"/>
      <c r="E82" s="51"/>
      <c r="F82" s="51"/>
      <c r="G82" s="51"/>
      <c r="H82" s="51"/>
      <c r="I82" s="51"/>
      <c r="J82" s="48"/>
      <c r="K82" s="48"/>
      <c r="L82" s="5"/>
    </row>
    <row r="83" spans="1:12" ht="17.100000000000001" customHeight="1">
      <c r="A83" s="4"/>
      <c r="J83" s="48"/>
      <c r="K83" s="48"/>
      <c r="L83" s="5"/>
    </row>
    <row r="84" spans="1:12" ht="17.100000000000001" customHeight="1">
      <c r="A84" s="4"/>
      <c r="J84" s="48"/>
      <c r="K84" s="48"/>
      <c r="L84" s="5"/>
    </row>
    <row r="85" spans="1:12" ht="17.100000000000001" customHeight="1">
      <c r="A85" s="245"/>
      <c r="B85" s="51" t="s">
        <v>486</v>
      </c>
      <c r="C85" s="51"/>
      <c r="D85" s="51"/>
      <c r="E85" s="51"/>
      <c r="F85" s="51"/>
      <c r="G85" s="51"/>
      <c r="H85" s="51"/>
      <c r="I85" s="51"/>
      <c r="J85" s="48"/>
      <c r="K85" s="48"/>
      <c r="L85" s="5"/>
    </row>
    <row r="86" spans="1:12" ht="17.100000000000001" customHeight="1">
      <c r="A86" s="245"/>
      <c r="B86" s="51" t="s">
        <v>487</v>
      </c>
      <c r="C86" s="51"/>
      <c r="D86" s="51"/>
      <c r="E86" s="51"/>
      <c r="F86" s="51"/>
      <c r="G86" s="51"/>
      <c r="H86" s="51"/>
      <c r="I86" s="51"/>
      <c r="J86" s="48"/>
      <c r="K86" s="48"/>
      <c r="L86" s="5"/>
    </row>
    <row r="87" spans="1:12" ht="17.100000000000001" customHeight="1">
      <c r="A87" s="245"/>
      <c r="B87" s="51" t="s">
        <v>431</v>
      </c>
      <c r="C87" s="51"/>
      <c r="D87" s="51"/>
      <c r="E87" s="51"/>
      <c r="F87" s="51"/>
      <c r="G87" s="51"/>
      <c r="H87" s="51"/>
      <c r="I87" s="51"/>
      <c r="J87" s="48"/>
      <c r="K87" s="48"/>
      <c r="L87" s="5"/>
    </row>
    <row r="88" spans="1:12" ht="17.100000000000001" customHeight="1">
      <c r="A88" s="245"/>
      <c r="B88" s="51" t="s">
        <v>432</v>
      </c>
      <c r="C88" s="51"/>
      <c r="D88" s="51"/>
      <c r="E88" s="51"/>
      <c r="F88" s="51"/>
      <c r="G88" s="51"/>
      <c r="H88" s="51"/>
      <c r="I88" s="51"/>
      <c r="J88" s="48"/>
      <c r="K88" s="48"/>
      <c r="L88" s="5"/>
    </row>
    <row r="89" spans="1:12" ht="17.100000000000001" customHeight="1">
      <c r="A89" s="245"/>
      <c r="B89" s="51" t="s">
        <v>433</v>
      </c>
      <c r="C89" s="51"/>
      <c r="D89" s="51"/>
      <c r="E89" s="51"/>
      <c r="F89" s="51"/>
      <c r="G89" s="51"/>
      <c r="H89" s="51"/>
      <c r="I89" s="51"/>
      <c r="L89" s="5"/>
    </row>
    <row r="90" spans="1:12" ht="17.100000000000001" customHeight="1">
      <c r="A90" s="4"/>
      <c r="C90" s="427"/>
      <c r="D90" s="427"/>
      <c r="E90" s="427"/>
      <c r="F90" s="427"/>
      <c r="G90" s="427"/>
      <c r="H90" s="427"/>
      <c r="L90" s="5"/>
    </row>
    <row r="91" spans="1:12" ht="17.100000000000001" customHeight="1">
      <c r="A91" s="6"/>
      <c r="B91" s="7"/>
      <c r="C91" s="7"/>
      <c r="D91" s="7"/>
      <c r="E91" s="7"/>
      <c r="F91" s="7"/>
      <c r="G91" s="7"/>
      <c r="H91" s="7"/>
      <c r="I91" s="7"/>
      <c r="J91" s="7"/>
      <c r="K91" s="7"/>
      <c r="L91" s="8"/>
    </row>
    <row r="92" spans="1:12" ht="17.100000000000001" customHeight="1">
      <c r="A92" s="630"/>
      <c r="B92" s="630"/>
      <c r="C92" s="630"/>
      <c r="D92" s="630"/>
      <c r="E92" s="630"/>
      <c r="F92" s="630"/>
      <c r="G92" s="630"/>
      <c r="H92" s="630"/>
    </row>
    <row r="93" spans="1:12" ht="17.100000000000001" customHeight="1">
      <c r="A93" s="632" t="s">
        <v>158</v>
      </c>
      <c r="B93" s="633"/>
      <c r="C93" s="633"/>
      <c r="D93" s="633"/>
      <c r="E93" s="633"/>
      <c r="F93" s="633"/>
      <c r="G93" s="633"/>
      <c r="H93" s="633"/>
      <c r="I93" s="633"/>
      <c r="J93" s="633"/>
      <c r="K93" s="633"/>
      <c r="L93" s="304"/>
    </row>
    <row r="94" spans="1:12" ht="17.100000000000001" customHeight="1">
      <c r="A94" s="1"/>
      <c r="B94" s="2"/>
      <c r="C94" s="2"/>
      <c r="D94" s="2"/>
      <c r="E94" s="2"/>
      <c r="F94" s="2"/>
      <c r="G94" s="2"/>
      <c r="H94" s="2"/>
      <c r="I94" s="2"/>
      <c r="J94" s="2"/>
      <c r="K94" s="2"/>
      <c r="L94" s="3"/>
    </row>
    <row r="95" spans="1:12" ht="17.100000000000001" customHeight="1">
      <c r="A95" s="4"/>
      <c r="B95" t="s">
        <v>159</v>
      </c>
      <c r="F95" t="s">
        <v>144</v>
      </c>
      <c r="L95" s="5"/>
    </row>
    <row r="96" spans="1:12" ht="17.100000000000001" customHeight="1">
      <c r="A96" s="4"/>
      <c r="L96" s="5"/>
    </row>
    <row r="97" spans="1:12" ht="17.100000000000001" customHeight="1">
      <c r="A97" s="6"/>
      <c r="B97" s="7" t="s">
        <v>160</v>
      </c>
      <c r="C97" s="7"/>
      <c r="D97" s="7"/>
      <c r="E97" s="7"/>
      <c r="F97" s="7" t="s">
        <v>145</v>
      </c>
      <c r="G97" s="7"/>
      <c r="H97" s="7"/>
      <c r="I97" s="7"/>
      <c r="J97" s="7"/>
      <c r="K97" s="7"/>
      <c r="L97" s="8"/>
    </row>
    <row r="98" spans="1:12" ht="17.100000000000001" customHeight="1">
      <c r="A98" s="1"/>
      <c r="B98" s="303"/>
      <c r="C98" s="2"/>
      <c r="D98" s="2"/>
      <c r="E98" s="2"/>
      <c r="F98" s="2"/>
      <c r="G98" s="2"/>
      <c r="H98" s="2"/>
      <c r="I98" s="2"/>
      <c r="J98" s="2"/>
      <c r="K98" s="2"/>
      <c r="L98" s="3"/>
    </row>
    <row r="99" spans="1:12" ht="17.100000000000001" customHeight="1">
      <c r="A99" s="4"/>
      <c r="B99" s="60"/>
      <c r="L99" s="5"/>
    </row>
    <row r="100" spans="1:12" ht="17.100000000000001" customHeight="1">
      <c r="A100" s="4"/>
      <c r="B100" s="60"/>
      <c r="L100" s="5"/>
    </row>
    <row r="101" spans="1:12" ht="17.100000000000001" customHeight="1">
      <c r="A101" s="4"/>
      <c r="B101" s="60"/>
      <c r="L101" s="5"/>
    </row>
    <row r="102" spans="1:12" ht="17.100000000000001" customHeight="1">
      <c r="A102" s="4"/>
      <c r="B102" s="60"/>
      <c r="L102" s="5"/>
    </row>
    <row r="103" spans="1:12" ht="17.100000000000001" customHeight="1">
      <c r="A103" s="4"/>
      <c r="B103" s="60"/>
      <c r="L103" s="5"/>
    </row>
    <row r="104" spans="1:12" ht="17.100000000000001" customHeight="1">
      <c r="A104" s="4"/>
      <c r="B104" s="60"/>
      <c r="L104" s="5"/>
    </row>
    <row r="105" spans="1:12" ht="17.100000000000001" customHeight="1">
      <c r="A105" s="4"/>
      <c r="B105" s="60"/>
      <c r="L105" s="5"/>
    </row>
    <row r="106" spans="1:12" ht="17.100000000000001" customHeight="1">
      <c r="A106" s="4"/>
      <c r="B106" s="60"/>
      <c r="L106" s="5"/>
    </row>
    <row r="107" spans="1:12" ht="17.100000000000001" customHeight="1">
      <c r="A107" s="4"/>
      <c r="B107" s="60"/>
      <c r="L107" s="5"/>
    </row>
    <row r="108" spans="1:12" ht="17.100000000000001" customHeight="1">
      <c r="A108" s="4"/>
      <c r="B108" s="60"/>
      <c r="L108" s="5"/>
    </row>
    <row r="109" spans="1:12" ht="17.100000000000001" customHeight="1">
      <c r="A109" s="6"/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8"/>
    </row>
    <row r="110" spans="1:12" ht="9.75" customHeight="1"/>
    <row r="111" spans="1:12" ht="12" customHeight="1"/>
    <row r="112" spans="1:12" ht="17.100000000000001" customHeight="1"/>
    <row r="113" spans="1:12" ht="17.100000000000001" customHeight="1">
      <c r="B113" s="12" t="s">
        <v>161</v>
      </c>
    </row>
    <row r="114" spans="1:12" ht="25.5" customHeight="1">
      <c r="A114" s="253"/>
      <c r="B114" s="254"/>
      <c r="C114" s="254"/>
      <c r="D114" s="254"/>
      <c r="E114" s="254"/>
      <c r="F114" s="254"/>
      <c r="G114" s="254"/>
      <c r="H114" s="254"/>
      <c r="I114" s="254"/>
      <c r="J114" s="254"/>
      <c r="K114" s="254"/>
      <c r="L114" s="255"/>
    </row>
    <row r="115" spans="1:12" ht="25.5" customHeight="1">
      <c r="A115" s="253"/>
      <c r="B115" s="254"/>
      <c r="C115" s="254"/>
      <c r="D115" s="254"/>
      <c r="E115" s="254"/>
      <c r="F115" s="254"/>
      <c r="G115" s="254"/>
      <c r="H115" s="254"/>
      <c r="I115" s="254"/>
      <c r="J115" s="254"/>
      <c r="K115" s="254"/>
      <c r="L115" s="255"/>
    </row>
    <row r="116" spans="1:12" ht="25.5" customHeight="1">
      <c r="A116" s="253"/>
      <c r="B116" s="254"/>
      <c r="C116" s="254"/>
      <c r="D116" s="254"/>
      <c r="E116" s="254"/>
      <c r="F116" s="254"/>
      <c r="G116" s="254"/>
      <c r="H116" s="254"/>
      <c r="I116" s="254"/>
      <c r="J116" s="254"/>
      <c r="K116" s="254"/>
      <c r="L116" s="255"/>
    </row>
    <row r="117" spans="1:12" ht="25.5" customHeight="1">
      <c r="A117" s="253"/>
      <c r="B117" s="254"/>
      <c r="C117" s="254"/>
      <c r="D117" s="254"/>
      <c r="E117" s="254"/>
      <c r="F117" s="254"/>
      <c r="G117" s="254"/>
      <c r="H117" s="254"/>
      <c r="I117" s="254"/>
      <c r="J117" s="254"/>
      <c r="K117" s="254"/>
      <c r="L117" s="255"/>
    </row>
    <row r="118" spans="1:12" ht="25.5" customHeight="1">
      <c r="A118" s="253"/>
      <c r="B118" s="254"/>
      <c r="C118" s="254"/>
      <c r="D118" s="254"/>
      <c r="E118" s="254"/>
      <c r="F118" s="254"/>
      <c r="G118" s="254"/>
      <c r="H118" s="254"/>
      <c r="I118" s="254"/>
      <c r="J118" s="254"/>
      <c r="K118" s="254"/>
      <c r="L118" s="255"/>
    </row>
    <row r="119" spans="1:12" ht="25.5" customHeight="1">
      <c r="A119" s="256"/>
      <c r="B119" s="254"/>
      <c r="C119" s="254"/>
      <c r="D119" s="254"/>
      <c r="E119" s="254"/>
      <c r="F119" s="254"/>
      <c r="G119" s="254"/>
      <c r="H119" s="254"/>
      <c r="I119" s="254"/>
      <c r="J119" s="254"/>
      <c r="K119" s="254"/>
      <c r="L119" s="255"/>
    </row>
    <row r="120" spans="1:12" ht="25.5" customHeight="1">
      <c r="A120" s="256"/>
      <c r="B120" s="254"/>
      <c r="C120" s="254"/>
      <c r="D120" s="254"/>
      <c r="E120" s="254"/>
      <c r="F120" s="254"/>
      <c r="G120" s="254"/>
      <c r="H120" s="254"/>
      <c r="I120" s="254"/>
      <c r="J120" s="254"/>
      <c r="K120" s="254"/>
      <c r="L120" s="255"/>
    </row>
    <row r="121" spans="1:12" ht="25.5" customHeight="1">
      <c r="A121" s="253"/>
      <c r="B121" s="254"/>
      <c r="C121" s="254"/>
      <c r="D121" s="254"/>
      <c r="E121" s="254"/>
      <c r="F121" s="254"/>
      <c r="G121" s="254"/>
      <c r="H121" s="254"/>
      <c r="I121" s="254"/>
      <c r="J121" s="254"/>
      <c r="K121" s="254"/>
      <c r="L121" s="255"/>
    </row>
    <row r="122" spans="1:12" ht="25.5" customHeight="1">
      <c r="A122" s="253"/>
      <c r="B122" s="254"/>
      <c r="C122" s="254"/>
      <c r="D122" s="254"/>
      <c r="E122" s="254"/>
      <c r="F122" s="254"/>
      <c r="G122" s="254"/>
      <c r="H122" s="254"/>
      <c r="I122" s="254"/>
      <c r="J122" s="254"/>
      <c r="K122" s="254"/>
      <c r="L122" s="255"/>
    </row>
    <row r="123" spans="1:12" ht="25.5" customHeight="1">
      <c r="A123" s="643"/>
      <c r="B123" s="644"/>
      <c r="C123" s="644"/>
      <c r="D123" s="644"/>
      <c r="E123" s="644"/>
      <c r="F123" s="644"/>
      <c r="G123" s="644"/>
      <c r="H123" s="644"/>
      <c r="I123" s="644"/>
      <c r="J123" s="644"/>
      <c r="K123" s="644"/>
      <c r="L123" s="645"/>
    </row>
    <row r="124" spans="1:12" ht="25.5" customHeight="1">
      <c r="A124" s="643"/>
      <c r="B124" s="644"/>
      <c r="C124" s="644"/>
      <c r="D124" s="644"/>
      <c r="E124" s="644"/>
      <c r="F124" s="644"/>
      <c r="G124" s="644"/>
      <c r="H124" s="644"/>
      <c r="I124" s="644"/>
      <c r="J124" s="644"/>
      <c r="K124" s="644"/>
      <c r="L124" s="645"/>
    </row>
    <row r="125" spans="1:12" ht="25.5" customHeight="1">
      <c r="A125" s="643"/>
      <c r="B125" s="644"/>
      <c r="C125" s="644"/>
      <c r="D125" s="644"/>
      <c r="E125" s="644"/>
      <c r="F125" s="644"/>
      <c r="G125" s="644"/>
      <c r="H125" s="644"/>
      <c r="I125" s="644"/>
      <c r="J125" s="644"/>
      <c r="K125" s="644"/>
      <c r="L125" s="645"/>
    </row>
    <row r="126" spans="1:12" ht="25.5" customHeight="1">
      <c r="A126" s="643"/>
      <c r="B126" s="644"/>
      <c r="C126" s="644"/>
      <c r="D126" s="644"/>
      <c r="E126" s="644"/>
      <c r="F126" s="644"/>
      <c r="G126" s="644"/>
      <c r="H126" s="644"/>
      <c r="I126" s="644"/>
      <c r="J126" s="644"/>
      <c r="K126" s="644"/>
      <c r="L126" s="645"/>
    </row>
    <row r="127" spans="1:12" ht="25.5" customHeight="1">
      <c r="A127" s="643"/>
      <c r="B127" s="644"/>
      <c r="C127" s="644"/>
      <c r="D127" s="644"/>
      <c r="E127" s="644"/>
      <c r="F127" s="644"/>
      <c r="G127" s="644"/>
      <c r="H127" s="644"/>
      <c r="I127" s="644"/>
      <c r="J127" s="644"/>
      <c r="K127" s="644"/>
      <c r="L127" s="645"/>
    </row>
    <row r="128" spans="1:12" ht="25.5" customHeight="1">
      <c r="A128" s="643"/>
      <c r="B128" s="644"/>
      <c r="C128" s="644"/>
      <c r="D128" s="644"/>
      <c r="E128" s="644"/>
      <c r="F128" s="644"/>
      <c r="G128" s="644"/>
      <c r="H128" s="644"/>
      <c r="I128" s="644"/>
      <c r="J128" s="644"/>
      <c r="K128" s="644"/>
      <c r="L128" s="645"/>
    </row>
    <row r="129" spans="1:12" ht="25.5" customHeight="1">
      <c r="A129" s="643"/>
      <c r="B129" s="644"/>
      <c r="C129" s="644"/>
      <c r="D129" s="644"/>
      <c r="E129" s="644"/>
      <c r="F129" s="644"/>
      <c r="G129" s="644"/>
      <c r="H129" s="644"/>
      <c r="I129" s="644"/>
      <c r="J129" s="644"/>
      <c r="K129" s="644"/>
      <c r="L129" s="645"/>
    </row>
    <row r="130" spans="1:12" ht="25.5" customHeight="1">
      <c r="A130" s="643"/>
      <c r="B130" s="644"/>
      <c r="C130" s="644"/>
      <c r="D130" s="644"/>
      <c r="E130" s="644"/>
      <c r="F130" s="644"/>
      <c r="G130" s="644"/>
      <c r="H130" s="644"/>
      <c r="I130" s="644"/>
      <c r="J130" s="644"/>
      <c r="K130" s="644"/>
      <c r="L130" s="645"/>
    </row>
    <row r="131" spans="1:12" ht="25.5" customHeight="1">
      <c r="A131" s="643"/>
      <c r="B131" s="644"/>
      <c r="C131" s="644"/>
      <c r="D131" s="644"/>
      <c r="E131" s="644"/>
      <c r="F131" s="644"/>
      <c r="G131" s="644"/>
      <c r="H131" s="644"/>
      <c r="I131" s="644"/>
      <c r="J131" s="644"/>
      <c r="K131" s="644"/>
      <c r="L131" s="645"/>
    </row>
    <row r="132" spans="1:12" ht="25.5" customHeight="1">
      <c r="A132" s="643"/>
      <c r="B132" s="644"/>
      <c r="C132" s="644"/>
      <c r="D132" s="644"/>
      <c r="E132" s="644"/>
      <c r="F132" s="644"/>
      <c r="G132" s="644"/>
      <c r="H132" s="644"/>
      <c r="I132" s="644"/>
      <c r="J132" s="644"/>
      <c r="K132" s="644"/>
      <c r="L132" s="645"/>
    </row>
    <row r="133" spans="1:12" ht="25.5" customHeight="1">
      <c r="A133" s="643"/>
      <c r="B133" s="644"/>
      <c r="C133" s="644"/>
      <c r="D133" s="644"/>
      <c r="E133" s="644"/>
      <c r="F133" s="644"/>
      <c r="G133" s="644"/>
      <c r="H133" s="644"/>
      <c r="I133" s="644"/>
      <c r="J133" s="644"/>
      <c r="K133" s="644"/>
      <c r="L133" s="645"/>
    </row>
    <row r="134" spans="1:12" ht="25.5" customHeight="1">
      <c r="A134" s="643"/>
      <c r="B134" s="644"/>
      <c r="C134" s="644"/>
      <c r="D134" s="644"/>
      <c r="E134" s="644"/>
      <c r="F134" s="644"/>
      <c r="G134" s="644"/>
      <c r="H134" s="644"/>
      <c r="I134" s="644"/>
      <c r="J134" s="644"/>
      <c r="K134" s="644"/>
      <c r="L134" s="645"/>
    </row>
    <row r="135" spans="1:12" ht="25.5" customHeight="1">
      <c r="A135" s="643"/>
      <c r="B135" s="644"/>
      <c r="C135" s="644"/>
      <c r="D135" s="644"/>
      <c r="E135" s="644"/>
      <c r="F135" s="644"/>
      <c r="G135" s="644"/>
      <c r="H135" s="644"/>
      <c r="I135" s="644"/>
      <c r="J135" s="644"/>
      <c r="K135" s="644"/>
      <c r="L135" s="645"/>
    </row>
    <row r="136" spans="1:12" ht="25.5" customHeight="1">
      <c r="A136" s="643"/>
      <c r="B136" s="644"/>
      <c r="C136" s="644"/>
      <c r="D136" s="644"/>
      <c r="E136" s="644"/>
      <c r="F136" s="644"/>
      <c r="G136" s="644"/>
      <c r="H136" s="644"/>
      <c r="I136" s="644"/>
      <c r="J136" s="644"/>
      <c r="K136" s="644"/>
      <c r="L136" s="645"/>
    </row>
    <row r="137" spans="1:12" ht="25.5" customHeight="1">
      <c r="A137" s="643"/>
      <c r="B137" s="644"/>
      <c r="C137" s="644"/>
      <c r="D137" s="644"/>
      <c r="E137" s="644"/>
      <c r="F137" s="644"/>
      <c r="G137" s="644"/>
      <c r="H137" s="644"/>
      <c r="I137" s="644"/>
      <c r="J137" s="644"/>
      <c r="K137" s="644"/>
      <c r="L137" s="645"/>
    </row>
    <row r="138" spans="1:12" ht="25.5" customHeight="1">
      <c r="A138" s="643"/>
      <c r="B138" s="644"/>
      <c r="C138" s="644"/>
      <c r="D138" s="644"/>
      <c r="E138" s="644"/>
      <c r="F138" s="644"/>
      <c r="G138" s="644"/>
      <c r="H138" s="644"/>
      <c r="I138" s="644"/>
      <c r="J138" s="644"/>
      <c r="K138" s="644"/>
      <c r="L138" s="645"/>
    </row>
    <row r="139" spans="1:12" ht="25.5" customHeight="1">
      <c r="A139" s="643"/>
      <c r="B139" s="644"/>
      <c r="C139" s="644"/>
      <c r="D139" s="644"/>
      <c r="E139" s="644"/>
      <c r="F139" s="644"/>
      <c r="G139" s="644"/>
      <c r="H139" s="644"/>
      <c r="I139" s="644"/>
      <c r="J139" s="644"/>
      <c r="K139" s="644"/>
      <c r="L139" s="645"/>
    </row>
    <row r="140" spans="1:12" ht="25.5" customHeight="1">
      <c r="A140" s="643"/>
      <c r="B140" s="644"/>
      <c r="C140" s="644"/>
      <c r="D140" s="644"/>
      <c r="E140" s="644"/>
      <c r="F140" s="644"/>
      <c r="G140" s="644"/>
      <c r="H140" s="644"/>
      <c r="I140" s="644"/>
      <c r="J140" s="644"/>
      <c r="K140" s="644"/>
      <c r="L140" s="645"/>
    </row>
    <row r="141" spans="1:12" ht="25.5" customHeight="1">
      <c r="A141" s="643"/>
      <c r="B141" s="644"/>
      <c r="C141" s="644"/>
      <c r="D141" s="644"/>
      <c r="E141" s="644"/>
      <c r="F141" s="644"/>
      <c r="G141" s="644"/>
      <c r="H141" s="644"/>
      <c r="I141" s="644"/>
      <c r="J141" s="644"/>
      <c r="K141" s="644"/>
      <c r="L141" s="645"/>
    </row>
    <row r="142" spans="1:12" ht="25.5" customHeight="1">
      <c r="A142" s="643"/>
      <c r="B142" s="644"/>
      <c r="C142" s="644"/>
      <c r="D142" s="644"/>
      <c r="E142" s="644"/>
      <c r="F142" s="644"/>
      <c r="G142" s="644"/>
      <c r="H142" s="644"/>
      <c r="I142" s="644"/>
      <c r="J142" s="644"/>
      <c r="K142" s="644"/>
      <c r="L142" s="645"/>
    </row>
    <row r="143" spans="1:12" ht="25.5" customHeight="1">
      <c r="A143" s="643"/>
      <c r="B143" s="644"/>
      <c r="C143" s="644"/>
      <c r="D143" s="644"/>
      <c r="E143" s="644"/>
      <c r="F143" s="644"/>
      <c r="G143" s="644"/>
      <c r="H143" s="644"/>
      <c r="I143" s="644"/>
      <c r="J143" s="644"/>
      <c r="K143" s="644"/>
      <c r="L143" s="645"/>
    </row>
    <row r="144" spans="1:12" ht="25.5" customHeight="1">
      <c r="A144" s="643"/>
      <c r="B144" s="644"/>
      <c r="C144" s="644"/>
      <c r="D144" s="644"/>
      <c r="E144" s="644"/>
      <c r="F144" s="644"/>
      <c r="G144" s="644"/>
      <c r="H144" s="644"/>
      <c r="I144" s="644"/>
      <c r="J144" s="644"/>
      <c r="K144" s="644"/>
      <c r="L144" s="645"/>
    </row>
    <row r="145" spans="1:12" ht="25.5" customHeight="1">
      <c r="A145" s="643"/>
      <c r="B145" s="644"/>
      <c r="C145" s="644"/>
      <c r="D145" s="644"/>
      <c r="E145" s="644"/>
      <c r="F145" s="644"/>
      <c r="G145" s="644"/>
      <c r="H145" s="644"/>
      <c r="I145" s="644"/>
      <c r="J145" s="644"/>
      <c r="K145" s="644"/>
      <c r="L145" s="645"/>
    </row>
    <row r="146" spans="1:12" ht="25.5" customHeight="1">
      <c r="A146" s="643"/>
      <c r="B146" s="644"/>
      <c r="C146" s="644"/>
      <c r="D146" s="644"/>
      <c r="E146" s="644"/>
      <c r="F146" s="644"/>
      <c r="G146" s="644"/>
      <c r="H146" s="644"/>
      <c r="I146" s="644"/>
      <c r="J146" s="644"/>
      <c r="K146" s="644"/>
      <c r="L146" s="645"/>
    </row>
    <row r="147" spans="1:12" ht="25.5" customHeight="1">
      <c r="A147" s="643"/>
      <c r="B147" s="644"/>
      <c r="C147" s="644"/>
      <c r="D147" s="644"/>
      <c r="E147" s="644"/>
      <c r="F147" s="644"/>
      <c r="G147" s="644"/>
      <c r="H147" s="644"/>
      <c r="I147" s="644"/>
      <c r="J147" s="644"/>
      <c r="K147" s="644"/>
      <c r="L147" s="645"/>
    </row>
    <row r="148" spans="1:12"/>
    <row r="149" spans="1:12">
      <c r="A149" s="13"/>
      <c r="B149" s="13"/>
      <c r="C149" s="13"/>
      <c r="D149" s="13"/>
      <c r="E149" s="13"/>
      <c r="F149" s="13"/>
      <c r="G149" s="13"/>
      <c r="H149" s="13"/>
      <c r="I149" s="13"/>
      <c r="J149" s="13"/>
      <c r="K149" s="13"/>
      <c r="L149" s="13"/>
    </row>
    <row r="150" spans="1:12"/>
    <row r="151" spans="1:12">
      <c r="A151" s="1"/>
      <c r="B151" s="35" t="s">
        <v>162</v>
      </c>
      <c r="C151" s="2"/>
      <c r="D151" s="2"/>
      <c r="E151" s="2"/>
      <c r="F151" s="2"/>
      <c r="G151" s="2"/>
      <c r="H151" s="2"/>
      <c r="I151" s="2"/>
      <c r="J151" s="2"/>
      <c r="K151" s="2"/>
      <c r="L151" s="3"/>
    </row>
    <row r="152" spans="1:12">
      <c r="A152" s="4"/>
      <c r="B152" t="s">
        <v>598</v>
      </c>
      <c r="L152" s="5"/>
    </row>
    <row r="153" spans="1:12">
      <c r="A153" s="4"/>
      <c r="B153" t="s">
        <v>163</v>
      </c>
      <c r="L153" s="5"/>
    </row>
    <row r="154" spans="1:12">
      <c r="A154" s="4"/>
      <c r="L154" s="5"/>
    </row>
    <row r="155" spans="1:12">
      <c r="A155" s="4"/>
      <c r="D155" s="666" t="s">
        <v>164</v>
      </c>
      <c r="E155" s="666"/>
      <c r="F155" s="666"/>
      <c r="G155" s="666"/>
      <c r="H155" s="666"/>
      <c r="L155" s="5"/>
    </row>
    <row r="156" spans="1:12">
      <c r="A156" s="4"/>
      <c r="L156" s="5"/>
    </row>
    <row r="157" spans="1:12">
      <c r="A157" s="4"/>
      <c r="L157" s="5"/>
    </row>
    <row r="158" spans="1:12">
      <c r="A158" s="4"/>
      <c r="L158" s="5"/>
    </row>
    <row r="159" spans="1:12">
      <c r="A159" s="4"/>
      <c r="L159" s="5"/>
    </row>
    <row r="160" spans="1:12">
      <c r="A160" s="4"/>
      <c r="L160" s="5"/>
    </row>
    <row r="161" spans="1:12">
      <c r="A161" s="4"/>
      <c r="L161" s="5"/>
    </row>
    <row r="162" spans="1:12">
      <c r="A162" s="4"/>
      <c r="L162" s="5"/>
    </row>
    <row r="163" spans="1:12">
      <c r="A163" s="4"/>
      <c r="D163" s="541" t="s">
        <v>165</v>
      </c>
      <c r="E163" s="541"/>
      <c r="F163" s="541"/>
      <c r="G163" s="541"/>
      <c r="H163" s="541"/>
      <c r="L163" s="5"/>
    </row>
    <row r="164" spans="1:12">
      <c r="A164" s="6"/>
      <c r="B164" s="7"/>
      <c r="C164" s="7"/>
      <c r="D164" s="7"/>
      <c r="E164" s="7"/>
      <c r="F164" s="7"/>
      <c r="G164" s="7"/>
      <c r="H164" s="7"/>
      <c r="I164" s="7"/>
      <c r="J164" s="7"/>
      <c r="K164" s="7"/>
      <c r="L164" s="8"/>
    </row>
    <row r="165" spans="1:12"/>
    <row r="166" spans="1:12">
      <c r="A166" s="632" t="s">
        <v>166</v>
      </c>
      <c r="B166" s="633"/>
      <c r="C166" s="633"/>
      <c r="D166" s="633"/>
      <c r="E166" s="633"/>
      <c r="F166" s="633"/>
      <c r="G166" s="633"/>
      <c r="H166" s="633"/>
      <c r="I166" s="633"/>
      <c r="J166" s="633"/>
      <c r="K166" s="633"/>
      <c r="L166" s="646"/>
    </row>
    <row r="167" spans="1:12"/>
    <row r="168" spans="1:12">
      <c r="A168" s="1"/>
      <c r="B168" s="35" t="s">
        <v>167</v>
      </c>
      <c r="C168" s="2"/>
      <c r="D168" s="2"/>
      <c r="E168" s="2"/>
      <c r="F168" s="2"/>
      <c r="G168" s="2"/>
      <c r="H168" s="2"/>
      <c r="I168" s="2"/>
      <c r="J168" s="2"/>
      <c r="K168" s="2"/>
      <c r="L168" s="3"/>
    </row>
    <row r="169" spans="1:12">
      <c r="A169" s="4"/>
      <c r="L169" s="5"/>
    </row>
    <row r="170" spans="1:12">
      <c r="A170" s="181"/>
      <c r="B170" s="36" t="s">
        <v>168</v>
      </c>
      <c r="C170" s="37"/>
      <c r="D170" s="37"/>
      <c r="E170" s="37"/>
      <c r="F170" s="2"/>
      <c r="G170" s="278" t="s">
        <v>175</v>
      </c>
      <c r="H170" s="279"/>
      <c r="I170" s="279"/>
      <c r="J170" s="279"/>
      <c r="K170" s="280"/>
      <c r="L170" s="44"/>
    </row>
    <row r="171" spans="1:12">
      <c r="A171" s="181"/>
      <c r="B171" s="4"/>
      <c r="E171" s="573" t="s">
        <v>165</v>
      </c>
      <c r="F171" s="542"/>
      <c r="G171" s="4"/>
      <c r="J171" s="573" t="s">
        <v>165</v>
      </c>
      <c r="K171" s="542"/>
      <c r="L171" s="277"/>
    </row>
    <row r="172" spans="1:12">
      <c r="A172" s="181"/>
      <c r="B172" s="11"/>
      <c r="C172" s="11"/>
      <c r="D172" s="17"/>
      <c r="E172" s="662"/>
      <c r="F172" s="546"/>
      <c r="G172" s="11"/>
      <c r="H172" s="11"/>
      <c r="I172" s="17"/>
      <c r="J172" s="662"/>
      <c r="K172" s="546"/>
      <c r="L172" s="277"/>
    </row>
    <row r="173" spans="1:12">
      <c r="A173" s="181"/>
      <c r="B173" s="281" t="s">
        <v>169</v>
      </c>
      <c r="C173" s="13" t="s">
        <v>170</v>
      </c>
      <c r="D173" s="13" t="s">
        <v>171</v>
      </c>
      <c r="E173" s="662"/>
      <c r="F173" s="546"/>
      <c r="G173" s="281" t="s">
        <v>169</v>
      </c>
      <c r="H173" s="13" t="s">
        <v>170</v>
      </c>
      <c r="I173" s="13" t="s">
        <v>171</v>
      </c>
      <c r="J173" s="662"/>
      <c r="K173" s="546"/>
      <c r="L173" s="277"/>
    </row>
    <row r="174" spans="1:12">
      <c r="A174" s="181"/>
      <c r="B174" s="4"/>
      <c r="E174" s="662"/>
      <c r="F174" s="546"/>
      <c r="G174" s="284"/>
      <c r="H174" s="283"/>
      <c r="I174" s="276"/>
      <c r="J174" s="662"/>
      <c r="K174" s="546"/>
      <c r="L174" s="277"/>
    </row>
    <row r="175" spans="1:12">
      <c r="A175" s="181"/>
      <c r="B175" s="274"/>
      <c r="C175" s="275"/>
      <c r="D175" s="275"/>
      <c r="E175" s="662"/>
      <c r="F175" s="546"/>
      <c r="G175" s="281"/>
      <c r="H175" s="13"/>
      <c r="I175" s="277"/>
      <c r="J175" s="662"/>
      <c r="K175" s="546"/>
      <c r="L175" s="277"/>
    </row>
    <row r="176" spans="1:12">
      <c r="A176" s="181"/>
      <c r="B176" s="4"/>
      <c r="C176" t="s">
        <v>172</v>
      </c>
      <c r="E176" s="662"/>
      <c r="F176" s="546"/>
      <c r="G176" s="285"/>
      <c r="H176" s="282"/>
      <c r="I176" s="286"/>
      <c r="J176" s="662"/>
      <c r="K176" s="546"/>
      <c r="L176" s="277"/>
    </row>
    <row r="177" spans="1:12" ht="15" customHeight="1">
      <c r="A177" s="181"/>
      <c r="B177" s="4"/>
      <c r="E177" s="662"/>
      <c r="F177" s="546"/>
      <c r="G177" s="291" t="s">
        <v>174</v>
      </c>
      <c r="H177" s="292"/>
      <c r="I177" s="293"/>
      <c r="J177" s="662"/>
      <c r="K177" s="546"/>
      <c r="L177" s="277"/>
    </row>
    <row r="178" spans="1:12">
      <c r="A178" s="181"/>
      <c r="B178" s="274"/>
      <c r="C178" s="275"/>
      <c r="D178" s="275"/>
      <c r="E178" s="662"/>
      <c r="F178" s="546"/>
      <c r="G178" s="38"/>
      <c r="H178" s="39"/>
      <c r="I178" s="40"/>
      <c r="J178" s="662"/>
      <c r="K178" s="546"/>
      <c r="L178" s="277"/>
    </row>
    <row r="179" spans="1:12">
      <c r="A179" s="34"/>
      <c r="B179" s="6"/>
      <c r="C179" s="7" t="s">
        <v>173</v>
      </c>
      <c r="D179" s="7"/>
      <c r="E179" s="574"/>
      <c r="F179" s="526"/>
      <c r="G179" s="41"/>
      <c r="H179" s="42"/>
      <c r="I179" s="43"/>
      <c r="J179" s="574"/>
      <c r="K179" s="526"/>
      <c r="L179" s="286"/>
    </row>
    <row r="180" spans="1:12"/>
    <row r="181" spans="1:12">
      <c r="A181" s="1"/>
      <c r="B181" s="35" t="s">
        <v>167</v>
      </c>
      <c r="C181" s="2"/>
      <c r="D181" s="2"/>
      <c r="E181" s="2"/>
      <c r="F181" s="2"/>
      <c r="G181" s="2"/>
      <c r="H181" s="2"/>
      <c r="I181" s="2"/>
      <c r="J181" s="2"/>
      <c r="K181" s="2"/>
      <c r="L181" s="3"/>
    </row>
    <row r="182" spans="1:12">
      <c r="A182" s="4"/>
      <c r="L182" s="5"/>
    </row>
    <row r="183" spans="1:12">
      <c r="A183" s="181"/>
      <c r="B183" s="36" t="s">
        <v>168</v>
      </c>
      <c r="C183" s="37"/>
      <c r="D183" s="37"/>
      <c r="E183" s="37"/>
      <c r="F183" s="2"/>
      <c r="G183" s="278" t="s">
        <v>175</v>
      </c>
      <c r="H183" s="279"/>
      <c r="I183" s="279"/>
      <c r="J183" s="279"/>
      <c r="K183" s="280"/>
      <c r="L183" s="44"/>
    </row>
    <row r="184" spans="1:12">
      <c r="A184" s="181"/>
      <c r="B184" s="4"/>
      <c r="E184" s="573" t="s">
        <v>165</v>
      </c>
      <c r="F184" s="542"/>
      <c r="G184" s="4"/>
      <c r="J184" s="573" t="s">
        <v>165</v>
      </c>
      <c r="K184" s="542"/>
      <c r="L184" s="277"/>
    </row>
    <row r="185" spans="1:12">
      <c r="A185" s="181"/>
      <c r="B185" s="11"/>
      <c r="C185" s="11"/>
      <c r="D185" s="17"/>
      <c r="E185" s="662"/>
      <c r="F185" s="546"/>
      <c r="G185" s="11"/>
      <c r="H185" s="11"/>
      <c r="I185" s="17"/>
      <c r="J185" s="662"/>
      <c r="K185" s="546"/>
      <c r="L185" s="277"/>
    </row>
    <row r="186" spans="1:12">
      <c r="A186" s="181"/>
      <c r="B186" s="281" t="s">
        <v>169</v>
      </c>
      <c r="C186" s="13" t="s">
        <v>170</v>
      </c>
      <c r="D186" s="13" t="s">
        <v>171</v>
      </c>
      <c r="E186" s="662"/>
      <c r="F186" s="546"/>
      <c r="G186" s="281" t="s">
        <v>169</v>
      </c>
      <c r="H186" s="13" t="s">
        <v>170</v>
      </c>
      <c r="I186" s="13" t="s">
        <v>171</v>
      </c>
      <c r="J186" s="662"/>
      <c r="K186" s="546"/>
      <c r="L186" s="277"/>
    </row>
    <row r="187" spans="1:12">
      <c r="A187" s="181"/>
      <c r="B187" s="4"/>
      <c r="E187" s="662"/>
      <c r="F187" s="546"/>
      <c r="G187" s="573"/>
      <c r="H187" s="541"/>
      <c r="I187" s="542"/>
      <c r="J187" s="662"/>
      <c r="K187" s="546"/>
      <c r="L187" s="277"/>
    </row>
    <row r="188" spans="1:12">
      <c r="A188" s="181"/>
      <c r="B188" s="274"/>
      <c r="C188" s="275"/>
      <c r="D188" s="275"/>
      <c r="E188" s="662"/>
      <c r="F188" s="546"/>
      <c r="G188" s="662"/>
      <c r="H188" s="427"/>
      <c r="I188" s="546"/>
      <c r="J188" s="662"/>
      <c r="K188" s="546"/>
      <c r="L188" s="277"/>
    </row>
    <row r="189" spans="1:12">
      <c r="A189" s="181"/>
      <c r="B189" s="4"/>
      <c r="C189" t="s">
        <v>172</v>
      </c>
      <c r="E189" s="662"/>
      <c r="F189" s="546"/>
      <c r="G189" s="574"/>
      <c r="H189" s="525"/>
      <c r="I189" s="526"/>
      <c r="J189" s="662"/>
      <c r="K189" s="546"/>
      <c r="L189" s="277"/>
    </row>
    <row r="190" spans="1:12" ht="63.75" customHeight="1">
      <c r="A190" s="181"/>
      <c r="B190" s="4"/>
      <c r="E190" s="662"/>
      <c r="F190" s="546"/>
      <c r="G190" s="663" t="s">
        <v>174</v>
      </c>
      <c r="H190" s="664"/>
      <c r="I190" s="665"/>
      <c r="J190" s="662"/>
      <c r="K190" s="546"/>
      <c r="L190" s="277"/>
    </row>
    <row r="191" spans="1:12">
      <c r="A191" s="181"/>
      <c r="B191" s="274"/>
      <c r="C191" s="275"/>
      <c r="D191" s="275"/>
      <c r="E191" s="662"/>
      <c r="F191" s="546"/>
      <c r="G191" s="38"/>
      <c r="H191" s="39"/>
      <c r="I191" s="40"/>
      <c r="J191" s="662"/>
      <c r="K191" s="546"/>
      <c r="L191" s="277"/>
    </row>
    <row r="192" spans="1:12">
      <c r="A192" s="34"/>
      <c r="B192" s="6"/>
      <c r="C192" s="7" t="s">
        <v>173</v>
      </c>
      <c r="D192" s="7"/>
      <c r="E192" s="574"/>
      <c r="F192" s="526"/>
      <c r="G192" s="41"/>
      <c r="H192" s="42"/>
      <c r="I192" s="43"/>
      <c r="J192" s="574"/>
      <c r="K192" s="526"/>
      <c r="L192" s="286"/>
    </row>
    <row r="193" spans="1:12"/>
    <row r="194" spans="1:12">
      <c r="A194" s="1"/>
      <c r="B194" s="35" t="s">
        <v>167</v>
      </c>
      <c r="C194" s="2"/>
      <c r="D194" s="2"/>
      <c r="E194" s="2"/>
      <c r="F194" s="2"/>
      <c r="G194" s="2"/>
      <c r="H194" s="2"/>
      <c r="I194" s="2"/>
      <c r="J194" s="2"/>
      <c r="K194" s="2"/>
      <c r="L194" s="3"/>
    </row>
    <row r="195" spans="1:12">
      <c r="A195" s="4"/>
      <c r="L195" s="5"/>
    </row>
    <row r="196" spans="1:12">
      <c r="A196" s="181"/>
      <c r="B196" s="36" t="s">
        <v>168</v>
      </c>
      <c r="C196" s="37"/>
      <c r="D196" s="37"/>
      <c r="E196" s="37"/>
      <c r="F196" s="2"/>
      <c r="G196" s="278" t="s">
        <v>175</v>
      </c>
      <c r="H196" s="279"/>
      <c r="I196" s="279"/>
      <c r="J196" s="279"/>
      <c r="K196" s="280"/>
      <c r="L196" s="44"/>
    </row>
    <row r="197" spans="1:12">
      <c r="A197" s="181"/>
      <c r="B197" s="4"/>
      <c r="E197" s="573" t="s">
        <v>165</v>
      </c>
      <c r="F197" s="542"/>
      <c r="G197" s="4"/>
      <c r="J197" s="573" t="s">
        <v>165</v>
      </c>
      <c r="K197" s="542"/>
      <c r="L197" s="277"/>
    </row>
    <row r="198" spans="1:12">
      <c r="A198" s="181"/>
      <c r="B198" s="11"/>
      <c r="C198" s="11"/>
      <c r="D198" s="17"/>
      <c r="E198" s="662"/>
      <c r="F198" s="546"/>
      <c r="G198" s="11"/>
      <c r="H198" s="11"/>
      <c r="I198" s="17"/>
      <c r="J198" s="662"/>
      <c r="K198" s="546"/>
      <c r="L198" s="277"/>
    </row>
    <row r="199" spans="1:12">
      <c r="A199" s="181"/>
      <c r="B199" s="281" t="s">
        <v>169</v>
      </c>
      <c r="C199" s="13" t="s">
        <v>170</v>
      </c>
      <c r="D199" s="13" t="s">
        <v>171</v>
      </c>
      <c r="E199" s="662"/>
      <c r="F199" s="546"/>
      <c r="G199" s="281" t="s">
        <v>169</v>
      </c>
      <c r="H199" s="13" t="s">
        <v>170</v>
      </c>
      <c r="I199" s="13" t="s">
        <v>171</v>
      </c>
      <c r="J199" s="662"/>
      <c r="K199" s="546"/>
      <c r="L199" s="277"/>
    </row>
    <row r="200" spans="1:12">
      <c r="A200" s="181"/>
      <c r="B200" s="4"/>
      <c r="E200" s="662"/>
      <c r="F200" s="546"/>
      <c r="G200" s="573"/>
      <c r="H200" s="541"/>
      <c r="I200" s="542"/>
      <c r="J200" s="662"/>
      <c r="K200" s="546"/>
      <c r="L200" s="277"/>
    </row>
    <row r="201" spans="1:12">
      <c r="A201" s="181"/>
      <c r="B201" s="274"/>
      <c r="C201" s="275"/>
      <c r="D201" s="275"/>
      <c r="E201" s="662"/>
      <c r="F201" s="546"/>
      <c r="G201" s="662"/>
      <c r="H201" s="427"/>
      <c r="I201" s="546"/>
      <c r="J201" s="662"/>
      <c r="K201" s="546"/>
      <c r="L201" s="277"/>
    </row>
    <row r="202" spans="1:12">
      <c r="A202" s="181"/>
      <c r="B202" s="4"/>
      <c r="C202" t="s">
        <v>172</v>
      </c>
      <c r="E202" s="662"/>
      <c r="F202" s="546"/>
      <c r="G202" s="574"/>
      <c r="H202" s="525"/>
      <c r="I202" s="526"/>
      <c r="J202" s="662"/>
      <c r="K202" s="546"/>
      <c r="L202" s="277"/>
    </row>
    <row r="203" spans="1:12" ht="55.5" customHeight="1">
      <c r="A203" s="181"/>
      <c r="B203" s="4"/>
      <c r="E203" s="662"/>
      <c r="F203" s="546"/>
      <c r="G203" s="663" t="s">
        <v>174</v>
      </c>
      <c r="H203" s="664"/>
      <c r="I203" s="665"/>
      <c r="J203" s="662"/>
      <c r="K203" s="546"/>
      <c r="L203" s="277"/>
    </row>
    <row r="204" spans="1:12">
      <c r="A204" s="181"/>
      <c r="B204" s="274"/>
      <c r="C204" s="275"/>
      <c r="D204" s="275"/>
      <c r="E204" s="662"/>
      <c r="F204" s="546"/>
      <c r="G204" s="38"/>
      <c r="H204" s="39"/>
      <c r="I204" s="40"/>
      <c r="J204" s="662"/>
      <c r="K204" s="546"/>
      <c r="L204" s="277"/>
    </row>
    <row r="205" spans="1:12">
      <c r="A205" s="34"/>
      <c r="B205" s="6"/>
      <c r="C205" s="7" t="s">
        <v>173</v>
      </c>
      <c r="D205" s="7"/>
      <c r="E205" s="574"/>
      <c r="F205" s="526"/>
      <c r="G205" s="41"/>
      <c r="H205" s="42"/>
      <c r="I205" s="43"/>
      <c r="J205" s="574"/>
      <c r="K205" s="526"/>
      <c r="L205" s="286"/>
    </row>
  </sheetData>
  <protectedRanges>
    <protectedRange sqref="B19:F19 H19:L19" name="I15"/>
  </protectedRanges>
  <mergeCells count="108">
    <mergeCell ref="D155:H155"/>
    <mergeCell ref="D163:H163"/>
    <mergeCell ref="A39:D39"/>
    <mergeCell ref="G39:I39"/>
    <mergeCell ref="K39:L39"/>
    <mergeCell ref="C74:H74"/>
    <mergeCell ref="A17:E17"/>
    <mergeCell ref="B32:G32"/>
    <mergeCell ref="I32:K32"/>
    <mergeCell ref="B30:D30"/>
    <mergeCell ref="E26:G26"/>
    <mergeCell ref="B26:D26"/>
    <mergeCell ref="H26:K26"/>
    <mergeCell ref="A24:E24"/>
    <mergeCell ref="H28:K28"/>
    <mergeCell ref="H29:K29"/>
    <mergeCell ref="B28:D28"/>
    <mergeCell ref="B29:D29"/>
    <mergeCell ref="A142:L142"/>
    <mergeCell ref="A143:L143"/>
    <mergeCell ref="A144:L144"/>
    <mergeCell ref="A145:L145"/>
    <mergeCell ref="A146:L146"/>
    <mergeCell ref="A147:L147"/>
    <mergeCell ref="E184:F192"/>
    <mergeCell ref="E197:F205"/>
    <mergeCell ref="J197:K205"/>
    <mergeCell ref="G200:I202"/>
    <mergeCell ref="G203:I203"/>
    <mergeCell ref="G187:I189"/>
    <mergeCell ref="G190:I190"/>
    <mergeCell ref="E171:F179"/>
    <mergeCell ref="J171:K179"/>
    <mergeCell ref="J184:K192"/>
    <mergeCell ref="A166:L166"/>
    <mergeCell ref="B9:F13"/>
    <mergeCell ref="E20:H20"/>
    <mergeCell ref="B21:D21"/>
    <mergeCell ref="B22:D22"/>
    <mergeCell ref="E22:H22"/>
    <mergeCell ref="A45:B45"/>
    <mergeCell ref="H19:L19"/>
    <mergeCell ref="A33:L33"/>
    <mergeCell ref="A50:L50"/>
    <mergeCell ref="G45:H45"/>
    <mergeCell ref="B27:D27"/>
    <mergeCell ref="A35:E35"/>
    <mergeCell ref="A37:C37"/>
    <mergeCell ref="D37:F37"/>
    <mergeCell ref="A38:C38"/>
    <mergeCell ref="D38:F38"/>
    <mergeCell ref="C90:H90"/>
    <mergeCell ref="A141:L141"/>
    <mergeCell ref="A137:L137"/>
    <mergeCell ref="A138:L138"/>
    <mergeCell ref="A139:L139"/>
    <mergeCell ref="A140:L140"/>
    <mergeCell ref="A123:L123"/>
    <mergeCell ref="A124:L124"/>
    <mergeCell ref="A125:L125"/>
    <mergeCell ref="A126:L126"/>
    <mergeCell ref="A127:L127"/>
    <mergeCell ref="A133:L133"/>
    <mergeCell ref="A134:L134"/>
    <mergeCell ref="A135:L135"/>
    <mergeCell ref="A136:L136"/>
    <mergeCell ref="A132:L132"/>
    <mergeCell ref="A128:L128"/>
    <mergeCell ref="A129:L129"/>
    <mergeCell ref="A130:L130"/>
    <mergeCell ref="A131:L131"/>
    <mergeCell ref="A92:H92"/>
    <mergeCell ref="G58:H58"/>
    <mergeCell ref="A93:K93"/>
    <mergeCell ref="A48:B48"/>
    <mergeCell ref="C48:D48"/>
    <mergeCell ref="E48:F48"/>
    <mergeCell ref="A49:B49"/>
    <mergeCell ref="C49:D49"/>
    <mergeCell ref="G48:H48"/>
    <mergeCell ref="E49:F49"/>
    <mergeCell ref="G49:H49"/>
    <mergeCell ref="A51:L51"/>
    <mergeCell ref="A52:L52"/>
    <mergeCell ref="A53:L53"/>
    <mergeCell ref="A54:L54"/>
    <mergeCell ref="J57:K59"/>
    <mergeCell ref="K1:L1"/>
    <mergeCell ref="G37:L37"/>
    <mergeCell ref="G38:L38"/>
    <mergeCell ref="I45:L45"/>
    <mergeCell ref="I46:L46"/>
    <mergeCell ref="I48:L48"/>
    <mergeCell ref="I49:L49"/>
    <mergeCell ref="A44:E44"/>
    <mergeCell ref="A47:E47"/>
    <mergeCell ref="A42:E42"/>
    <mergeCell ref="G40:I40"/>
    <mergeCell ref="A46:B46"/>
    <mergeCell ref="C46:D46"/>
    <mergeCell ref="E46:F46"/>
    <mergeCell ref="G46:H46"/>
    <mergeCell ref="C45:D45"/>
    <mergeCell ref="E45:F45"/>
    <mergeCell ref="A34:L34"/>
    <mergeCell ref="E27:G27"/>
    <mergeCell ref="H27:K27"/>
    <mergeCell ref="B19:G19"/>
  </mergeCells>
  <printOptions horizontalCentered="1" verticalCentered="1"/>
  <pageMargins left="0.59055118110236227" right="0.39370078740157483" top="0.39370078740157483" bottom="0.39370078740157483" header="0" footer="0"/>
  <pageSetup paperSize="9" scale="72" fitToHeight="0" orientation="portrait" r:id="rId1"/>
  <headerFooter>
    <oddFooter>&amp;CPágina &amp;P</oddFooter>
  </headerFooter>
  <rowBreaks count="3" manualBreakCount="3">
    <brk id="55" max="16383" man="1"/>
    <brk id="111" max="16383" man="1"/>
    <brk id="149" max="16383" man="1"/>
  </rowBreaks>
  <ignoredErrors>
    <ignoredError sqref="A48:I48" unlockedFormula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C75F7C-1992-423B-805F-5D35A564BB99}">
  <sheetPr>
    <tabColor rgb="FF00B0F0"/>
  </sheetPr>
  <dimension ref="A1:L174"/>
  <sheetViews>
    <sheetView showGridLines="0" view="pageBreakPreview" topLeftCell="A15" zoomScale="85" zoomScaleNormal="85" zoomScaleSheetLayoutView="85" workbookViewId="0">
      <selection activeCell="B31" sqref="B31:F31"/>
    </sheetView>
  </sheetViews>
  <sheetFormatPr defaultColWidth="9.140625" defaultRowHeight="15"/>
  <cols>
    <col min="1" max="1" width="4" customWidth="1"/>
    <col min="2" max="2" width="11.140625" customWidth="1"/>
    <col min="3" max="5" width="12.5703125" customWidth="1"/>
    <col min="6" max="6" width="14.28515625" customWidth="1"/>
    <col min="7" max="7" width="12.5703125" customWidth="1"/>
    <col min="8" max="8" width="11.140625" customWidth="1"/>
    <col min="9" max="9" width="13.85546875" customWidth="1"/>
    <col min="10" max="10" width="9.5703125" customWidth="1"/>
    <col min="11" max="11" width="4.140625" customWidth="1"/>
    <col min="12" max="12" width="3.42578125" customWidth="1"/>
  </cols>
  <sheetData>
    <row r="1" spans="1:12" ht="14.1" customHeight="1" thickBot="1">
      <c r="J1" t="str">
        <f>_xlfn.CONCAT("OT ",DATOS!D1)</f>
        <v xml:space="preserve">OT </v>
      </c>
    </row>
    <row r="2" spans="1:12" ht="27.75" customHeight="1">
      <c r="E2" s="684" t="s">
        <v>209</v>
      </c>
      <c r="F2" s="685"/>
      <c r="G2" s="685"/>
      <c r="H2" s="685"/>
      <c r="I2" s="685"/>
      <c r="J2" s="685"/>
      <c r="K2" s="685"/>
      <c r="L2" s="686"/>
    </row>
    <row r="3" spans="1:12" ht="28.5" customHeight="1">
      <c r="E3" s="687" t="s">
        <v>21</v>
      </c>
      <c r="F3" s="688"/>
      <c r="G3" s="688"/>
      <c r="H3" s="688"/>
      <c r="I3" s="688"/>
      <c r="J3" s="688"/>
      <c r="K3" s="688"/>
      <c r="L3" s="689"/>
    </row>
    <row r="4" spans="1:12" ht="26.25" customHeight="1">
      <c r="E4" s="690" t="s">
        <v>921</v>
      </c>
      <c r="F4" s="691"/>
      <c r="G4" s="691"/>
      <c r="H4" s="691"/>
      <c r="I4" s="691"/>
      <c r="J4" s="691"/>
      <c r="K4" s="691"/>
      <c r="L4" s="692"/>
    </row>
    <row r="5" spans="1:12" ht="23.25" customHeight="1" thickBot="1">
      <c r="E5" s="693" t="s">
        <v>210</v>
      </c>
      <c r="F5" s="694"/>
      <c r="G5" s="694"/>
      <c r="H5" s="694"/>
      <c r="I5" s="694"/>
      <c r="J5" s="694"/>
      <c r="K5" s="694"/>
      <c r="L5" s="695"/>
    </row>
    <row r="7" spans="1:12" ht="11.25" customHeight="1">
      <c r="A7" s="1"/>
      <c r="B7" s="2"/>
      <c r="C7" s="2"/>
      <c r="D7" s="2"/>
      <c r="E7" s="2"/>
      <c r="F7" s="2"/>
      <c r="G7" s="2"/>
      <c r="H7" s="2"/>
      <c r="I7" s="2"/>
      <c r="J7" s="2"/>
      <c r="K7" s="2"/>
      <c r="L7" s="3"/>
    </row>
    <row r="8" spans="1:12" ht="18.600000000000001" customHeight="1">
      <c r="A8" s="4"/>
      <c r="B8" t="s">
        <v>1</v>
      </c>
      <c r="L8" s="5"/>
    </row>
    <row r="9" spans="1:12" ht="18.600000000000001" customHeight="1">
      <c r="A9" s="4"/>
      <c r="B9" s="614" t="str">
        <f>DATOS!D5</f>
        <v>-</v>
      </c>
      <c r="C9" s="615"/>
      <c r="D9" s="615"/>
      <c r="E9" s="615"/>
      <c r="F9" s="616"/>
      <c r="G9" s="51"/>
      <c r="H9" s="614" t="str">
        <f>DATOS!D6</f>
        <v>-</v>
      </c>
      <c r="I9" s="615"/>
      <c r="J9" s="615"/>
      <c r="K9" s="616"/>
      <c r="L9" s="5"/>
    </row>
    <row r="10" spans="1:12" ht="18.600000000000001" customHeight="1">
      <c r="A10" s="4"/>
      <c r="C10" s="419" t="s">
        <v>2</v>
      </c>
      <c r="D10" s="419"/>
      <c r="E10" s="419"/>
      <c r="F10" s="15"/>
      <c r="G10" s="15"/>
      <c r="H10" s="426" t="s">
        <v>3</v>
      </c>
      <c r="I10" s="426"/>
      <c r="J10" s="13"/>
      <c r="K10" s="13"/>
      <c r="L10" s="5"/>
    </row>
    <row r="11" spans="1:12" ht="12.75" customHeight="1">
      <c r="A11" s="4"/>
      <c r="L11" s="5"/>
    </row>
    <row r="12" spans="1:12" ht="18.600000000000001" customHeight="1">
      <c r="A12" s="4"/>
      <c r="B12" t="s">
        <v>8</v>
      </c>
      <c r="C12" t="s">
        <v>4</v>
      </c>
      <c r="D12" t="s">
        <v>5</v>
      </c>
      <c r="E12" t="s">
        <v>6</v>
      </c>
      <c r="G12" s="18" t="s">
        <v>495</v>
      </c>
      <c r="H12" s="656" t="str">
        <f>DATOS!D7</f>
        <v>-</v>
      </c>
      <c r="I12" s="616"/>
      <c r="L12" s="5"/>
    </row>
    <row r="13" spans="1:12" ht="18.600000000000001" customHeight="1">
      <c r="A13" s="4"/>
      <c r="L13" s="5"/>
    </row>
    <row r="14" spans="1:12" ht="21.75" customHeight="1">
      <c r="A14" s="4"/>
      <c r="B14" s="673" t="str">
        <f>DATOS!D8</f>
        <v>-</v>
      </c>
      <c r="C14" s="674"/>
      <c r="D14" s="674"/>
      <c r="E14" s="674"/>
      <c r="F14" s="674"/>
      <c r="G14" s="674"/>
      <c r="H14" s="674"/>
      <c r="I14" s="674"/>
      <c r="J14" s="674"/>
      <c r="K14" s="675"/>
      <c r="L14" s="5"/>
    </row>
    <row r="15" spans="1:12" ht="18.600000000000001" customHeight="1">
      <c r="A15" s="4"/>
      <c r="E15" s="427" t="s">
        <v>9</v>
      </c>
      <c r="F15" s="427"/>
      <c r="G15" s="427"/>
      <c r="L15" s="5"/>
    </row>
    <row r="16" spans="1:12" ht="12.75" customHeight="1">
      <c r="A16" s="4"/>
      <c r="E16" s="13"/>
      <c r="F16" s="13"/>
      <c r="G16" s="13"/>
      <c r="L16" s="5"/>
    </row>
    <row r="17" spans="1:12" ht="18.600000000000001" customHeight="1">
      <c r="A17" s="4"/>
      <c r="B17" s="10" t="s">
        <v>10</v>
      </c>
      <c r="C17" s="10"/>
      <c r="D17" s="10" t="s">
        <v>11</v>
      </c>
      <c r="E17" s="10" t="s">
        <v>12</v>
      </c>
      <c r="F17" s="54" t="s">
        <v>13</v>
      </c>
      <c r="G17" s="10" t="s">
        <v>14</v>
      </c>
      <c r="H17" s="676" t="s">
        <v>15</v>
      </c>
      <c r="I17" s="676"/>
      <c r="J17" s="16"/>
      <c r="K17" s="16"/>
      <c r="L17" s="5"/>
    </row>
    <row r="18" spans="1:12" ht="18.600000000000001" customHeight="1">
      <c r="A18" s="4"/>
      <c r="L18" s="5"/>
    </row>
    <row r="19" spans="1:12" ht="18.600000000000001" customHeight="1">
      <c r="A19" s="4"/>
      <c r="B19" s="677" t="s">
        <v>49</v>
      </c>
      <c r="C19" s="678"/>
      <c r="D19" s="678"/>
      <c r="E19" s="678"/>
      <c r="F19" s="678"/>
      <c r="G19" s="678"/>
      <c r="H19" s="678"/>
      <c r="I19" s="678"/>
      <c r="J19" s="678"/>
      <c r="K19" s="679"/>
      <c r="L19" s="5"/>
    </row>
    <row r="20" spans="1:12" ht="18.600000000000001" customHeight="1">
      <c r="A20" s="4"/>
      <c r="D20" s="427" t="s">
        <v>16</v>
      </c>
      <c r="E20" s="427"/>
      <c r="F20" s="427"/>
      <c r="G20" s="427"/>
      <c r="H20" s="427"/>
      <c r="L20" s="5"/>
    </row>
    <row r="21" spans="1:12" ht="18.600000000000001" customHeight="1">
      <c r="A21" s="4"/>
      <c r="B21" s="525" t="s">
        <v>17</v>
      </c>
      <c r="C21" s="525"/>
      <c r="D21" s="525"/>
      <c r="E21" s="525"/>
      <c r="L21" s="5"/>
    </row>
    <row r="22" spans="1:12" ht="15" customHeight="1">
      <c r="A22" s="4"/>
      <c r="B22" s="671"/>
      <c r="C22" s="659"/>
      <c r="D22" s="659"/>
      <c r="E22" s="659"/>
      <c r="F22" s="659"/>
      <c r="G22" s="672"/>
      <c r="I22" s="671"/>
      <c r="J22" s="659"/>
      <c r="K22" s="672"/>
      <c r="L22" s="5"/>
    </row>
    <row r="23" spans="1:12" ht="18.600000000000001" customHeight="1">
      <c r="A23" s="4"/>
      <c r="D23" s="13" t="s">
        <v>2</v>
      </c>
      <c r="I23" s="13" t="s">
        <v>3</v>
      </c>
      <c r="J23" s="13"/>
      <c r="K23" s="13"/>
      <c r="L23" s="5"/>
    </row>
    <row r="24" spans="1:12" ht="7.5" customHeight="1">
      <c r="A24" s="4"/>
      <c r="L24" s="5"/>
    </row>
    <row r="25" spans="1:12" ht="18.600000000000001" customHeight="1">
      <c r="A25" s="4"/>
      <c r="B25" t="s">
        <v>8</v>
      </c>
      <c r="C25" t="s">
        <v>4</v>
      </c>
      <c r="D25" t="s">
        <v>5</v>
      </c>
      <c r="E25" t="s">
        <v>6</v>
      </c>
      <c r="G25" s="13" t="s">
        <v>7</v>
      </c>
      <c r="H25" s="671"/>
      <c r="I25" s="659"/>
      <c r="J25" s="659"/>
      <c r="K25" s="672"/>
      <c r="L25" s="5"/>
    </row>
    <row r="26" spans="1:12" ht="12" customHeight="1">
      <c r="A26" s="6"/>
      <c r="B26" s="7"/>
      <c r="C26" s="7"/>
      <c r="D26" s="7"/>
      <c r="E26" s="7"/>
      <c r="F26" s="7"/>
      <c r="G26" s="7"/>
      <c r="H26" s="7"/>
      <c r="I26" s="7"/>
      <c r="J26" s="7"/>
      <c r="K26" s="7"/>
      <c r="L26" s="8"/>
    </row>
    <row r="27" spans="1:12" ht="7.5" customHeight="1"/>
    <row r="28" spans="1:12" ht="6.75" customHeight="1"/>
    <row r="29" spans="1:12" ht="13.5" customHeight="1">
      <c r="A29" s="1"/>
      <c r="B29" s="2"/>
      <c r="C29" s="2"/>
      <c r="D29" s="2"/>
      <c r="E29" s="2"/>
      <c r="F29" s="2"/>
      <c r="G29" s="2"/>
      <c r="H29" s="2"/>
      <c r="I29" s="2"/>
      <c r="J29" s="2"/>
      <c r="K29" s="2"/>
      <c r="L29" s="3"/>
    </row>
    <row r="30" spans="1:12" ht="14.1" customHeight="1">
      <c r="A30" s="4"/>
      <c r="B30" t="s">
        <v>1</v>
      </c>
      <c r="L30" s="5"/>
    </row>
    <row r="31" spans="1:12" ht="18" customHeight="1">
      <c r="A31" s="4"/>
      <c r="B31" s="680"/>
      <c r="C31" s="681"/>
      <c r="D31" s="681"/>
      <c r="E31" s="681"/>
      <c r="F31" s="682"/>
      <c r="H31" s="680"/>
      <c r="I31" s="681"/>
      <c r="J31" s="681"/>
      <c r="K31" s="682"/>
      <c r="L31" s="5"/>
    </row>
    <row r="32" spans="1:12" ht="14.1" customHeight="1">
      <c r="A32" s="4"/>
      <c r="C32" s="419" t="s">
        <v>2</v>
      </c>
      <c r="D32" s="419"/>
      <c r="E32" s="419"/>
      <c r="F32" s="15"/>
      <c r="G32" s="15"/>
      <c r="H32" s="426" t="s">
        <v>3</v>
      </c>
      <c r="I32" s="426"/>
      <c r="J32" s="13"/>
      <c r="K32" s="13"/>
      <c r="L32" s="5"/>
    </row>
    <row r="33" spans="1:12" ht="14.1" customHeight="1">
      <c r="A33" s="4"/>
      <c r="L33" s="5"/>
    </row>
    <row r="34" spans="1:12" ht="18" customHeight="1">
      <c r="A34" s="4"/>
      <c r="B34" t="s">
        <v>8</v>
      </c>
      <c r="C34" t="s">
        <v>4</v>
      </c>
      <c r="D34" t="s">
        <v>5</v>
      </c>
      <c r="E34" t="s">
        <v>6</v>
      </c>
      <c r="G34" t="s">
        <v>7</v>
      </c>
      <c r="H34" s="680" t="s">
        <v>49</v>
      </c>
      <c r="I34" s="683"/>
      <c r="L34" s="5"/>
    </row>
    <row r="35" spans="1:12" ht="14.1" customHeight="1">
      <c r="A35" s="4"/>
      <c r="L35" s="5"/>
    </row>
    <row r="36" spans="1:12" ht="19.5" customHeight="1">
      <c r="A36" s="4"/>
      <c r="B36" s="673" t="str">
        <f>B14</f>
        <v>-</v>
      </c>
      <c r="C36" s="674"/>
      <c r="D36" s="674"/>
      <c r="E36" s="674"/>
      <c r="F36" s="674"/>
      <c r="G36" s="674"/>
      <c r="H36" s="674"/>
      <c r="I36" s="674"/>
      <c r="J36" s="674"/>
      <c r="K36" s="675"/>
      <c r="L36" s="5"/>
    </row>
    <row r="37" spans="1:12" ht="14.1" customHeight="1">
      <c r="A37" s="4"/>
      <c r="E37" s="427" t="s">
        <v>9</v>
      </c>
      <c r="F37" s="427"/>
      <c r="G37" s="427"/>
      <c r="L37" s="5"/>
    </row>
    <row r="38" spans="1:12" ht="14.1" customHeight="1">
      <c r="A38" s="4"/>
      <c r="E38" s="13"/>
      <c r="F38" s="13"/>
      <c r="G38" s="13"/>
      <c r="L38" s="5"/>
    </row>
    <row r="39" spans="1:12" ht="14.1" customHeight="1">
      <c r="A39" s="4"/>
      <c r="B39" s="10" t="s">
        <v>10</v>
      </c>
      <c r="C39" s="10"/>
      <c r="D39" s="10" t="s">
        <v>11</v>
      </c>
      <c r="E39" s="10" t="s">
        <v>12</v>
      </c>
      <c r="F39" s="54" t="s">
        <v>13</v>
      </c>
      <c r="G39" s="10" t="s">
        <v>14</v>
      </c>
      <c r="H39" s="676" t="s">
        <v>15</v>
      </c>
      <c r="I39" s="676"/>
      <c r="J39" s="16"/>
      <c r="K39" s="16"/>
      <c r="L39" s="5"/>
    </row>
    <row r="40" spans="1:12" ht="14.1" customHeight="1">
      <c r="A40" s="4"/>
      <c r="L40" s="5"/>
    </row>
    <row r="41" spans="1:12" ht="15.75" customHeight="1">
      <c r="A41" s="4"/>
      <c r="B41" s="677" t="s">
        <v>49</v>
      </c>
      <c r="C41" s="678"/>
      <c r="D41" s="678"/>
      <c r="E41" s="678"/>
      <c r="F41" s="678"/>
      <c r="G41" s="678"/>
      <c r="H41" s="678"/>
      <c r="I41" s="678"/>
      <c r="J41" s="678"/>
      <c r="K41" s="679"/>
      <c r="L41" s="5"/>
    </row>
    <row r="42" spans="1:12" ht="14.1" customHeight="1">
      <c r="A42" s="4"/>
      <c r="D42" s="427" t="s">
        <v>16</v>
      </c>
      <c r="E42" s="427"/>
      <c r="F42" s="427"/>
      <c r="G42" s="427"/>
      <c r="H42" s="427"/>
      <c r="L42" s="5"/>
    </row>
    <row r="43" spans="1:12" ht="14.1" customHeight="1">
      <c r="A43" s="4"/>
      <c r="B43" s="525" t="s">
        <v>17</v>
      </c>
      <c r="C43" s="525"/>
      <c r="D43" s="525"/>
      <c r="E43" s="525"/>
      <c r="L43" s="5"/>
    </row>
    <row r="44" spans="1:12" ht="14.1" customHeight="1">
      <c r="A44" s="4"/>
      <c r="B44" s="671"/>
      <c r="C44" s="659"/>
      <c r="D44" s="659"/>
      <c r="E44" s="659"/>
      <c r="F44" s="659"/>
      <c r="G44" s="672"/>
      <c r="I44" s="671"/>
      <c r="J44" s="659"/>
      <c r="K44" s="672"/>
      <c r="L44" s="5"/>
    </row>
    <row r="45" spans="1:12" ht="14.1" customHeight="1">
      <c r="A45" s="4"/>
      <c r="D45" s="13" t="s">
        <v>2</v>
      </c>
      <c r="I45" s="13" t="s">
        <v>3</v>
      </c>
      <c r="J45" s="13"/>
      <c r="K45" s="13"/>
      <c r="L45" s="5"/>
    </row>
    <row r="46" spans="1:12" ht="9.75" customHeight="1">
      <c r="A46" s="4"/>
      <c r="L46" s="5"/>
    </row>
    <row r="47" spans="1:12" ht="14.1" customHeight="1">
      <c r="A47" s="4"/>
      <c r="B47" t="s">
        <v>8</v>
      </c>
      <c r="C47" t="s">
        <v>4</v>
      </c>
      <c r="D47" t="s">
        <v>5</v>
      </c>
      <c r="E47" t="s">
        <v>6</v>
      </c>
      <c r="G47" s="13" t="s">
        <v>7</v>
      </c>
      <c r="H47" s="671"/>
      <c r="I47" s="659"/>
      <c r="J47" s="659"/>
      <c r="K47" s="672"/>
      <c r="L47" s="5"/>
    </row>
    <row r="48" spans="1:12" ht="14.1" customHeight="1">
      <c r="A48" s="6"/>
      <c r="B48" s="7"/>
      <c r="C48" s="7"/>
      <c r="D48" s="7"/>
      <c r="E48" s="7"/>
      <c r="F48" s="7"/>
      <c r="G48" s="7"/>
      <c r="H48" s="7"/>
      <c r="I48" s="7"/>
      <c r="J48" s="7"/>
      <c r="K48" s="7"/>
      <c r="L48" s="8"/>
    </row>
    <row r="49" spans="1:12" ht="14.1" customHeight="1"/>
    <row r="50" spans="1:12" ht="13.5" customHeight="1">
      <c r="A50" s="1"/>
      <c r="B50" s="2"/>
      <c r="C50" s="2"/>
      <c r="D50" s="2"/>
      <c r="E50" s="2"/>
      <c r="F50" s="2"/>
      <c r="G50" s="2"/>
      <c r="H50" s="2"/>
      <c r="I50" s="2"/>
      <c r="J50" s="2"/>
      <c r="K50" s="2"/>
      <c r="L50" s="3"/>
    </row>
    <row r="51" spans="1:12" ht="14.1" customHeight="1">
      <c r="A51" s="4"/>
      <c r="B51" t="s">
        <v>1</v>
      </c>
      <c r="L51" s="5"/>
    </row>
    <row r="52" spans="1:12" ht="18" customHeight="1">
      <c r="A52" s="4"/>
      <c r="B52" s="680"/>
      <c r="C52" s="681"/>
      <c r="D52" s="681"/>
      <c r="E52" s="681"/>
      <c r="F52" s="682"/>
      <c r="H52" s="680"/>
      <c r="I52" s="681"/>
      <c r="J52" s="681"/>
      <c r="K52" s="682"/>
      <c r="L52" s="5"/>
    </row>
    <row r="53" spans="1:12" ht="14.1" customHeight="1">
      <c r="A53" s="4"/>
      <c r="C53" s="419" t="s">
        <v>2</v>
      </c>
      <c r="D53" s="419"/>
      <c r="E53" s="419"/>
      <c r="F53" s="15"/>
      <c r="G53" s="15"/>
      <c r="H53" s="426" t="s">
        <v>3</v>
      </c>
      <c r="I53" s="426"/>
      <c r="J53" s="13"/>
      <c r="K53" s="13"/>
      <c r="L53" s="5"/>
    </row>
    <row r="54" spans="1:12" ht="14.1" customHeight="1">
      <c r="A54" s="4"/>
      <c r="L54" s="5"/>
    </row>
    <row r="55" spans="1:12" ht="18" customHeight="1">
      <c r="A55" s="4"/>
      <c r="B55" t="s">
        <v>8</v>
      </c>
      <c r="C55" t="s">
        <v>4</v>
      </c>
      <c r="D55" t="s">
        <v>5</v>
      </c>
      <c r="E55" t="s">
        <v>6</v>
      </c>
      <c r="G55" t="s">
        <v>7</v>
      </c>
      <c r="H55" s="680"/>
      <c r="I55" s="683"/>
      <c r="L55" s="5"/>
    </row>
    <row r="56" spans="1:12" ht="14.1" customHeight="1">
      <c r="A56" s="4"/>
      <c r="L56" s="5"/>
    </row>
    <row r="57" spans="1:12" ht="21" customHeight="1">
      <c r="A57" s="4"/>
      <c r="B57" s="673" t="str">
        <f>B36</f>
        <v>-</v>
      </c>
      <c r="C57" s="674"/>
      <c r="D57" s="674"/>
      <c r="E57" s="674"/>
      <c r="F57" s="674"/>
      <c r="G57" s="674"/>
      <c r="H57" s="674"/>
      <c r="I57" s="674"/>
      <c r="J57" s="674"/>
      <c r="K57" s="675"/>
      <c r="L57" s="5"/>
    </row>
    <row r="58" spans="1:12" ht="14.1" customHeight="1">
      <c r="A58" s="4"/>
      <c r="E58" s="427" t="s">
        <v>9</v>
      </c>
      <c r="F58" s="427"/>
      <c r="G58" s="427"/>
      <c r="L58" s="5"/>
    </row>
    <row r="59" spans="1:12" ht="14.1" customHeight="1">
      <c r="A59" s="4"/>
      <c r="E59" s="13"/>
      <c r="F59" s="13"/>
      <c r="G59" s="13"/>
      <c r="L59" s="5"/>
    </row>
    <row r="60" spans="1:12" ht="14.1" customHeight="1">
      <c r="A60" s="4"/>
      <c r="B60" s="10" t="s">
        <v>10</v>
      </c>
      <c r="C60" s="10"/>
      <c r="D60" s="10" t="s">
        <v>11</v>
      </c>
      <c r="E60" s="10" t="s">
        <v>12</v>
      </c>
      <c r="F60" s="54" t="s">
        <v>13</v>
      </c>
      <c r="G60" s="10" t="s">
        <v>14</v>
      </c>
      <c r="H60" s="676" t="s">
        <v>15</v>
      </c>
      <c r="I60" s="676"/>
      <c r="J60" s="16"/>
      <c r="K60" s="16"/>
      <c r="L60" s="5"/>
    </row>
    <row r="61" spans="1:12" ht="14.1" customHeight="1">
      <c r="A61" s="4"/>
      <c r="L61" s="5"/>
    </row>
    <row r="62" spans="1:12" ht="18" customHeight="1">
      <c r="A62" s="4"/>
      <c r="B62" s="677"/>
      <c r="C62" s="678"/>
      <c r="D62" s="678"/>
      <c r="E62" s="678"/>
      <c r="F62" s="678"/>
      <c r="G62" s="678"/>
      <c r="H62" s="678"/>
      <c r="I62" s="678"/>
      <c r="J62" s="678"/>
      <c r="K62" s="679"/>
      <c r="L62" s="5"/>
    </row>
    <row r="63" spans="1:12" ht="14.1" customHeight="1">
      <c r="A63" s="4"/>
      <c r="D63" s="427" t="s">
        <v>16</v>
      </c>
      <c r="E63" s="427"/>
      <c r="F63" s="427"/>
      <c r="G63" s="427"/>
      <c r="H63" s="427"/>
      <c r="L63" s="5"/>
    </row>
    <row r="64" spans="1:12" ht="14.1" customHeight="1">
      <c r="A64" s="4"/>
      <c r="B64" s="525" t="s">
        <v>17</v>
      </c>
      <c r="C64" s="525"/>
      <c r="D64" s="525"/>
      <c r="E64" s="525"/>
      <c r="L64" s="5"/>
    </row>
    <row r="65" spans="1:12" ht="14.1" customHeight="1">
      <c r="A65" s="4"/>
      <c r="B65" s="671"/>
      <c r="C65" s="659"/>
      <c r="D65" s="659"/>
      <c r="E65" s="659"/>
      <c r="F65" s="659"/>
      <c r="G65" s="672"/>
      <c r="I65" s="671"/>
      <c r="J65" s="659"/>
      <c r="K65" s="672"/>
      <c r="L65" s="5"/>
    </row>
    <row r="66" spans="1:12" ht="14.1" customHeight="1">
      <c r="A66" s="4"/>
      <c r="D66" s="13" t="s">
        <v>2</v>
      </c>
      <c r="I66" s="13" t="s">
        <v>3</v>
      </c>
      <c r="J66" s="13"/>
      <c r="K66" s="13"/>
      <c r="L66" s="5"/>
    </row>
    <row r="67" spans="1:12" ht="9.75" customHeight="1">
      <c r="A67" s="4"/>
      <c r="L67" s="5"/>
    </row>
    <row r="68" spans="1:12" ht="14.1" customHeight="1">
      <c r="A68" s="4"/>
      <c r="B68" t="s">
        <v>8</v>
      </c>
      <c r="C68" t="s">
        <v>4</v>
      </c>
      <c r="D68" t="s">
        <v>5</v>
      </c>
      <c r="E68" t="s">
        <v>6</v>
      </c>
      <c r="G68" s="13" t="s">
        <v>7</v>
      </c>
      <c r="H68" s="671"/>
      <c r="I68" s="659"/>
      <c r="J68" s="659"/>
      <c r="K68" s="672"/>
      <c r="L68" s="5"/>
    </row>
    <row r="69" spans="1:12" ht="14.1" customHeight="1">
      <c r="A69" s="6"/>
      <c r="B69" s="7"/>
      <c r="C69" s="7"/>
      <c r="D69" s="7"/>
      <c r="E69" s="7"/>
      <c r="F69" s="7"/>
      <c r="G69" s="7"/>
      <c r="H69" s="7"/>
      <c r="I69" s="7"/>
      <c r="J69" s="7"/>
      <c r="K69" s="7"/>
      <c r="L69" s="8"/>
    </row>
    <row r="71" spans="1:12">
      <c r="A71" s="1"/>
      <c r="B71" s="2"/>
      <c r="C71" s="2"/>
      <c r="D71" s="2"/>
      <c r="E71" s="2"/>
      <c r="F71" s="2"/>
      <c r="G71" s="2"/>
      <c r="H71" s="2"/>
      <c r="I71" s="2"/>
      <c r="J71" s="2"/>
      <c r="K71" s="2"/>
      <c r="L71" s="3"/>
    </row>
    <row r="72" spans="1:12">
      <c r="A72" s="4"/>
      <c r="B72" t="s">
        <v>1</v>
      </c>
      <c r="L72" s="5"/>
    </row>
    <row r="73" spans="1:12">
      <c r="A73" s="4"/>
      <c r="B73" s="680"/>
      <c r="C73" s="681"/>
      <c r="D73" s="681"/>
      <c r="E73" s="681"/>
      <c r="F73" s="682"/>
      <c r="H73" s="680"/>
      <c r="I73" s="681"/>
      <c r="J73" s="681"/>
      <c r="K73" s="682"/>
      <c r="L73" s="5"/>
    </row>
    <row r="74" spans="1:12">
      <c r="A74" s="4"/>
      <c r="C74" s="419" t="s">
        <v>2</v>
      </c>
      <c r="D74" s="419"/>
      <c r="E74" s="419"/>
      <c r="F74" s="15"/>
      <c r="G74" s="15"/>
      <c r="H74" s="426" t="s">
        <v>3</v>
      </c>
      <c r="I74" s="426"/>
      <c r="J74" s="13"/>
      <c r="K74" s="13"/>
      <c r="L74" s="5"/>
    </row>
    <row r="75" spans="1:12">
      <c r="A75" s="4"/>
      <c r="L75" s="5"/>
    </row>
    <row r="76" spans="1:12">
      <c r="A76" s="4"/>
      <c r="B76" t="s">
        <v>8</v>
      </c>
      <c r="C76" t="s">
        <v>4</v>
      </c>
      <c r="D76" t="s">
        <v>5</v>
      </c>
      <c r="E76" t="s">
        <v>6</v>
      </c>
      <c r="G76" t="s">
        <v>7</v>
      </c>
      <c r="H76" s="680"/>
      <c r="I76" s="683"/>
      <c r="L76" s="5"/>
    </row>
    <row r="77" spans="1:12">
      <c r="A77" s="4"/>
      <c r="L77" s="5"/>
    </row>
    <row r="78" spans="1:12" ht="17.25">
      <c r="A78" s="4"/>
      <c r="B78" s="673" t="str">
        <f>B57</f>
        <v>-</v>
      </c>
      <c r="C78" s="674"/>
      <c r="D78" s="674"/>
      <c r="E78" s="674"/>
      <c r="F78" s="674"/>
      <c r="G78" s="674"/>
      <c r="H78" s="674"/>
      <c r="I78" s="674"/>
      <c r="J78" s="674"/>
      <c r="K78" s="675"/>
      <c r="L78" s="5"/>
    </row>
    <row r="79" spans="1:12">
      <c r="A79" s="4"/>
      <c r="E79" s="427" t="s">
        <v>9</v>
      </c>
      <c r="F79" s="427"/>
      <c r="G79" s="427"/>
      <c r="L79" s="5"/>
    </row>
    <row r="80" spans="1:12">
      <c r="A80" s="4"/>
      <c r="E80" s="13"/>
      <c r="F80" s="13"/>
      <c r="G80" s="13"/>
      <c r="L80" s="5"/>
    </row>
    <row r="81" spans="1:12">
      <c r="A81" s="4"/>
      <c r="B81" s="10" t="s">
        <v>10</v>
      </c>
      <c r="C81" s="10"/>
      <c r="D81" s="10" t="s">
        <v>11</v>
      </c>
      <c r="E81" s="10" t="s">
        <v>12</v>
      </c>
      <c r="F81" s="54" t="s">
        <v>13</v>
      </c>
      <c r="G81" s="10" t="s">
        <v>14</v>
      </c>
      <c r="H81" s="676" t="s">
        <v>15</v>
      </c>
      <c r="I81" s="676"/>
      <c r="J81" s="16"/>
      <c r="K81" s="16"/>
      <c r="L81" s="5"/>
    </row>
    <row r="82" spans="1:12">
      <c r="A82" s="4"/>
      <c r="L82" s="5"/>
    </row>
    <row r="83" spans="1:12">
      <c r="A83" s="4"/>
      <c r="B83" s="677"/>
      <c r="C83" s="678"/>
      <c r="D83" s="678"/>
      <c r="E83" s="678"/>
      <c r="F83" s="678"/>
      <c r="G83" s="678"/>
      <c r="H83" s="678"/>
      <c r="I83" s="678"/>
      <c r="J83" s="678"/>
      <c r="K83" s="679"/>
      <c r="L83" s="5"/>
    </row>
    <row r="84" spans="1:12">
      <c r="A84" s="4"/>
      <c r="D84" s="427" t="s">
        <v>16</v>
      </c>
      <c r="E84" s="427"/>
      <c r="F84" s="427"/>
      <c r="G84" s="427"/>
      <c r="H84" s="427"/>
      <c r="L84" s="5"/>
    </row>
    <row r="85" spans="1:12">
      <c r="A85" s="4"/>
      <c r="B85" s="525" t="s">
        <v>17</v>
      </c>
      <c r="C85" s="525"/>
      <c r="D85" s="525"/>
      <c r="E85" s="525"/>
      <c r="L85" s="5"/>
    </row>
    <row r="86" spans="1:12">
      <c r="A86" s="4"/>
      <c r="B86" s="671"/>
      <c r="C86" s="659"/>
      <c r="D86" s="659"/>
      <c r="E86" s="659"/>
      <c r="F86" s="659"/>
      <c r="G86" s="672"/>
      <c r="I86" s="671"/>
      <c r="J86" s="659"/>
      <c r="K86" s="672"/>
      <c r="L86" s="5"/>
    </row>
    <row r="87" spans="1:12">
      <c r="A87" s="4"/>
      <c r="D87" s="13" t="s">
        <v>2</v>
      </c>
      <c r="I87" s="13" t="s">
        <v>3</v>
      </c>
      <c r="J87" s="13"/>
      <c r="K87" s="13"/>
      <c r="L87" s="5"/>
    </row>
    <row r="88" spans="1:12">
      <c r="A88" s="4"/>
      <c r="L88" s="5"/>
    </row>
    <row r="89" spans="1:12">
      <c r="A89" s="4"/>
      <c r="B89" t="s">
        <v>8</v>
      </c>
      <c r="C89" t="s">
        <v>4</v>
      </c>
      <c r="D89" t="s">
        <v>5</v>
      </c>
      <c r="E89" t="s">
        <v>6</v>
      </c>
      <c r="G89" s="13" t="s">
        <v>7</v>
      </c>
      <c r="H89" s="671"/>
      <c r="I89" s="659"/>
      <c r="J89" s="659"/>
      <c r="K89" s="672"/>
      <c r="L89" s="5"/>
    </row>
    <row r="90" spans="1:12">
      <c r="A90" s="6"/>
      <c r="B90" s="7"/>
      <c r="C90" s="7"/>
      <c r="D90" s="7"/>
      <c r="E90" s="7"/>
      <c r="F90" s="7"/>
      <c r="G90" s="7"/>
      <c r="H90" s="7"/>
      <c r="I90" s="7"/>
      <c r="J90" s="7"/>
      <c r="K90" s="7"/>
      <c r="L90" s="8"/>
    </row>
    <row r="92" spans="1:12">
      <c r="A92" s="1"/>
      <c r="B92" s="2"/>
      <c r="C92" s="2"/>
      <c r="D92" s="2"/>
      <c r="E92" s="2"/>
      <c r="F92" s="2"/>
      <c r="G92" s="2"/>
      <c r="H92" s="2"/>
      <c r="I92" s="2"/>
      <c r="J92" s="2"/>
      <c r="K92" s="2"/>
      <c r="L92" s="3"/>
    </row>
    <row r="93" spans="1:12">
      <c r="A93" s="4"/>
      <c r="B93" t="s">
        <v>1</v>
      </c>
      <c r="L93" s="5"/>
    </row>
    <row r="94" spans="1:12">
      <c r="A94" s="4"/>
      <c r="B94" s="680"/>
      <c r="C94" s="681"/>
      <c r="D94" s="681"/>
      <c r="E94" s="681"/>
      <c r="F94" s="682"/>
      <c r="H94" s="680"/>
      <c r="I94" s="681"/>
      <c r="J94" s="681"/>
      <c r="K94" s="682"/>
      <c r="L94" s="5"/>
    </row>
    <row r="95" spans="1:12">
      <c r="A95" s="4"/>
      <c r="C95" s="419" t="s">
        <v>2</v>
      </c>
      <c r="D95" s="419"/>
      <c r="E95" s="419"/>
      <c r="F95" s="15"/>
      <c r="G95" s="15"/>
      <c r="H95" s="426" t="s">
        <v>3</v>
      </c>
      <c r="I95" s="426"/>
      <c r="J95" s="13"/>
      <c r="K95" s="13"/>
      <c r="L95" s="5"/>
    </row>
    <row r="96" spans="1:12">
      <c r="A96" s="4"/>
      <c r="L96" s="5"/>
    </row>
    <row r="97" spans="1:12">
      <c r="A97" s="4"/>
      <c r="B97" t="s">
        <v>8</v>
      </c>
      <c r="C97" t="s">
        <v>4</v>
      </c>
      <c r="D97" t="s">
        <v>5</v>
      </c>
      <c r="E97" t="s">
        <v>6</v>
      </c>
      <c r="G97" t="s">
        <v>7</v>
      </c>
      <c r="H97" s="680"/>
      <c r="I97" s="683"/>
      <c r="L97" s="5"/>
    </row>
    <row r="98" spans="1:12">
      <c r="A98" s="4"/>
      <c r="L98" s="5"/>
    </row>
    <row r="99" spans="1:12" ht="17.25">
      <c r="A99" s="4"/>
      <c r="B99" s="673" t="str">
        <f>B78</f>
        <v>-</v>
      </c>
      <c r="C99" s="674"/>
      <c r="D99" s="674"/>
      <c r="E99" s="674"/>
      <c r="F99" s="674"/>
      <c r="G99" s="674"/>
      <c r="H99" s="674"/>
      <c r="I99" s="674"/>
      <c r="J99" s="674"/>
      <c r="K99" s="675"/>
      <c r="L99" s="5"/>
    </row>
    <row r="100" spans="1:12">
      <c r="A100" s="4"/>
      <c r="E100" s="427" t="s">
        <v>9</v>
      </c>
      <c r="F100" s="427"/>
      <c r="G100" s="427"/>
      <c r="L100" s="5"/>
    </row>
    <row r="101" spans="1:12">
      <c r="A101" s="4"/>
      <c r="E101" s="13"/>
      <c r="F101" s="13"/>
      <c r="G101" s="13"/>
      <c r="L101" s="5"/>
    </row>
    <row r="102" spans="1:12">
      <c r="A102" s="4"/>
      <c r="B102" s="10" t="s">
        <v>10</v>
      </c>
      <c r="C102" s="10"/>
      <c r="D102" s="10" t="s">
        <v>11</v>
      </c>
      <c r="E102" s="10" t="s">
        <v>12</v>
      </c>
      <c r="F102" s="54" t="s">
        <v>13</v>
      </c>
      <c r="G102" s="10" t="s">
        <v>14</v>
      </c>
      <c r="H102" s="676" t="s">
        <v>15</v>
      </c>
      <c r="I102" s="676"/>
      <c r="J102" s="16"/>
      <c r="K102" s="16"/>
      <c r="L102" s="5"/>
    </row>
    <row r="103" spans="1:12">
      <c r="A103" s="4"/>
      <c r="L103" s="5"/>
    </row>
    <row r="104" spans="1:12">
      <c r="A104" s="4"/>
      <c r="B104" s="677"/>
      <c r="C104" s="678"/>
      <c r="D104" s="678"/>
      <c r="E104" s="678"/>
      <c r="F104" s="678"/>
      <c r="G104" s="678"/>
      <c r="H104" s="678"/>
      <c r="I104" s="678"/>
      <c r="J104" s="678"/>
      <c r="K104" s="679"/>
      <c r="L104" s="5"/>
    </row>
    <row r="105" spans="1:12">
      <c r="A105" s="4"/>
      <c r="D105" s="427" t="s">
        <v>16</v>
      </c>
      <c r="E105" s="427"/>
      <c r="F105" s="427"/>
      <c r="G105" s="427"/>
      <c r="H105" s="427"/>
      <c r="L105" s="5"/>
    </row>
    <row r="106" spans="1:12">
      <c r="A106" s="4"/>
      <c r="B106" s="525" t="s">
        <v>17</v>
      </c>
      <c r="C106" s="525"/>
      <c r="D106" s="525"/>
      <c r="E106" s="525"/>
      <c r="L106" s="5"/>
    </row>
    <row r="107" spans="1:12">
      <c r="A107" s="4"/>
      <c r="B107" s="671"/>
      <c r="C107" s="659"/>
      <c r="D107" s="659"/>
      <c r="E107" s="659"/>
      <c r="F107" s="659"/>
      <c r="G107" s="672"/>
      <c r="I107" s="671"/>
      <c r="J107" s="659"/>
      <c r="K107" s="672"/>
      <c r="L107" s="5"/>
    </row>
    <row r="108" spans="1:12">
      <c r="A108" s="4"/>
      <c r="D108" s="13" t="s">
        <v>2</v>
      </c>
      <c r="I108" s="13" t="s">
        <v>3</v>
      </c>
      <c r="J108" s="13"/>
      <c r="K108" s="13"/>
      <c r="L108" s="5"/>
    </row>
    <row r="109" spans="1:12">
      <c r="A109" s="4"/>
      <c r="L109" s="5"/>
    </row>
    <row r="110" spans="1:12">
      <c r="A110" s="4"/>
      <c r="B110" t="s">
        <v>8</v>
      </c>
      <c r="C110" t="s">
        <v>4</v>
      </c>
      <c r="D110" t="s">
        <v>5</v>
      </c>
      <c r="E110" t="s">
        <v>6</v>
      </c>
      <c r="G110" s="13" t="s">
        <v>7</v>
      </c>
      <c r="H110" s="671"/>
      <c r="I110" s="659"/>
      <c r="J110" s="659"/>
      <c r="K110" s="672"/>
      <c r="L110" s="5"/>
    </row>
    <row r="111" spans="1:12">
      <c r="A111" s="6"/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8"/>
    </row>
    <row r="113" spans="1:12">
      <c r="A113" s="1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3"/>
    </row>
    <row r="114" spans="1:12">
      <c r="A114" s="4"/>
      <c r="B114" t="s">
        <v>1</v>
      </c>
      <c r="L114" s="5"/>
    </row>
    <row r="115" spans="1:12">
      <c r="A115" s="4"/>
      <c r="B115" s="680"/>
      <c r="C115" s="681"/>
      <c r="D115" s="681"/>
      <c r="E115" s="681"/>
      <c r="F115" s="682"/>
      <c r="H115" s="680"/>
      <c r="I115" s="681"/>
      <c r="J115" s="681"/>
      <c r="K115" s="682"/>
      <c r="L115" s="5"/>
    </row>
    <row r="116" spans="1:12">
      <c r="A116" s="4"/>
      <c r="C116" s="419" t="s">
        <v>2</v>
      </c>
      <c r="D116" s="419"/>
      <c r="E116" s="419"/>
      <c r="F116" s="15"/>
      <c r="G116" s="15"/>
      <c r="H116" s="426" t="s">
        <v>3</v>
      </c>
      <c r="I116" s="426"/>
      <c r="J116" s="13"/>
      <c r="K116" s="13"/>
      <c r="L116" s="5"/>
    </row>
    <row r="117" spans="1:12">
      <c r="A117" s="4"/>
      <c r="L117" s="5"/>
    </row>
    <row r="118" spans="1:12">
      <c r="A118" s="4"/>
      <c r="B118" t="s">
        <v>8</v>
      </c>
      <c r="C118" t="s">
        <v>4</v>
      </c>
      <c r="D118" t="s">
        <v>5</v>
      </c>
      <c r="E118" t="s">
        <v>6</v>
      </c>
      <c r="G118" t="s">
        <v>7</v>
      </c>
      <c r="H118" s="680"/>
      <c r="I118" s="683"/>
      <c r="L118" s="5"/>
    </row>
    <row r="119" spans="1:12">
      <c r="A119" s="4"/>
      <c r="L119" s="5"/>
    </row>
    <row r="120" spans="1:12" ht="17.25">
      <c r="A120" s="4"/>
      <c r="B120" s="673" t="str">
        <f>B99</f>
        <v>-</v>
      </c>
      <c r="C120" s="674"/>
      <c r="D120" s="674"/>
      <c r="E120" s="674"/>
      <c r="F120" s="674"/>
      <c r="G120" s="674"/>
      <c r="H120" s="674"/>
      <c r="I120" s="674"/>
      <c r="J120" s="674"/>
      <c r="K120" s="675"/>
      <c r="L120" s="5"/>
    </row>
    <row r="121" spans="1:12">
      <c r="A121" s="4"/>
      <c r="E121" s="427" t="s">
        <v>9</v>
      </c>
      <c r="F121" s="427"/>
      <c r="G121" s="427"/>
      <c r="L121" s="5"/>
    </row>
    <row r="122" spans="1:12">
      <c r="A122" s="4"/>
      <c r="E122" s="13"/>
      <c r="F122" s="13"/>
      <c r="G122" s="13"/>
      <c r="L122" s="5"/>
    </row>
    <row r="123" spans="1:12">
      <c r="A123" s="4"/>
      <c r="B123" s="10" t="s">
        <v>10</v>
      </c>
      <c r="C123" s="10"/>
      <c r="D123" s="10" t="s">
        <v>11</v>
      </c>
      <c r="E123" s="10" t="s">
        <v>12</v>
      </c>
      <c r="F123" s="54" t="s">
        <v>13</v>
      </c>
      <c r="G123" s="10" t="s">
        <v>14</v>
      </c>
      <c r="H123" s="676" t="s">
        <v>15</v>
      </c>
      <c r="I123" s="676"/>
      <c r="J123" s="16"/>
      <c r="K123" s="16"/>
      <c r="L123" s="5"/>
    </row>
    <row r="124" spans="1:12">
      <c r="A124" s="4"/>
      <c r="L124" s="5"/>
    </row>
    <row r="125" spans="1:12">
      <c r="A125" s="4"/>
      <c r="B125" s="677"/>
      <c r="C125" s="678"/>
      <c r="D125" s="678"/>
      <c r="E125" s="678"/>
      <c r="F125" s="678"/>
      <c r="G125" s="678"/>
      <c r="H125" s="678"/>
      <c r="I125" s="678"/>
      <c r="J125" s="678"/>
      <c r="K125" s="679"/>
      <c r="L125" s="5"/>
    </row>
    <row r="126" spans="1:12">
      <c r="A126" s="4"/>
      <c r="D126" s="427" t="s">
        <v>16</v>
      </c>
      <c r="E126" s="427"/>
      <c r="F126" s="427"/>
      <c r="G126" s="427"/>
      <c r="H126" s="427"/>
      <c r="L126" s="5"/>
    </row>
    <row r="127" spans="1:12">
      <c r="A127" s="4"/>
      <c r="B127" s="525" t="s">
        <v>17</v>
      </c>
      <c r="C127" s="525"/>
      <c r="D127" s="525"/>
      <c r="E127" s="525"/>
      <c r="L127" s="5"/>
    </row>
    <row r="128" spans="1:12">
      <c r="A128" s="4"/>
      <c r="B128" s="671"/>
      <c r="C128" s="659"/>
      <c r="D128" s="659"/>
      <c r="E128" s="659"/>
      <c r="F128" s="659"/>
      <c r="G128" s="672"/>
      <c r="I128" s="671"/>
      <c r="J128" s="659"/>
      <c r="K128" s="672"/>
      <c r="L128" s="5"/>
    </row>
    <row r="129" spans="1:12">
      <c r="A129" s="4"/>
      <c r="D129" s="13" t="s">
        <v>2</v>
      </c>
      <c r="I129" s="13" t="s">
        <v>3</v>
      </c>
      <c r="J129" s="13"/>
      <c r="K129" s="13"/>
      <c r="L129" s="5"/>
    </row>
    <row r="130" spans="1:12">
      <c r="A130" s="4"/>
      <c r="L130" s="5"/>
    </row>
    <row r="131" spans="1:12">
      <c r="A131" s="4"/>
      <c r="B131" t="s">
        <v>8</v>
      </c>
      <c r="C131" t="s">
        <v>4</v>
      </c>
      <c r="D131" t="s">
        <v>5</v>
      </c>
      <c r="E131" t="s">
        <v>6</v>
      </c>
      <c r="G131" s="13" t="s">
        <v>7</v>
      </c>
      <c r="H131" s="671"/>
      <c r="I131" s="659"/>
      <c r="J131" s="659"/>
      <c r="K131" s="672"/>
      <c r="L131" s="5"/>
    </row>
    <row r="132" spans="1:12">
      <c r="A132" s="6"/>
      <c r="B132" s="7"/>
      <c r="C132" s="7"/>
      <c r="D132" s="7"/>
      <c r="E132" s="7"/>
      <c r="F132" s="7"/>
      <c r="G132" s="7"/>
      <c r="H132" s="7"/>
      <c r="I132" s="7"/>
      <c r="J132" s="7"/>
      <c r="K132" s="7"/>
      <c r="L132" s="8"/>
    </row>
    <row r="134" spans="1:12">
      <c r="A134" s="1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3"/>
    </row>
    <row r="135" spans="1:12">
      <c r="A135" s="4"/>
      <c r="B135" t="s">
        <v>1</v>
      </c>
      <c r="L135" s="5"/>
    </row>
    <row r="136" spans="1:12">
      <c r="A136" s="4"/>
      <c r="B136" s="680"/>
      <c r="C136" s="681"/>
      <c r="D136" s="681"/>
      <c r="E136" s="681"/>
      <c r="F136" s="682"/>
      <c r="H136" s="680"/>
      <c r="I136" s="681"/>
      <c r="J136" s="681"/>
      <c r="K136" s="682"/>
      <c r="L136" s="5"/>
    </row>
    <row r="137" spans="1:12">
      <c r="A137" s="4"/>
      <c r="C137" s="419" t="s">
        <v>2</v>
      </c>
      <c r="D137" s="419"/>
      <c r="E137" s="419"/>
      <c r="F137" s="15"/>
      <c r="G137" s="15"/>
      <c r="H137" s="426" t="s">
        <v>3</v>
      </c>
      <c r="I137" s="426"/>
      <c r="J137" s="13"/>
      <c r="K137" s="13"/>
      <c r="L137" s="5"/>
    </row>
    <row r="138" spans="1:12">
      <c r="A138" s="4"/>
      <c r="L138" s="5"/>
    </row>
    <row r="139" spans="1:12">
      <c r="A139" s="4"/>
      <c r="B139" t="s">
        <v>8</v>
      </c>
      <c r="C139" t="s">
        <v>4</v>
      </c>
      <c r="D139" t="s">
        <v>5</v>
      </c>
      <c r="E139" t="s">
        <v>6</v>
      </c>
      <c r="G139" t="s">
        <v>7</v>
      </c>
      <c r="H139" s="680"/>
      <c r="I139" s="683"/>
      <c r="L139" s="5"/>
    </row>
    <row r="140" spans="1:12">
      <c r="A140" s="4"/>
      <c r="L140" s="5"/>
    </row>
    <row r="141" spans="1:12" ht="17.25">
      <c r="A141" s="4"/>
      <c r="B141" s="673" t="str">
        <f>B120</f>
        <v>-</v>
      </c>
      <c r="C141" s="674"/>
      <c r="D141" s="674"/>
      <c r="E141" s="674"/>
      <c r="F141" s="674"/>
      <c r="G141" s="674"/>
      <c r="H141" s="674"/>
      <c r="I141" s="674"/>
      <c r="J141" s="674"/>
      <c r="K141" s="675"/>
      <c r="L141" s="5"/>
    </row>
    <row r="142" spans="1:12">
      <c r="A142" s="4"/>
      <c r="E142" s="427" t="s">
        <v>9</v>
      </c>
      <c r="F142" s="427"/>
      <c r="G142" s="427"/>
      <c r="L142" s="5"/>
    </row>
    <row r="143" spans="1:12">
      <c r="A143" s="4"/>
      <c r="E143" s="13"/>
      <c r="F143" s="13"/>
      <c r="G143" s="13"/>
      <c r="L143" s="5"/>
    </row>
    <row r="144" spans="1:12">
      <c r="A144" s="4"/>
      <c r="B144" s="10" t="s">
        <v>10</v>
      </c>
      <c r="C144" s="10"/>
      <c r="D144" s="10" t="s">
        <v>11</v>
      </c>
      <c r="E144" s="10" t="s">
        <v>12</v>
      </c>
      <c r="F144" s="54" t="s">
        <v>13</v>
      </c>
      <c r="G144" s="10" t="s">
        <v>14</v>
      </c>
      <c r="H144" s="676" t="s">
        <v>15</v>
      </c>
      <c r="I144" s="676"/>
      <c r="J144" s="16"/>
      <c r="K144" s="16"/>
      <c r="L144" s="5"/>
    </row>
    <row r="145" spans="1:12">
      <c r="A145" s="4"/>
      <c r="L145" s="5"/>
    </row>
    <row r="146" spans="1:12">
      <c r="A146" s="4"/>
      <c r="B146" s="677"/>
      <c r="C146" s="678"/>
      <c r="D146" s="678"/>
      <c r="E146" s="678"/>
      <c r="F146" s="678"/>
      <c r="G146" s="678"/>
      <c r="H146" s="678"/>
      <c r="I146" s="678"/>
      <c r="J146" s="678"/>
      <c r="K146" s="679"/>
      <c r="L146" s="5"/>
    </row>
    <row r="147" spans="1:12">
      <c r="A147" s="4"/>
      <c r="D147" s="427" t="s">
        <v>16</v>
      </c>
      <c r="E147" s="427"/>
      <c r="F147" s="427"/>
      <c r="G147" s="427"/>
      <c r="H147" s="427"/>
      <c r="L147" s="5"/>
    </row>
    <row r="148" spans="1:12">
      <c r="A148" s="4"/>
      <c r="B148" s="525" t="s">
        <v>17</v>
      </c>
      <c r="C148" s="525"/>
      <c r="D148" s="525"/>
      <c r="E148" s="525"/>
      <c r="L148" s="5"/>
    </row>
    <row r="149" spans="1:12">
      <c r="A149" s="4"/>
      <c r="B149" s="671"/>
      <c r="C149" s="659"/>
      <c r="D149" s="659"/>
      <c r="E149" s="659"/>
      <c r="F149" s="659"/>
      <c r="G149" s="672"/>
      <c r="I149" s="671"/>
      <c r="J149" s="659"/>
      <c r="K149" s="672"/>
      <c r="L149" s="5"/>
    </row>
    <row r="150" spans="1:12">
      <c r="A150" s="4"/>
      <c r="D150" s="13" t="s">
        <v>2</v>
      </c>
      <c r="I150" s="13" t="s">
        <v>3</v>
      </c>
      <c r="J150" s="13"/>
      <c r="K150" s="13"/>
      <c r="L150" s="5"/>
    </row>
    <row r="151" spans="1:12">
      <c r="A151" s="4"/>
      <c r="L151" s="5"/>
    </row>
    <row r="152" spans="1:12">
      <c r="A152" s="4"/>
      <c r="B152" t="s">
        <v>8</v>
      </c>
      <c r="C152" t="s">
        <v>4</v>
      </c>
      <c r="D152" t="s">
        <v>5</v>
      </c>
      <c r="E152" t="s">
        <v>6</v>
      </c>
      <c r="G152" s="13" t="s">
        <v>7</v>
      </c>
      <c r="H152" s="671"/>
      <c r="I152" s="659"/>
      <c r="J152" s="659"/>
      <c r="K152" s="672"/>
      <c r="L152" s="5"/>
    </row>
    <row r="153" spans="1:12">
      <c r="A153" s="6"/>
      <c r="B153" s="7"/>
      <c r="C153" s="7"/>
      <c r="D153" s="7"/>
      <c r="E153" s="7"/>
      <c r="F153" s="7"/>
      <c r="G153" s="7"/>
      <c r="H153" s="7"/>
      <c r="I153" s="7"/>
      <c r="J153" s="7"/>
      <c r="K153" s="7"/>
      <c r="L153" s="8"/>
    </row>
    <row r="155" spans="1:12">
      <c r="A155" s="1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3"/>
    </row>
    <row r="156" spans="1:12">
      <c r="A156" s="4"/>
      <c r="B156" t="s">
        <v>1</v>
      </c>
      <c r="L156" s="5"/>
    </row>
    <row r="157" spans="1:12">
      <c r="A157" s="4"/>
      <c r="B157" s="680"/>
      <c r="C157" s="681"/>
      <c r="D157" s="681"/>
      <c r="E157" s="681"/>
      <c r="F157" s="682"/>
      <c r="H157" s="680"/>
      <c r="I157" s="681"/>
      <c r="J157" s="681"/>
      <c r="K157" s="682"/>
      <c r="L157" s="5"/>
    </row>
    <row r="158" spans="1:12">
      <c r="A158" s="4"/>
      <c r="C158" s="419" t="s">
        <v>2</v>
      </c>
      <c r="D158" s="419"/>
      <c r="E158" s="419"/>
      <c r="F158" s="15"/>
      <c r="G158" s="15"/>
      <c r="H158" s="426" t="s">
        <v>3</v>
      </c>
      <c r="I158" s="426"/>
      <c r="J158" s="13"/>
      <c r="K158" s="13"/>
      <c r="L158" s="5"/>
    </row>
    <row r="159" spans="1:12">
      <c r="A159" s="4"/>
      <c r="L159" s="5"/>
    </row>
    <row r="160" spans="1:12">
      <c r="A160" s="4"/>
      <c r="B160" t="s">
        <v>8</v>
      </c>
      <c r="C160" t="s">
        <v>4</v>
      </c>
      <c r="D160" t="s">
        <v>5</v>
      </c>
      <c r="E160" t="s">
        <v>6</v>
      </c>
      <c r="G160" t="s">
        <v>7</v>
      </c>
      <c r="H160" s="680"/>
      <c r="I160" s="683"/>
      <c r="L160" s="5"/>
    </row>
    <row r="161" spans="1:12">
      <c r="A161" s="4"/>
      <c r="L161" s="5"/>
    </row>
    <row r="162" spans="1:12" ht="17.25">
      <c r="A162" s="4"/>
      <c r="B162" s="673" t="str">
        <f>B141</f>
        <v>-</v>
      </c>
      <c r="C162" s="674"/>
      <c r="D162" s="674"/>
      <c r="E162" s="674"/>
      <c r="F162" s="674"/>
      <c r="G162" s="674"/>
      <c r="H162" s="674"/>
      <c r="I162" s="674"/>
      <c r="J162" s="674"/>
      <c r="K162" s="675"/>
      <c r="L162" s="5"/>
    </row>
    <row r="163" spans="1:12">
      <c r="A163" s="4"/>
      <c r="E163" s="427" t="s">
        <v>9</v>
      </c>
      <c r="F163" s="427"/>
      <c r="G163" s="427"/>
      <c r="L163" s="5"/>
    </row>
    <row r="164" spans="1:12">
      <c r="A164" s="4"/>
      <c r="E164" s="13"/>
      <c r="F164" s="13"/>
      <c r="G164" s="13"/>
      <c r="L164" s="5"/>
    </row>
    <row r="165" spans="1:12">
      <c r="A165" s="4"/>
      <c r="B165" s="10" t="s">
        <v>10</v>
      </c>
      <c r="C165" s="10"/>
      <c r="D165" s="10" t="s">
        <v>11</v>
      </c>
      <c r="E165" s="10" t="s">
        <v>12</v>
      </c>
      <c r="F165" s="54" t="s">
        <v>13</v>
      </c>
      <c r="G165" s="10" t="s">
        <v>14</v>
      </c>
      <c r="H165" s="676" t="s">
        <v>15</v>
      </c>
      <c r="I165" s="676"/>
      <c r="J165" s="16"/>
      <c r="K165" s="16"/>
      <c r="L165" s="5"/>
    </row>
    <row r="166" spans="1:12">
      <c r="A166" s="4"/>
      <c r="L166" s="5"/>
    </row>
    <row r="167" spans="1:12">
      <c r="A167" s="4"/>
      <c r="B167" s="677"/>
      <c r="C167" s="678"/>
      <c r="D167" s="678"/>
      <c r="E167" s="678"/>
      <c r="F167" s="678"/>
      <c r="G167" s="678"/>
      <c r="H167" s="678"/>
      <c r="I167" s="678"/>
      <c r="J167" s="678"/>
      <c r="K167" s="679"/>
      <c r="L167" s="5"/>
    </row>
    <row r="168" spans="1:12">
      <c r="A168" s="4"/>
      <c r="D168" s="427" t="s">
        <v>16</v>
      </c>
      <c r="E168" s="427"/>
      <c r="F168" s="427"/>
      <c r="G168" s="427"/>
      <c r="H168" s="427"/>
      <c r="L168" s="5"/>
    </row>
    <row r="169" spans="1:12">
      <c r="A169" s="4"/>
      <c r="B169" s="525" t="s">
        <v>17</v>
      </c>
      <c r="C169" s="525"/>
      <c r="D169" s="525"/>
      <c r="E169" s="525"/>
      <c r="L169" s="5"/>
    </row>
    <row r="170" spans="1:12">
      <c r="A170" s="4"/>
      <c r="B170" s="671"/>
      <c r="C170" s="659"/>
      <c r="D170" s="659"/>
      <c r="E170" s="659"/>
      <c r="F170" s="659"/>
      <c r="G170" s="672"/>
      <c r="I170" s="671"/>
      <c r="J170" s="659"/>
      <c r="K170" s="672"/>
      <c r="L170" s="5"/>
    </row>
    <row r="171" spans="1:12">
      <c r="A171" s="4"/>
      <c r="D171" s="13" t="s">
        <v>2</v>
      </c>
      <c r="I171" s="13" t="s">
        <v>3</v>
      </c>
      <c r="J171" s="13"/>
      <c r="K171" s="13"/>
      <c r="L171" s="5"/>
    </row>
    <row r="172" spans="1:12">
      <c r="A172" s="4"/>
      <c r="L172" s="5"/>
    </row>
    <row r="173" spans="1:12">
      <c r="A173" s="4"/>
      <c r="B173" t="s">
        <v>8</v>
      </c>
      <c r="C173" t="s">
        <v>4</v>
      </c>
      <c r="D173" t="s">
        <v>5</v>
      </c>
      <c r="E173" t="s">
        <v>6</v>
      </c>
      <c r="G173" s="13" t="s">
        <v>7</v>
      </c>
      <c r="H173" s="671"/>
      <c r="I173" s="659"/>
      <c r="J173" s="659"/>
      <c r="K173" s="672"/>
      <c r="L173" s="5"/>
    </row>
    <row r="174" spans="1:12">
      <c r="A174" s="6"/>
      <c r="B174" s="7"/>
      <c r="C174" s="7"/>
      <c r="D174" s="7"/>
      <c r="E174" s="7"/>
      <c r="F174" s="7"/>
      <c r="G174" s="7"/>
      <c r="H174" s="7"/>
      <c r="I174" s="7"/>
      <c r="J174" s="7"/>
      <c r="K174" s="7"/>
      <c r="L174" s="8"/>
    </row>
  </sheetData>
  <protectedRanges>
    <protectedRange sqref="B9:F9 H9:K9 B31:F31 H31:K31 B52:F52 H52:K52 B73:F73 H73:K73 B94:F94 H94:K94 B115:F115 H115:K115 B136:F136 H136:K136 B157:F157 H157:K157" name="I15"/>
  </protectedRanges>
  <mergeCells count="116">
    <mergeCell ref="D168:H168"/>
    <mergeCell ref="B169:E169"/>
    <mergeCell ref="B170:G170"/>
    <mergeCell ref="I170:K170"/>
    <mergeCell ref="H173:K173"/>
    <mergeCell ref="H160:I160"/>
    <mergeCell ref="B162:K162"/>
    <mergeCell ref="E163:G163"/>
    <mergeCell ref="H165:I165"/>
    <mergeCell ref="B167:K167"/>
    <mergeCell ref="H152:K152"/>
    <mergeCell ref="B157:F157"/>
    <mergeCell ref="H157:K157"/>
    <mergeCell ref="C158:E158"/>
    <mergeCell ref="H158:I158"/>
    <mergeCell ref="H144:I144"/>
    <mergeCell ref="B146:K146"/>
    <mergeCell ref="D147:H147"/>
    <mergeCell ref="B148:E148"/>
    <mergeCell ref="B149:G149"/>
    <mergeCell ref="I149:K149"/>
    <mergeCell ref="C137:E137"/>
    <mergeCell ref="H137:I137"/>
    <mergeCell ref="H139:I139"/>
    <mergeCell ref="B141:K141"/>
    <mergeCell ref="E142:G142"/>
    <mergeCell ref="B127:E127"/>
    <mergeCell ref="B128:G128"/>
    <mergeCell ref="I128:K128"/>
    <mergeCell ref="H131:K131"/>
    <mergeCell ref="B136:F136"/>
    <mergeCell ref="H136:K136"/>
    <mergeCell ref="B120:K120"/>
    <mergeCell ref="E121:G121"/>
    <mergeCell ref="H123:I123"/>
    <mergeCell ref="B125:K125"/>
    <mergeCell ref="D126:H126"/>
    <mergeCell ref="B115:F115"/>
    <mergeCell ref="H115:K115"/>
    <mergeCell ref="C116:E116"/>
    <mergeCell ref="H116:I116"/>
    <mergeCell ref="H118:I118"/>
    <mergeCell ref="H110:K110"/>
    <mergeCell ref="B78:K78"/>
    <mergeCell ref="E79:G79"/>
    <mergeCell ref="B99:K99"/>
    <mergeCell ref="E100:G100"/>
    <mergeCell ref="H102:I102"/>
    <mergeCell ref="B104:K104"/>
    <mergeCell ref="D105:H105"/>
    <mergeCell ref="B106:E106"/>
    <mergeCell ref="B107:G107"/>
    <mergeCell ref="I107:K107"/>
    <mergeCell ref="C95:E95"/>
    <mergeCell ref="H95:I95"/>
    <mergeCell ref="H97:I97"/>
    <mergeCell ref="B85:E85"/>
    <mergeCell ref="B86:G86"/>
    <mergeCell ref="I86:K86"/>
    <mergeCell ref="H89:K89"/>
    <mergeCell ref="B94:F94"/>
    <mergeCell ref="H94:K94"/>
    <mergeCell ref="H81:I81"/>
    <mergeCell ref="B83:K83"/>
    <mergeCell ref="D84:H84"/>
    <mergeCell ref="B73:F73"/>
    <mergeCell ref="H73:K73"/>
    <mergeCell ref="C74:E74"/>
    <mergeCell ref="H74:I74"/>
    <mergeCell ref="H76:I76"/>
    <mergeCell ref="H17:I17"/>
    <mergeCell ref="B9:F9"/>
    <mergeCell ref="H9:K9"/>
    <mergeCell ref="E2:L2"/>
    <mergeCell ref="E3:L3"/>
    <mergeCell ref="E4:L4"/>
    <mergeCell ref="E5:L5"/>
    <mergeCell ref="C10:E10"/>
    <mergeCell ref="H10:I10"/>
    <mergeCell ref="H12:I12"/>
    <mergeCell ref="B14:K14"/>
    <mergeCell ref="E15:G15"/>
    <mergeCell ref="B36:K36"/>
    <mergeCell ref="B19:K19"/>
    <mergeCell ref="D20:H20"/>
    <mergeCell ref="B21:E21"/>
    <mergeCell ref="B22:G22"/>
    <mergeCell ref="I22:K22"/>
    <mergeCell ref="H25:K25"/>
    <mergeCell ref="B31:F31"/>
    <mergeCell ref="H31:K31"/>
    <mergeCell ref="C32:E32"/>
    <mergeCell ref="H32:I32"/>
    <mergeCell ref="H34:I34"/>
    <mergeCell ref="H55:I55"/>
    <mergeCell ref="E37:G37"/>
    <mergeCell ref="H39:I39"/>
    <mergeCell ref="B41:K41"/>
    <mergeCell ref="D42:H42"/>
    <mergeCell ref="B43:E43"/>
    <mergeCell ref="B44:G44"/>
    <mergeCell ref="I44:K44"/>
    <mergeCell ref="H47:K47"/>
    <mergeCell ref="B52:F52"/>
    <mergeCell ref="H52:K52"/>
    <mergeCell ref="C53:E53"/>
    <mergeCell ref="H53:I53"/>
    <mergeCell ref="B65:G65"/>
    <mergeCell ref="I65:K65"/>
    <mergeCell ref="H68:K68"/>
    <mergeCell ref="B57:K57"/>
    <mergeCell ref="E58:G58"/>
    <mergeCell ref="H60:I60"/>
    <mergeCell ref="B62:K62"/>
    <mergeCell ref="D63:H63"/>
    <mergeCell ref="B64:E64"/>
  </mergeCells>
  <pageMargins left="0.70866141732283472" right="0.39370078740157483" top="0.39370078740157483" bottom="0.39370078740157483" header="0.31496062992125984" footer="0.19685039370078741"/>
  <pageSetup paperSize="9" scale="75" fitToWidth="0" fitToHeight="0" orientation="portrait" horizontalDpi="360" verticalDpi="360" r:id="rId1"/>
  <rowBreaks count="1" manualBreakCount="1">
    <brk id="49" max="11" man="1"/>
  </row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BE8BCF-05D2-4BE7-864F-009294ACA82E}">
  <sheetPr>
    <tabColor rgb="FF00B0F0"/>
  </sheetPr>
  <dimension ref="A1:L716"/>
  <sheetViews>
    <sheetView view="pageBreakPreview" zoomScale="70" zoomScaleNormal="100" zoomScaleSheetLayoutView="70" zoomScalePageLayoutView="87" workbookViewId="0">
      <selection activeCell="A19" sqref="A19:L19"/>
    </sheetView>
  </sheetViews>
  <sheetFormatPr defaultColWidth="11.42578125" defaultRowHeight="15"/>
  <cols>
    <col min="1" max="1" width="6.28515625" style="60" customWidth="1"/>
    <col min="2" max="3" width="11.42578125" style="60"/>
    <col min="4" max="4" width="11.42578125" style="60" customWidth="1"/>
    <col min="5" max="5" width="11.42578125" style="60"/>
    <col min="6" max="6" width="8.85546875" style="60" customWidth="1"/>
    <col min="7" max="7" width="10.28515625" style="60" customWidth="1"/>
    <col min="8" max="8" width="9.7109375" style="60" customWidth="1"/>
    <col min="9" max="10" width="11.42578125" style="60"/>
    <col min="11" max="11" width="7.85546875" style="60" customWidth="1"/>
    <col min="12" max="12" width="16.85546875" style="60" customWidth="1"/>
    <col min="13" max="13" width="1.28515625" style="60" customWidth="1"/>
    <col min="14" max="16384" width="11.42578125" style="60"/>
  </cols>
  <sheetData>
    <row r="1" spans="1:12">
      <c r="J1" s="51"/>
      <c r="K1" s="51" t="s">
        <v>997</v>
      </c>
    </row>
    <row r="3" spans="1:12" ht="29.25" customHeight="1">
      <c r="A3"/>
      <c r="B3" s="1205"/>
      <c r="C3" s="1205"/>
      <c r="D3" s="1205"/>
      <c r="E3" s="1206" t="s">
        <v>998</v>
      </c>
      <c r="F3" s="1206"/>
      <c r="G3" s="1206"/>
      <c r="H3" s="1206"/>
      <c r="I3" s="1206"/>
      <c r="J3" s="1206"/>
      <c r="K3" s="1206"/>
      <c r="L3" s="1206"/>
    </row>
    <row r="4" spans="1:12" ht="20.25" customHeight="1">
      <c r="B4" s="177"/>
      <c r="C4" s="177"/>
      <c r="D4" s="177"/>
      <c r="E4" s="1207" t="s">
        <v>999</v>
      </c>
      <c r="F4" s="1207"/>
      <c r="G4" s="1207"/>
      <c r="H4" s="1207"/>
      <c r="I4" s="1207"/>
      <c r="J4" s="1207"/>
      <c r="K4" s="1207"/>
      <c r="L4" s="1207"/>
    </row>
    <row r="5" spans="1:12" ht="24" customHeight="1">
      <c r="B5" s="177"/>
      <c r="C5" s="177"/>
      <c r="D5" s="177"/>
      <c r="E5" s="1207" t="s">
        <v>55</v>
      </c>
      <c r="F5" s="1207"/>
      <c r="G5" s="1207"/>
      <c r="H5" s="1207"/>
      <c r="I5" s="1207"/>
      <c r="J5" s="1207"/>
      <c r="K5" s="1207"/>
      <c r="L5" s="1207"/>
    </row>
    <row r="7" spans="1:12" ht="24.75" customHeight="1">
      <c r="A7" s="1208" t="s">
        <v>1000</v>
      </c>
      <c r="B7" s="1209"/>
      <c r="C7" s="1209"/>
      <c r="D7" s="1209"/>
      <c r="E7" s="1209"/>
      <c r="F7" s="1209"/>
      <c r="G7" s="1209"/>
      <c r="H7" s="1209"/>
      <c r="I7" s="1209"/>
      <c r="J7" s="1209"/>
      <c r="K7" s="1209"/>
      <c r="L7" s="1210"/>
    </row>
    <row r="8" spans="1:12" ht="21" customHeight="1">
      <c r="A8" s="1211" t="s">
        <v>1001</v>
      </c>
      <c r="B8" s="1212"/>
      <c r="C8" s="1212"/>
      <c r="D8" s="1212"/>
      <c r="E8" s="1212"/>
      <c r="F8" s="1212"/>
      <c r="G8" s="1212"/>
      <c r="H8" s="1212"/>
      <c r="I8" s="1212"/>
      <c r="J8" s="1212"/>
      <c r="K8" s="1212"/>
      <c r="L8" s="1213"/>
    </row>
    <row r="9" spans="1:12" ht="21" customHeight="1">
      <c r="A9" s="1214" t="s">
        <v>1002</v>
      </c>
      <c r="B9" s="1215"/>
      <c r="C9" s="1215"/>
      <c r="D9" s="1215"/>
      <c r="E9" s="1215"/>
      <c r="F9" s="1215"/>
      <c r="G9" s="1215"/>
      <c r="H9" s="1215"/>
      <c r="I9" s="1215"/>
      <c r="J9" s="1215"/>
      <c r="K9" s="1215"/>
      <c r="L9" s="1075"/>
    </row>
    <row r="10" spans="1:12">
      <c r="A10" s="1214" t="s">
        <v>1003</v>
      </c>
      <c r="B10" s="1215"/>
      <c r="C10" s="1215"/>
      <c r="D10" s="1215"/>
      <c r="E10" s="1215"/>
      <c r="F10" s="1215"/>
      <c r="G10" s="1215"/>
      <c r="H10" s="1215"/>
      <c r="I10" s="1215"/>
      <c r="J10" s="1215"/>
      <c r="K10" s="1215"/>
      <c r="L10" s="1216"/>
    </row>
    <row r="11" spans="1:12">
      <c r="A11" s="1217" t="s">
        <v>1004</v>
      </c>
      <c r="B11" s="1218"/>
      <c r="C11" s="1218"/>
      <c r="D11" s="1218"/>
      <c r="E11" s="1218"/>
      <c r="F11" s="1218"/>
      <c r="G11" s="1218"/>
      <c r="H11" s="1218"/>
      <c r="I11" s="1218"/>
      <c r="J11" s="1218"/>
      <c r="K11" s="1218"/>
      <c r="L11" s="1219"/>
    </row>
    <row r="12" spans="1:12">
      <c r="A12" s="1214" t="s">
        <v>1005</v>
      </c>
      <c r="B12" s="1215"/>
      <c r="C12" s="1215"/>
      <c r="D12" s="1215"/>
      <c r="E12" s="1215"/>
      <c r="F12" s="1215"/>
      <c r="G12" s="1215"/>
      <c r="H12" s="1215"/>
      <c r="I12" s="1215"/>
      <c r="J12" s="1215"/>
      <c r="K12" s="1215"/>
      <c r="L12" s="1216"/>
    </row>
    <row r="13" spans="1:12">
      <c r="A13" s="1220"/>
      <c r="B13" s="1221"/>
      <c r="C13" s="1221"/>
      <c r="D13" s="1221"/>
      <c r="E13" s="1221"/>
      <c r="F13" s="1221"/>
      <c r="G13" s="1221"/>
      <c r="H13" s="1221"/>
      <c r="I13" s="1221"/>
      <c r="J13" s="1221"/>
      <c r="K13" s="1221"/>
      <c r="L13" s="1222"/>
    </row>
    <row r="14" spans="1:12">
      <c r="A14" s="1223"/>
      <c r="B14" s="1224"/>
      <c r="C14" s="1224"/>
      <c r="D14" s="1224"/>
      <c r="E14" s="1224"/>
      <c r="F14" s="1224"/>
      <c r="G14" s="1224"/>
      <c r="H14" s="1224"/>
      <c r="I14" s="1224"/>
      <c r="J14" s="1224"/>
      <c r="K14" s="1224"/>
      <c r="L14" s="1225"/>
    </row>
    <row r="15" spans="1:12">
      <c r="A15" s="1226" t="s">
        <v>1006</v>
      </c>
      <c r="B15" s="1227"/>
      <c r="C15" s="1227"/>
      <c r="D15" s="1227"/>
      <c r="E15" s="1227"/>
      <c r="F15" s="1227"/>
      <c r="G15" s="1227"/>
      <c r="H15" s="1227"/>
      <c r="I15" s="1227"/>
      <c r="J15" s="1227"/>
      <c r="K15" s="1227"/>
      <c r="L15" s="1228"/>
    </row>
    <row r="16" spans="1:12">
      <c r="A16" s="1226" t="s">
        <v>1007</v>
      </c>
      <c r="B16" s="1227"/>
      <c r="C16" s="1227"/>
      <c r="D16" s="1227"/>
      <c r="E16" s="1227"/>
      <c r="F16" s="1227"/>
      <c r="G16" s="1227"/>
      <c r="H16" s="1227"/>
      <c r="I16" s="1227"/>
      <c r="J16" s="1227"/>
      <c r="K16" s="1227"/>
      <c r="L16" s="1228"/>
    </row>
    <row r="17" spans="1:12">
      <c r="A17" s="1229" t="s">
        <v>1008</v>
      </c>
      <c r="B17" s="1230"/>
      <c r="C17" s="1230"/>
      <c r="D17" s="1230"/>
      <c r="E17" s="1230"/>
      <c r="F17" s="1230"/>
      <c r="G17" s="1230"/>
      <c r="H17" s="1230"/>
      <c r="I17" s="1230"/>
      <c r="J17" s="1230"/>
      <c r="K17" s="1230"/>
      <c r="L17" s="1231"/>
    </row>
    <row r="18" spans="1:12">
      <c r="A18" s="1232" t="s">
        <v>1009</v>
      </c>
      <c r="B18" s="1233"/>
      <c r="C18" s="1233"/>
      <c r="D18" s="1233"/>
      <c r="E18" s="1233"/>
      <c r="F18" s="1233"/>
      <c r="G18" s="1233"/>
      <c r="H18" s="1233"/>
      <c r="I18" s="1233"/>
      <c r="J18" s="1233"/>
      <c r="K18" s="1233"/>
      <c r="L18" s="1234"/>
    </row>
    <row r="19" spans="1:12">
      <c r="A19" s="1232" t="s">
        <v>1010</v>
      </c>
      <c r="B19" s="1233"/>
      <c r="C19" s="1233"/>
      <c r="D19" s="1233"/>
      <c r="E19" s="1233"/>
      <c r="F19" s="1233"/>
      <c r="G19" s="1233"/>
      <c r="H19" s="1233"/>
      <c r="I19" s="1233"/>
      <c r="J19" s="1233"/>
      <c r="K19" s="1233"/>
      <c r="L19" s="1234"/>
    </row>
    <row r="20" spans="1:12">
      <c r="A20" s="1232" t="s">
        <v>1011</v>
      </c>
      <c r="B20" s="1233"/>
      <c r="C20" s="1233"/>
      <c r="D20" s="1233"/>
      <c r="E20" s="1233"/>
      <c r="F20" s="1233"/>
      <c r="G20" s="1233"/>
      <c r="H20" s="1233"/>
      <c r="I20" s="1233"/>
      <c r="J20" s="1233"/>
      <c r="K20" s="1233"/>
      <c r="L20" s="1234"/>
    </row>
    <row r="21" spans="1:12">
      <c r="A21" s="670"/>
      <c r="B21" s="471"/>
      <c r="C21" s="471"/>
      <c r="D21" s="471"/>
      <c r="E21" s="471"/>
      <c r="F21" s="471"/>
      <c r="G21" s="471"/>
      <c r="H21" s="471"/>
      <c r="I21" s="471"/>
      <c r="J21" s="471"/>
      <c r="K21" s="471"/>
      <c r="L21" s="472"/>
    </row>
    <row r="22" spans="1:12" ht="15.75">
      <c r="A22" s="1232" t="s">
        <v>1012</v>
      </c>
      <c r="B22" s="1233"/>
      <c r="C22" s="1233"/>
      <c r="D22" s="1233"/>
      <c r="E22" s="1233"/>
      <c r="F22" s="1233"/>
      <c r="G22" s="1233"/>
      <c r="H22" s="1233"/>
      <c r="I22" s="1233"/>
      <c r="J22" s="1233"/>
      <c r="K22" s="1233"/>
      <c r="L22" s="1234"/>
    </row>
    <row r="23" spans="1:12">
      <c r="A23" s="1235" t="s">
        <v>1013</v>
      </c>
      <c r="B23" s="1236"/>
      <c r="C23" s="1236"/>
      <c r="D23" s="1236"/>
      <c r="E23" s="1236"/>
      <c r="F23" s="1236"/>
      <c r="G23" s="1236"/>
      <c r="H23" s="1236"/>
      <c r="I23" s="1236"/>
      <c r="J23" s="1236"/>
      <c r="K23" s="1236"/>
      <c r="L23" s="1237"/>
    </row>
    <row r="24" spans="1:12">
      <c r="A24" s="670"/>
      <c r="B24" s="471"/>
      <c r="C24" s="471"/>
      <c r="D24" s="471"/>
      <c r="E24" s="471"/>
      <c r="F24" s="471"/>
      <c r="G24" s="471"/>
      <c r="H24" s="471"/>
      <c r="I24" s="471"/>
      <c r="J24" s="471"/>
      <c r="K24" s="471"/>
      <c r="L24" s="472"/>
    </row>
    <row r="25" spans="1:12">
      <c r="A25" s="1226" t="s">
        <v>1014</v>
      </c>
      <c r="B25" s="1227"/>
      <c r="C25" s="1227"/>
      <c r="D25" s="1227"/>
      <c r="E25" s="1227"/>
      <c r="F25" s="1227"/>
      <c r="G25" s="1227"/>
      <c r="H25" s="1227"/>
      <c r="I25" s="1227"/>
      <c r="J25" s="1227"/>
      <c r="K25" s="1227"/>
      <c r="L25" s="1228"/>
    </row>
    <row r="26" spans="1:12">
      <c r="A26" s="1238" t="s">
        <v>1015</v>
      </c>
      <c r="B26" s="1238"/>
      <c r="C26" s="1238"/>
      <c r="D26" s="1238"/>
      <c r="E26" s="1238"/>
      <c r="F26" s="1238"/>
      <c r="G26" s="1238"/>
      <c r="H26" s="1238"/>
      <c r="I26" s="1238"/>
      <c r="J26" s="1238"/>
      <c r="K26" s="1238"/>
      <c r="L26" s="1238"/>
    </row>
    <row r="27" spans="1:12">
      <c r="A27" s="1232" t="s">
        <v>1016</v>
      </c>
      <c r="B27" s="1233"/>
      <c r="C27" s="1233"/>
      <c r="D27" s="1233"/>
      <c r="E27" s="1233"/>
      <c r="F27" s="1233"/>
      <c r="G27" s="1233"/>
      <c r="H27" s="1233"/>
      <c r="I27" s="1233"/>
      <c r="J27" s="1233"/>
      <c r="K27" s="1233"/>
      <c r="L27" s="1234"/>
    </row>
    <row r="28" spans="1:12">
      <c r="A28" s="1232" t="s">
        <v>1017</v>
      </c>
      <c r="B28" s="1233"/>
      <c r="C28" s="1233"/>
      <c r="D28" s="1233"/>
      <c r="E28" s="1233"/>
      <c r="F28" s="1233"/>
      <c r="G28" s="1233"/>
      <c r="H28" s="1233"/>
      <c r="I28" s="1233"/>
      <c r="J28" s="1233"/>
      <c r="K28" s="1233"/>
      <c r="L28" s="1234"/>
    </row>
    <row r="29" spans="1:12">
      <c r="A29" s="1232" t="s">
        <v>1018</v>
      </c>
      <c r="B29" s="1233"/>
      <c r="C29" s="1233"/>
      <c r="D29" s="1233"/>
      <c r="E29" s="1233"/>
      <c r="F29" s="1233"/>
      <c r="G29" s="1233"/>
      <c r="H29" s="1233"/>
      <c r="I29" s="1233"/>
      <c r="J29" s="1233"/>
      <c r="K29" s="1233"/>
      <c r="L29" s="1234"/>
    </row>
    <row r="30" spans="1:12">
      <c r="A30" s="1232" t="s">
        <v>1019</v>
      </c>
      <c r="B30" s="1233"/>
      <c r="C30" s="1233"/>
      <c r="D30" s="1233"/>
      <c r="E30" s="1233"/>
      <c r="F30" s="1233"/>
      <c r="G30" s="1233"/>
      <c r="H30" s="1233"/>
      <c r="I30" s="1233"/>
      <c r="J30" s="1233"/>
      <c r="K30" s="1233"/>
      <c r="L30" s="1234"/>
    </row>
    <row r="31" spans="1:12" ht="15.75">
      <c r="A31" s="1239"/>
      <c r="B31" s="1240"/>
      <c r="C31" s="1240"/>
      <c r="D31" s="1240"/>
      <c r="E31" s="1240"/>
      <c r="F31" s="1240"/>
      <c r="G31" s="1240"/>
      <c r="H31" s="1240"/>
      <c r="I31" s="1240"/>
      <c r="J31" s="1240"/>
      <c r="K31" s="1240"/>
      <c r="L31" s="1241"/>
    </row>
    <row r="32" spans="1:12" ht="15.75">
      <c r="A32" s="1232" t="s">
        <v>1020</v>
      </c>
      <c r="B32" s="1233"/>
      <c r="C32" s="1233"/>
      <c r="D32" s="1233"/>
      <c r="E32" s="1233"/>
      <c r="F32" s="1233"/>
      <c r="G32" s="1233"/>
      <c r="H32" s="1233"/>
      <c r="I32" s="1233"/>
      <c r="J32" s="1233"/>
      <c r="K32" s="1233"/>
      <c r="L32" s="1234"/>
    </row>
    <row r="33" spans="1:12">
      <c r="A33" s="1232"/>
      <c r="B33" s="1233"/>
      <c r="C33" s="1233"/>
      <c r="D33" s="1233"/>
      <c r="E33" s="1233"/>
      <c r="F33" s="1233"/>
      <c r="G33" s="1233"/>
      <c r="H33" s="1233"/>
      <c r="I33" s="1233"/>
      <c r="J33" s="1233"/>
      <c r="K33" s="1233"/>
      <c r="L33" s="1234"/>
    </row>
    <row r="34" spans="1:12">
      <c r="A34" s="1226" t="s">
        <v>1021</v>
      </c>
      <c r="B34" s="1227"/>
      <c r="C34" s="1227"/>
      <c r="D34" s="1227"/>
      <c r="E34" s="1227"/>
      <c r="F34" s="1227"/>
      <c r="G34" s="1227"/>
      <c r="H34" s="1227"/>
      <c r="I34" s="1227"/>
      <c r="J34" s="1227"/>
      <c r="K34" s="1227"/>
      <c r="L34" s="1228"/>
    </row>
    <row r="35" spans="1:12">
      <c r="A35" s="1226" t="s">
        <v>1022</v>
      </c>
      <c r="B35" s="1227"/>
      <c r="C35" s="1227"/>
      <c r="D35" s="1227"/>
      <c r="E35" s="1227"/>
      <c r="F35" s="1227"/>
      <c r="G35" s="1227"/>
      <c r="H35" s="1227"/>
      <c r="I35" s="1227"/>
      <c r="J35" s="1227"/>
      <c r="K35" s="1227"/>
      <c r="L35" s="1228"/>
    </row>
    <row r="36" spans="1:12">
      <c r="A36" s="1232" t="s">
        <v>1023</v>
      </c>
      <c r="B36" s="1233"/>
      <c r="C36" s="1233"/>
      <c r="D36" s="1233"/>
      <c r="E36" s="1233"/>
      <c r="F36" s="1233"/>
      <c r="G36" s="1233"/>
      <c r="H36" s="1233"/>
      <c r="I36" s="1233"/>
      <c r="J36" s="1233"/>
      <c r="K36" s="1233"/>
      <c r="L36" s="1234"/>
    </row>
    <row r="37" spans="1:12">
      <c r="A37" s="1232" t="s">
        <v>1024</v>
      </c>
      <c r="B37" s="1233"/>
      <c r="C37" s="1233"/>
      <c r="D37" s="1233"/>
      <c r="E37" s="1233"/>
      <c r="F37" s="1233"/>
      <c r="G37" s="1233"/>
      <c r="H37" s="1233"/>
      <c r="I37" s="1233"/>
      <c r="J37" s="1233"/>
      <c r="K37" s="1233"/>
      <c r="L37" s="1234"/>
    </row>
    <row r="38" spans="1:12">
      <c r="A38" s="1232" t="s">
        <v>1025</v>
      </c>
      <c r="B38" s="1233"/>
      <c r="C38" s="1233"/>
      <c r="D38" s="1233"/>
      <c r="E38" s="1233"/>
      <c r="F38" s="1233"/>
      <c r="G38" s="1233"/>
      <c r="H38" s="1233"/>
      <c r="I38" s="1233"/>
      <c r="J38" s="1233"/>
      <c r="K38" s="1233"/>
      <c r="L38" s="1234"/>
    </row>
    <row r="39" spans="1:12">
      <c r="A39" s="1232" t="s">
        <v>1026</v>
      </c>
      <c r="B39" s="1233"/>
      <c r="C39" s="1233"/>
      <c r="D39" s="1233"/>
      <c r="E39" s="1233"/>
      <c r="F39" s="1233"/>
      <c r="G39" s="1233"/>
      <c r="H39" s="1233"/>
      <c r="I39" s="1233"/>
      <c r="J39" s="1233"/>
      <c r="K39" s="1233"/>
      <c r="L39" s="1234"/>
    </row>
    <row r="40" spans="1:12">
      <c r="A40" s="1232"/>
      <c r="B40" s="1233"/>
      <c r="C40" s="1233"/>
      <c r="D40" s="1233"/>
      <c r="E40" s="1233"/>
      <c r="F40" s="1233"/>
      <c r="G40" s="1233"/>
      <c r="H40" s="1233"/>
      <c r="I40" s="1233"/>
      <c r="J40" s="1233"/>
      <c r="K40" s="1233"/>
      <c r="L40" s="1234"/>
    </row>
    <row r="41" spans="1:12" ht="15.75">
      <c r="A41" s="1232" t="s">
        <v>1020</v>
      </c>
      <c r="B41" s="1233"/>
      <c r="C41" s="1233"/>
      <c r="D41" s="1233"/>
      <c r="E41" s="1233"/>
      <c r="F41" s="1233"/>
      <c r="G41" s="1233"/>
      <c r="H41" s="1233"/>
      <c r="I41" s="1233"/>
      <c r="J41" s="1233"/>
      <c r="K41" s="1233"/>
      <c r="L41" s="1234"/>
    </row>
    <row r="42" spans="1:12">
      <c r="A42" s="1242"/>
      <c r="B42" s="1243"/>
      <c r="C42" s="1243"/>
      <c r="D42" s="1243"/>
      <c r="E42" s="1243"/>
      <c r="F42" s="1243"/>
      <c r="G42" s="1243"/>
      <c r="H42" s="1243"/>
      <c r="I42" s="1243"/>
      <c r="J42" s="1243"/>
      <c r="K42" s="1243"/>
      <c r="L42" s="1244"/>
    </row>
    <row r="43" spans="1:12">
      <c r="A43" s="1245"/>
      <c r="B43" s="1246"/>
      <c r="C43" s="1246"/>
      <c r="D43" s="1246"/>
      <c r="E43" s="1246"/>
      <c r="F43" s="1246"/>
      <c r="G43" s="1246"/>
      <c r="H43" s="1246"/>
      <c r="I43" s="1246"/>
      <c r="J43" s="1246"/>
      <c r="K43" s="1246"/>
      <c r="L43" s="1247"/>
    </row>
    <row r="44" spans="1:12">
      <c r="A44" s="1245"/>
      <c r="B44" s="1246"/>
      <c r="C44" s="1246"/>
      <c r="D44" s="1246"/>
      <c r="E44" s="1246"/>
      <c r="F44" s="1246"/>
      <c r="G44" s="1246"/>
      <c r="H44" s="1246"/>
      <c r="I44" s="1246"/>
      <c r="J44" s="1246"/>
      <c r="K44" s="1246"/>
      <c r="L44" s="1247"/>
    </row>
    <row r="45" spans="1:12">
      <c r="A45" s="1245"/>
      <c r="B45" s="1246"/>
      <c r="C45" s="1246"/>
      <c r="D45" s="1246"/>
      <c r="E45" s="1246"/>
      <c r="F45" s="1246"/>
      <c r="G45" s="1246"/>
      <c r="H45" s="1246"/>
      <c r="I45" s="1246"/>
      <c r="J45" s="1246"/>
      <c r="K45" s="1246"/>
      <c r="L45" s="1247"/>
    </row>
    <row r="46" spans="1:12">
      <c r="A46" s="1245"/>
      <c r="B46" s="1246"/>
      <c r="C46" s="1246"/>
      <c r="D46" s="1246"/>
      <c r="E46" s="1246"/>
      <c r="F46" s="1246"/>
      <c r="G46" s="1246"/>
      <c r="H46" s="1246"/>
      <c r="I46" s="1246"/>
      <c r="J46" s="1246"/>
      <c r="K46" s="1246"/>
      <c r="L46" s="1247"/>
    </row>
    <row r="47" spans="1:12">
      <c r="A47" s="1245"/>
      <c r="B47" s="1246"/>
      <c r="C47" s="1246"/>
      <c r="D47" s="1246"/>
      <c r="E47" s="1246"/>
      <c r="F47" s="1246"/>
      <c r="G47" s="1246"/>
      <c r="H47" s="1246"/>
      <c r="I47" s="1246"/>
      <c r="J47" s="1246"/>
      <c r="K47" s="1246"/>
      <c r="L47" s="1247"/>
    </row>
    <row r="48" spans="1:12">
      <c r="A48" s="1245"/>
      <c r="B48" s="1246"/>
      <c r="C48" s="1246"/>
      <c r="D48" s="1246"/>
      <c r="E48" s="1246"/>
      <c r="F48" s="1246"/>
      <c r="G48" s="1246"/>
      <c r="H48" s="1246"/>
      <c r="I48" s="1246"/>
      <c r="J48" s="1246"/>
      <c r="K48" s="1246"/>
      <c r="L48" s="1247"/>
    </row>
    <row r="49" spans="1:12">
      <c r="A49" s="1245"/>
      <c r="B49" s="1246"/>
      <c r="C49" s="1246"/>
      <c r="D49" s="1246"/>
      <c r="E49" s="1246"/>
      <c r="F49" s="1246"/>
      <c r="G49" s="1246"/>
      <c r="H49" s="1246"/>
      <c r="I49" s="1246"/>
      <c r="J49" s="1246"/>
      <c r="K49" s="1246"/>
      <c r="L49" s="1247"/>
    </row>
    <row r="50" spans="1:12">
      <c r="A50" s="1248"/>
      <c r="B50" s="1249"/>
      <c r="C50" s="1249"/>
      <c r="D50" s="1249"/>
      <c r="E50" s="1249"/>
      <c r="F50" s="1249"/>
      <c r="G50" s="1249"/>
      <c r="H50" s="1249"/>
      <c r="I50" s="1249"/>
      <c r="J50" s="1249"/>
      <c r="K50" s="1249"/>
      <c r="L50" s="1250"/>
    </row>
    <row r="51" spans="1:12" ht="15.75" thickBot="1">
      <c r="A51" s="1251"/>
      <c r="C51" s="1252"/>
      <c r="D51" s="1252"/>
      <c r="E51" s="1252"/>
      <c r="F51" s="1252"/>
      <c r="H51" s="1252"/>
      <c r="I51" s="1252"/>
      <c r="J51" s="1252"/>
      <c r="K51" s="1252"/>
      <c r="L51" s="1253"/>
    </row>
    <row r="52" spans="1:12">
      <c r="A52" s="1251"/>
      <c r="C52" s="51" t="str">
        <f>[2]DATOS!D5</f>
        <v>LUZ VICTORIA MAGUIÑA TORRES</v>
      </c>
      <c r="H52" s="51" t="str">
        <f>[2]DATOS!L5</f>
        <v>ALICIA AURORA MOLINARI MALDONADO</v>
      </c>
      <c r="L52" s="1254"/>
    </row>
    <row r="53" spans="1:12">
      <c r="A53" s="1251"/>
      <c r="D53" s="60" t="s">
        <v>1027</v>
      </c>
      <c r="E53" s="1255" t="str">
        <f>[2]DATOS!D8</f>
        <v>43374601</v>
      </c>
      <c r="I53" s="60" t="s">
        <v>1027</v>
      </c>
      <c r="J53" s="60">
        <f>[2]DATOS!L8</f>
        <v>25695549</v>
      </c>
      <c r="K53" s="1246"/>
      <c r="L53" s="1247"/>
    </row>
    <row r="54" spans="1:12">
      <c r="A54" s="1248"/>
      <c r="B54" s="1249"/>
      <c r="C54" s="1249"/>
      <c r="D54" s="1249"/>
      <c r="E54" s="1249"/>
      <c r="F54" s="1249"/>
      <c r="G54" s="1249"/>
      <c r="H54" s="1249"/>
      <c r="I54" s="1249"/>
      <c r="J54" s="1249"/>
      <c r="K54" s="1249"/>
      <c r="L54" s="1250"/>
    </row>
    <row r="55" spans="1:12">
      <c r="A55" s="1248"/>
      <c r="B55" s="1249"/>
      <c r="C55" s="1249"/>
      <c r="D55" s="1249"/>
      <c r="E55" s="1249"/>
      <c r="F55" s="1249"/>
      <c r="G55" s="1249"/>
      <c r="H55" s="1249"/>
      <c r="I55" s="1249"/>
      <c r="J55" s="1249"/>
      <c r="K55" s="1249"/>
      <c r="L55" s="1250"/>
    </row>
    <row r="56" spans="1:12">
      <c r="A56" s="1248"/>
      <c r="B56" s="1249"/>
      <c r="C56" s="1249"/>
      <c r="D56" s="1249"/>
      <c r="E56" s="1249"/>
      <c r="F56" s="1249"/>
      <c r="G56" s="1249"/>
      <c r="H56" s="1249"/>
      <c r="I56" s="1249"/>
      <c r="J56" s="1249"/>
      <c r="K56" s="1249"/>
      <c r="L56" s="1250"/>
    </row>
    <row r="57" spans="1:12">
      <c r="A57" s="1248"/>
      <c r="B57" s="1249"/>
      <c r="C57" s="1249"/>
      <c r="D57" s="1249"/>
      <c r="E57" s="1249"/>
      <c r="F57" s="1249"/>
      <c r="G57" s="1249"/>
      <c r="H57" s="1249"/>
      <c r="I57" s="1249"/>
      <c r="J57" s="1249"/>
      <c r="K57" s="1249"/>
      <c r="L57" s="1250"/>
    </row>
    <row r="58" spans="1:12">
      <c r="A58" s="1248"/>
      <c r="B58" s="1249"/>
      <c r="C58" s="1249"/>
      <c r="D58" s="1249"/>
      <c r="E58" s="1249"/>
      <c r="F58" s="1249"/>
      <c r="G58" s="1249"/>
      <c r="H58" s="1249"/>
      <c r="I58" s="1249"/>
      <c r="J58" s="1249"/>
      <c r="K58" s="1249"/>
      <c r="L58" s="1250"/>
    </row>
    <row r="59" spans="1:12">
      <c r="A59" s="1251"/>
      <c r="B59" s="1249"/>
      <c r="C59" s="1249"/>
      <c r="D59" s="1249"/>
      <c r="E59" s="1249"/>
      <c r="H59" s="1249"/>
      <c r="I59" s="1249"/>
      <c r="J59" s="1249"/>
      <c r="K59" s="1249"/>
      <c r="L59" s="1253"/>
    </row>
    <row r="60" spans="1:12">
      <c r="A60" s="1251"/>
      <c r="B60" s="1249"/>
      <c r="C60" s="1249"/>
      <c r="D60" s="1249"/>
      <c r="E60" s="1249"/>
      <c r="H60" s="1249"/>
      <c r="I60" s="1249"/>
      <c r="J60" s="1249"/>
      <c r="K60" s="1249"/>
      <c r="L60" s="1253"/>
    </row>
    <row r="61" spans="1:12">
      <c r="A61" s="1251"/>
      <c r="B61" s="1249"/>
      <c r="C61" s="1249"/>
      <c r="D61" s="1249"/>
      <c r="E61" s="1249"/>
      <c r="H61" s="1249"/>
      <c r="I61" s="1249"/>
      <c r="J61" s="1249"/>
      <c r="K61" s="1249"/>
      <c r="L61" s="1253"/>
    </row>
    <row r="62" spans="1:12">
      <c r="A62" s="1248"/>
      <c r="B62" s="1249"/>
      <c r="C62" s="1249"/>
      <c r="D62" s="1249"/>
      <c r="E62" s="1249"/>
      <c r="F62" s="1249"/>
      <c r="G62" s="1249"/>
      <c r="H62" s="1249"/>
      <c r="I62" s="1249"/>
      <c r="J62" s="1249"/>
      <c r="K62" s="1249"/>
      <c r="L62" s="1250"/>
    </row>
    <row r="63" spans="1:12">
      <c r="A63" s="1251"/>
      <c r="L63" s="1253"/>
    </row>
    <row r="64" spans="1:12">
      <c r="A64" s="1256"/>
      <c r="B64" s="1257"/>
      <c r="C64" s="1257"/>
      <c r="D64" s="1257"/>
      <c r="E64" s="1257"/>
      <c r="F64" s="1257"/>
      <c r="G64" s="1257"/>
      <c r="H64" s="1257"/>
      <c r="I64" s="1257"/>
      <c r="J64" s="1257"/>
      <c r="K64" s="1257"/>
      <c r="L64" s="1258"/>
    </row>
    <row r="65" spans="1:12">
      <c r="A65" s="1259"/>
      <c r="B65" s="1259"/>
      <c r="C65" s="1259"/>
      <c r="D65" s="1259"/>
      <c r="E65" s="1259"/>
      <c r="F65" s="1259"/>
      <c r="G65" s="1259"/>
      <c r="H65" s="1259"/>
      <c r="I65" s="1259"/>
      <c r="J65" s="1259"/>
      <c r="K65" s="1259"/>
      <c r="L65" s="1259"/>
    </row>
    <row r="66" spans="1:12">
      <c r="A66" s="1259"/>
      <c r="B66" s="1259"/>
      <c r="C66" s="1259"/>
      <c r="D66" s="1259"/>
      <c r="E66" s="1259"/>
      <c r="F66" s="1259"/>
      <c r="G66" s="1259"/>
      <c r="H66" s="1259"/>
      <c r="I66" s="1259"/>
      <c r="J66" s="1259"/>
      <c r="K66" s="1259"/>
      <c r="L66" s="1259"/>
    </row>
    <row r="67" spans="1:12">
      <c r="A67" s="1260"/>
      <c r="B67" s="1261"/>
      <c r="C67" s="1261"/>
      <c r="D67" s="1261"/>
      <c r="E67" s="1261"/>
      <c r="F67" s="1261"/>
      <c r="G67" s="1261"/>
      <c r="H67" s="1261"/>
      <c r="I67" s="1261"/>
      <c r="J67" s="1261"/>
      <c r="K67" s="1261"/>
      <c r="L67" s="1262"/>
    </row>
    <row r="68" spans="1:12">
      <c r="A68" s="1260"/>
      <c r="B68" s="1261"/>
      <c r="C68" s="1261"/>
      <c r="D68" s="1261"/>
      <c r="E68" s="1261"/>
      <c r="F68" s="1261"/>
      <c r="G68" s="1261"/>
      <c r="H68" s="1261"/>
      <c r="I68" s="1261"/>
      <c r="J68" s="1261"/>
      <c r="K68" s="1261"/>
      <c r="L68" s="1262"/>
    </row>
    <row r="69" spans="1:12">
      <c r="A69" s="1260"/>
      <c r="B69" s="1261"/>
      <c r="C69" s="1261"/>
      <c r="D69" s="1261"/>
      <c r="E69" s="1261"/>
      <c r="F69" s="1261"/>
      <c r="G69" s="1261"/>
      <c r="H69" s="1261"/>
      <c r="I69" s="1261"/>
      <c r="J69" s="1261"/>
      <c r="K69" s="1261"/>
      <c r="L69" s="1262"/>
    </row>
    <row r="70" spans="1:12">
      <c r="A70" s="1260"/>
      <c r="B70" s="1261"/>
      <c r="C70" s="1261"/>
      <c r="D70" s="1261"/>
      <c r="E70" s="1261"/>
      <c r="F70" s="1261"/>
      <c r="G70" s="1261"/>
      <c r="H70" s="1261"/>
      <c r="I70" s="1261"/>
      <c r="J70" s="1261"/>
      <c r="K70" s="1261"/>
      <c r="L70" s="1262"/>
    </row>
    <row r="71" spans="1:12">
      <c r="A71" s="1260"/>
      <c r="B71" s="1261"/>
      <c r="C71" s="1261"/>
      <c r="D71" s="1261"/>
      <c r="E71" s="1261"/>
      <c r="F71" s="1261"/>
      <c r="G71" s="1261"/>
      <c r="H71" s="1261"/>
      <c r="I71" s="1261"/>
      <c r="J71" s="1261"/>
      <c r="K71" s="1261"/>
      <c r="L71" s="1262"/>
    </row>
    <row r="72" spans="1:12">
      <c r="A72" s="1260"/>
      <c r="B72" s="1261"/>
      <c r="C72" s="1261"/>
      <c r="D72" s="1261"/>
      <c r="E72" s="1261"/>
      <c r="F72" s="1261"/>
      <c r="G72" s="1261"/>
      <c r="H72" s="1261"/>
      <c r="I72" s="1261"/>
      <c r="J72" s="1261"/>
      <c r="K72" s="1261"/>
      <c r="L72" s="1262"/>
    </row>
    <row r="73" spans="1:12">
      <c r="A73" s="1260"/>
      <c r="B73" s="1261"/>
      <c r="C73" s="1261"/>
      <c r="D73" s="1261"/>
      <c r="E73" s="1261"/>
      <c r="F73" s="1261"/>
      <c r="G73" s="1261"/>
      <c r="H73" s="1261"/>
      <c r="I73" s="1261"/>
      <c r="J73" s="1261"/>
      <c r="K73" s="1261"/>
      <c r="L73" s="1262"/>
    </row>
    <row r="74" spans="1:12">
      <c r="A74" s="1260"/>
      <c r="B74" s="1261"/>
      <c r="C74" s="1261"/>
      <c r="D74" s="1261"/>
      <c r="E74" s="1261"/>
      <c r="F74" s="1261"/>
      <c r="G74" s="1261"/>
      <c r="H74" s="1261"/>
      <c r="I74" s="1261"/>
      <c r="J74" s="1261"/>
      <c r="K74" s="1261"/>
      <c r="L74" s="1262"/>
    </row>
    <row r="75" spans="1:12">
      <c r="A75" s="1260"/>
      <c r="B75" s="1261"/>
      <c r="C75" s="1261"/>
      <c r="D75" s="1261"/>
      <c r="E75" s="1261"/>
      <c r="F75" s="1261"/>
      <c r="G75" s="1261"/>
      <c r="H75" s="1261"/>
      <c r="I75" s="1261"/>
      <c r="J75" s="1261"/>
      <c r="K75" s="1261"/>
      <c r="L75" s="1262"/>
    </row>
    <row r="76" spans="1:12">
      <c r="A76" s="1260"/>
      <c r="B76" s="1261"/>
      <c r="C76" s="1261"/>
      <c r="D76" s="1261"/>
      <c r="E76" s="1261"/>
      <c r="F76" s="1261"/>
      <c r="G76" s="1261"/>
      <c r="H76" s="1261"/>
      <c r="I76" s="1261"/>
      <c r="J76" s="1261"/>
      <c r="K76" s="1261"/>
      <c r="L76" s="1262"/>
    </row>
    <row r="77" spans="1:12">
      <c r="A77" s="1260"/>
      <c r="B77" s="1261"/>
      <c r="C77" s="1261"/>
      <c r="D77" s="1261"/>
      <c r="E77" s="1261"/>
      <c r="F77" s="1261"/>
      <c r="G77" s="1261"/>
      <c r="H77" s="1261"/>
      <c r="I77" s="1261"/>
      <c r="J77" s="1261"/>
      <c r="K77" s="1261"/>
      <c r="L77" s="1262"/>
    </row>
    <row r="78" spans="1:12">
      <c r="A78" s="1260"/>
      <c r="B78" s="1261"/>
      <c r="C78" s="1261"/>
      <c r="D78" s="1261"/>
      <c r="E78" s="1261"/>
      <c r="F78" s="1261"/>
      <c r="G78" s="1261"/>
      <c r="H78" s="1261"/>
      <c r="I78" s="1261"/>
      <c r="J78" s="1261"/>
      <c r="K78" s="1261"/>
      <c r="L78" s="1262"/>
    </row>
    <row r="79" spans="1:12">
      <c r="A79" s="1260"/>
      <c r="B79" s="1261"/>
      <c r="C79" s="1261"/>
      <c r="D79" s="1261"/>
      <c r="E79" s="1261"/>
      <c r="F79" s="1261"/>
      <c r="G79" s="1261"/>
      <c r="H79" s="1261"/>
      <c r="I79" s="1261"/>
      <c r="J79" s="1261"/>
      <c r="K79" s="1261"/>
      <c r="L79" s="1262"/>
    </row>
    <row r="80" spans="1:12">
      <c r="A80" s="1263"/>
      <c r="B80" s="1264"/>
      <c r="C80" s="1264"/>
      <c r="D80" s="1264"/>
      <c r="E80" s="1264"/>
      <c r="F80" s="1264"/>
      <c r="G80" s="1264"/>
      <c r="H80" s="1264"/>
      <c r="I80" s="1264"/>
      <c r="J80" s="1264"/>
      <c r="K80" s="1264"/>
      <c r="L80" s="1265"/>
    </row>
    <row r="81" spans="1:12">
      <c r="A81" s="1263"/>
      <c r="B81" s="1264"/>
      <c r="C81" s="1266"/>
      <c r="D81" s="1266"/>
      <c r="E81" s="1266"/>
      <c r="F81" s="1264"/>
      <c r="G81" s="1264"/>
      <c r="H81" s="1264"/>
      <c r="I81" s="1264"/>
      <c r="J81" s="1264"/>
      <c r="K81" s="1267"/>
      <c r="L81" s="1268"/>
    </row>
    <row r="82" spans="1:12" ht="15.75">
      <c r="A82" s="1269"/>
      <c r="B82" s="1264"/>
      <c r="C82" s="1264"/>
      <c r="D82" s="1264"/>
      <c r="E82" s="1264"/>
      <c r="F82" s="1270"/>
      <c r="G82" s="1264"/>
      <c r="H82" s="1264"/>
      <c r="I82" s="1264"/>
      <c r="J82" s="1264"/>
      <c r="K82" s="1264"/>
      <c r="L82" s="1265"/>
    </row>
    <row r="83" spans="1:12">
      <c r="A83" s="1263"/>
      <c r="B83" s="1264"/>
      <c r="C83" s="1264"/>
      <c r="D83" s="1264"/>
      <c r="E83" s="1271"/>
      <c r="F83" s="1264"/>
      <c r="G83" s="1264"/>
      <c r="H83" s="1264"/>
      <c r="I83" s="1264"/>
      <c r="J83" s="1264"/>
      <c r="K83" s="1267"/>
      <c r="L83" s="1268"/>
    </row>
    <row r="84" spans="1:12">
      <c r="A84" s="1263"/>
      <c r="B84" s="1264"/>
      <c r="C84" s="1264"/>
      <c r="D84" s="1271"/>
      <c r="E84" s="1264"/>
      <c r="F84" s="1264"/>
      <c r="G84" s="1264"/>
      <c r="H84" s="1264"/>
      <c r="I84" s="1264"/>
      <c r="J84" s="1264"/>
      <c r="K84" s="1264"/>
      <c r="L84" s="1265"/>
    </row>
    <row r="85" spans="1:12">
      <c r="A85" s="1272"/>
      <c r="B85" s="1272"/>
      <c r="C85" s="1272"/>
      <c r="D85" s="1272"/>
      <c r="E85" s="1272"/>
      <c r="F85" s="1272"/>
      <c r="G85" s="1272"/>
      <c r="H85" s="1272"/>
      <c r="I85" s="1272"/>
      <c r="J85" s="1272"/>
      <c r="K85" s="1273"/>
      <c r="L85" s="1274"/>
    </row>
    <row r="86" spans="1:12">
      <c r="A86" s="1275"/>
      <c r="B86" s="1276"/>
      <c r="C86" s="1276"/>
      <c r="D86" s="1276"/>
      <c r="E86" s="1276"/>
      <c r="F86" s="1276"/>
      <c r="G86" s="1276"/>
      <c r="H86" s="1276"/>
      <c r="I86" s="1276"/>
      <c r="J86" s="1276"/>
      <c r="K86" s="1276"/>
      <c r="L86" s="1262"/>
    </row>
    <row r="87" spans="1:12">
      <c r="A87" s="1277"/>
      <c r="B87" s="1277"/>
      <c r="C87" s="1277"/>
      <c r="D87" s="1277"/>
      <c r="E87" s="1277"/>
      <c r="F87" s="1277"/>
      <c r="G87" s="1277"/>
      <c r="H87" s="1277"/>
      <c r="I87" s="1277"/>
      <c r="J87" s="1277"/>
      <c r="K87" s="1256"/>
      <c r="L87" s="1278"/>
    </row>
    <row r="88" spans="1:12">
      <c r="A88" s="1275"/>
      <c r="B88" s="1276"/>
      <c r="C88" s="1276"/>
      <c r="D88" s="1276"/>
      <c r="E88" s="1276"/>
      <c r="F88" s="1276"/>
      <c r="G88" s="1276"/>
      <c r="H88" s="1276"/>
      <c r="I88" s="1276"/>
      <c r="J88" s="1276"/>
      <c r="K88" s="1276"/>
      <c r="L88" s="1279"/>
    </row>
    <row r="89" spans="1:12">
      <c r="A89" s="1275"/>
      <c r="B89" s="1276"/>
      <c r="C89" s="1276"/>
      <c r="D89" s="1276"/>
      <c r="E89" s="1280"/>
      <c r="F89" s="1276"/>
      <c r="G89" s="1276"/>
      <c r="H89" s="1276"/>
      <c r="I89" s="1276"/>
      <c r="J89" s="1276"/>
      <c r="K89" s="1276"/>
      <c r="L89" s="1279"/>
    </row>
    <row r="90" spans="1:12">
      <c r="A90" s="1275"/>
      <c r="B90" s="1276"/>
      <c r="C90" s="1276"/>
      <c r="D90" s="1276"/>
      <c r="E90" s="1280"/>
      <c r="F90" s="1276"/>
      <c r="G90" s="1276"/>
      <c r="H90" s="1276"/>
      <c r="I90" s="1276"/>
      <c r="J90" s="1276"/>
      <c r="K90" s="1276"/>
      <c r="L90" s="1279"/>
    </row>
    <row r="91" spans="1:12">
      <c r="A91" s="1275"/>
      <c r="B91" s="1276"/>
      <c r="C91" s="1276"/>
      <c r="D91" s="1280"/>
      <c r="E91" s="1276"/>
      <c r="F91" s="1276"/>
      <c r="G91" s="1276"/>
      <c r="H91" s="1276"/>
      <c r="I91" s="1276"/>
      <c r="J91" s="1276"/>
      <c r="K91" s="1276"/>
      <c r="L91" s="1279"/>
    </row>
    <row r="92" spans="1:12">
      <c r="A92" s="1281"/>
      <c r="B92" s="1282"/>
      <c r="C92" s="1282"/>
      <c r="D92" s="1282"/>
      <c r="E92" s="1282"/>
      <c r="F92" s="1282"/>
      <c r="G92" s="1282"/>
      <c r="H92" s="1282"/>
      <c r="I92" s="1282"/>
      <c r="J92" s="1282"/>
      <c r="K92" s="1282"/>
      <c r="L92" s="1283"/>
    </row>
    <row r="93" spans="1:12">
      <c r="A93" s="1275"/>
      <c r="B93" s="1276"/>
      <c r="C93" s="1276"/>
      <c r="D93" s="1276"/>
      <c r="E93" s="1276"/>
      <c r="F93" s="1276"/>
      <c r="G93" s="1276"/>
      <c r="H93" s="1276"/>
      <c r="I93" s="1276"/>
      <c r="J93" s="1276"/>
      <c r="K93" s="1276"/>
      <c r="L93" s="1279"/>
    </row>
    <row r="94" spans="1:12">
      <c r="A94" s="1281"/>
      <c r="B94" s="1282"/>
      <c r="C94" s="1282"/>
      <c r="D94" s="1282"/>
      <c r="E94" s="1282"/>
      <c r="F94" s="1282"/>
      <c r="G94" s="1282"/>
      <c r="H94" s="1282"/>
      <c r="I94" s="1282"/>
      <c r="J94" s="1282"/>
      <c r="K94" s="1282"/>
      <c r="L94" s="1283"/>
    </row>
    <row r="95" spans="1:12">
      <c r="A95" s="1275"/>
      <c r="B95" s="1276"/>
      <c r="C95" s="1276"/>
      <c r="D95" s="1280"/>
      <c r="E95" s="1276"/>
      <c r="F95" s="1276"/>
      <c r="G95" s="1276"/>
      <c r="H95" s="1276"/>
      <c r="I95" s="1276"/>
      <c r="J95" s="1276"/>
      <c r="K95" s="1276"/>
      <c r="L95" s="1279"/>
    </row>
    <row r="96" spans="1:12">
      <c r="A96" s="1281"/>
      <c r="B96" s="1282"/>
      <c r="C96" s="1282"/>
      <c r="D96" s="1282"/>
      <c r="E96" s="1282"/>
      <c r="F96" s="1282"/>
      <c r="G96" s="1282"/>
      <c r="H96" s="1282"/>
      <c r="I96" s="1282"/>
      <c r="J96" s="1282"/>
      <c r="K96" s="1282"/>
      <c r="L96" s="1283"/>
    </row>
    <row r="97" spans="1:12">
      <c r="A97" s="1281"/>
      <c r="B97" s="1282"/>
      <c r="C97" s="1282"/>
      <c r="D97" s="1282"/>
      <c r="E97" s="1282"/>
      <c r="F97" s="1282"/>
      <c r="G97" s="1282"/>
      <c r="H97" s="1282"/>
      <c r="I97" s="1282"/>
      <c r="J97" s="1282"/>
      <c r="K97" s="1282"/>
      <c r="L97" s="1283"/>
    </row>
    <row r="98" spans="1:12">
      <c r="A98" s="1281"/>
      <c r="B98" s="1282"/>
      <c r="C98" s="1282"/>
      <c r="D98" s="1282"/>
      <c r="E98" s="1282"/>
      <c r="F98" s="1282"/>
      <c r="G98" s="1282"/>
      <c r="H98" s="1282"/>
      <c r="I98" s="1282"/>
      <c r="J98" s="1282"/>
      <c r="K98" s="1282"/>
      <c r="L98" s="1283"/>
    </row>
    <row r="99" spans="1:12">
      <c r="A99" s="1281"/>
      <c r="B99" s="1282"/>
      <c r="C99" s="1282"/>
      <c r="D99" s="1282"/>
      <c r="E99" s="1282"/>
      <c r="F99" s="1282"/>
      <c r="G99" s="1282"/>
      <c r="H99" s="1282"/>
      <c r="I99" s="1282"/>
      <c r="J99" s="1282"/>
      <c r="K99" s="1282"/>
      <c r="L99" s="1283"/>
    </row>
    <row r="100" spans="1:12">
      <c r="A100" s="1281"/>
      <c r="B100" s="1282"/>
      <c r="C100" s="1282"/>
      <c r="D100" s="1282"/>
      <c r="E100" s="1282"/>
      <c r="F100" s="1282"/>
      <c r="G100" s="1282"/>
      <c r="H100" s="1282"/>
      <c r="I100" s="1282"/>
      <c r="J100" s="1282"/>
      <c r="K100" s="1282"/>
      <c r="L100" s="1283"/>
    </row>
    <row r="101" spans="1:12">
      <c r="A101" s="1281"/>
      <c r="B101" s="1282"/>
      <c r="C101" s="1282"/>
      <c r="D101" s="1282"/>
      <c r="E101" s="1282"/>
      <c r="F101" s="1282"/>
      <c r="G101" s="1282"/>
      <c r="H101" s="1282"/>
      <c r="I101" s="1282"/>
      <c r="J101" s="1282"/>
      <c r="K101" s="1282"/>
      <c r="L101" s="1283"/>
    </row>
    <row r="102" spans="1:12">
      <c r="A102" s="1281"/>
      <c r="B102" s="1282"/>
      <c r="C102" s="1282"/>
      <c r="D102" s="1282"/>
      <c r="E102" s="1282"/>
      <c r="F102" s="1282"/>
      <c r="G102" s="1282"/>
      <c r="H102" s="1282"/>
      <c r="I102" s="1282"/>
      <c r="J102" s="1282"/>
      <c r="K102" s="1282"/>
      <c r="L102" s="1283"/>
    </row>
    <row r="103" spans="1:12">
      <c r="A103" s="1281"/>
      <c r="B103" s="1282"/>
      <c r="C103" s="1282"/>
      <c r="D103" s="1282"/>
      <c r="E103" s="1282"/>
      <c r="F103" s="1282"/>
      <c r="G103" s="1282"/>
      <c r="H103" s="1282"/>
      <c r="I103" s="1282"/>
      <c r="J103" s="1282"/>
      <c r="K103" s="1282"/>
      <c r="L103" s="1283"/>
    </row>
    <row r="104" spans="1:12">
      <c r="A104" s="1281"/>
      <c r="B104" s="1282"/>
      <c r="C104" s="1282"/>
      <c r="D104" s="1282"/>
      <c r="E104" s="1282"/>
      <c r="F104" s="1282"/>
      <c r="G104" s="1282"/>
      <c r="H104" s="1282"/>
      <c r="I104" s="1282"/>
      <c r="J104" s="1282"/>
      <c r="K104" s="1282"/>
      <c r="L104" s="1283"/>
    </row>
    <row r="105" spans="1:12">
      <c r="A105" s="1281"/>
      <c r="B105" s="1282"/>
      <c r="C105" s="1282"/>
      <c r="D105" s="1282"/>
      <c r="E105" s="1282"/>
      <c r="F105" s="1282"/>
      <c r="G105" s="1282"/>
      <c r="H105" s="1282"/>
      <c r="I105" s="1282"/>
      <c r="J105" s="1282"/>
      <c r="K105" s="1282"/>
      <c r="L105" s="1283"/>
    </row>
    <row r="106" spans="1:12">
      <c r="A106" s="1281"/>
      <c r="B106" s="1282"/>
      <c r="C106" s="1282"/>
      <c r="D106" s="1282"/>
      <c r="E106" s="1282"/>
      <c r="F106" s="1282"/>
      <c r="G106" s="1282"/>
      <c r="H106" s="1282"/>
      <c r="I106" s="1282"/>
      <c r="J106" s="1282"/>
      <c r="K106" s="1282"/>
      <c r="L106" s="1283"/>
    </row>
    <row r="107" spans="1:12">
      <c r="A107" s="1281"/>
      <c r="B107" s="1282"/>
      <c r="C107" s="1282"/>
      <c r="D107" s="1282"/>
      <c r="E107" s="1282"/>
      <c r="F107" s="1282"/>
      <c r="G107" s="1282"/>
      <c r="H107" s="1282"/>
      <c r="I107" s="1282"/>
      <c r="J107" s="1282"/>
      <c r="K107" s="1282"/>
      <c r="L107" s="1283"/>
    </row>
    <row r="108" spans="1:12">
      <c r="A108" s="1281"/>
      <c r="B108" s="1282"/>
      <c r="C108" s="1282"/>
      <c r="D108" s="1282"/>
      <c r="E108" s="1282"/>
      <c r="F108" s="1282"/>
      <c r="G108" s="1282"/>
      <c r="H108" s="1282"/>
      <c r="I108" s="1282"/>
      <c r="J108" s="1282"/>
      <c r="K108" s="1282"/>
      <c r="L108" s="1283"/>
    </row>
    <row r="109" spans="1:12">
      <c r="A109" s="1281"/>
      <c r="B109" s="1282"/>
      <c r="C109" s="1282"/>
      <c r="D109" s="1282"/>
      <c r="E109" s="1282"/>
      <c r="F109" s="1282"/>
      <c r="G109" s="1282"/>
      <c r="H109" s="1282"/>
      <c r="I109" s="1282"/>
      <c r="J109" s="1282"/>
      <c r="K109" s="1282"/>
      <c r="L109" s="1283"/>
    </row>
    <row r="110" spans="1:12">
      <c r="A110" s="1281"/>
      <c r="B110" s="1282"/>
      <c r="C110" s="1282"/>
      <c r="D110" s="1282"/>
      <c r="E110" s="1282"/>
      <c r="F110" s="1282"/>
      <c r="G110" s="1282"/>
      <c r="H110" s="1282"/>
      <c r="I110" s="1282"/>
      <c r="J110" s="1282"/>
      <c r="K110" s="1282"/>
      <c r="L110" s="1283"/>
    </row>
    <row r="111" spans="1:12">
      <c r="A111" s="1281"/>
      <c r="B111" s="1282"/>
      <c r="C111" s="1282"/>
      <c r="D111" s="1282"/>
      <c r="E111" s="1282"/>
      <c r="F111" s="1282"/>
      <c r="G111" s="1282"/>
      <c r="H111" s="1282"/>
      <c r="I111" s="1282"/>
      <c r="J111" s="1282"/>
      <c r="K111" s="1282"/>
      <c r="L111" s="1283"/>
    </row>
    <row r="112" spans="1:12">
      <c r="A112" s="1281"/>
      <c r="B112" s="1282"/>
      <c r="C112" s="1282"/>
      <c r="D112" s="1282"/>
      <c r="E112" s="1282"/>
      <c r="F112" s="1282"/>
      <c r="G112" s="1282"/>
      <c r="H112" s="1282"/>
      <c r="I112" s="1282"/>
      <c r="J112" s="1282"/>
      <c r="K112" s="1282"/>
      <c r="L112" s="1283"/>
    </row>
    <row r="113" spans="1:12">
      <c r="A113" s="1281"/>
      <c r="B113" s="1282"/>
      <c r="C113" s="1282"/>
      <c r="D113" s="1282"/>
      <c r="E113" s="1282"/>
      <c r="F113" s="1282"/>
      <c r="G113" s="1282"/>
      <c r="H113" s="1282"/>
      <c r="I113" s="1282"/>
      <c r="J113" s="1282"/>
      <c r="K113" s="1282"/>
      <c r="L113" s="1283"/>
    </row>
    <row r="114" spans="1:12">
      <c r="A114" s="1281"/>
      <c r="B114" s="1282"/>
      <c r="C114" s="1282"/>
      <c r="D114" s="1282"/>
      <c r="E114" s="1282"/>
      <c r="F114" s="1282"/>
      <c r="G114" s="1282"/>
      <c r="H114" s="1282"/>
      <c r="I114" s="1282"/>
      <c r="J114" s="1282"/>
      <c r="K114" s="1282"/>
      <c r="L114" s="1283"/>
    </row>
    <row r="115" spans="1:12">
      <c r="A115" s="1281"/>
      <c r="B115" s="1282"/>
      <c r="C115" s="1282"/>
      <c r="D115" s="1282"/>
      <c r="E115" s="1282"/>
      <c r="F115" s="1282"/>
      <c r="G115" s="1282"/>
      <c r="H115" s="1282"/>
      <c r="I115" s="1282"/>
      <c r="J115" s="1282"/>
      <c r="K115" s="1282"/>
      <c r="L115" s="1283"/>
    </row>
    <row r="116" spans="1:12">
      <c r="A116" s="1281"/>
      <c r="B116" s="1282"/>
      <c r="C116" s="1282"/>
      <c r="D116" s="1282"/>
      <c r="E116" s="1282"/>
      <c r="F116" s="1282"/>
      <c r="G116" s="1282"/>
      <c r="H116" s="1282"/>
      <c r="I116" s="1282"/>
      <c r="J116" s="1282"/>
      <c r="K116" s="1282"/>
      <c r="L116" s="1283"/>
    </row>
    <row r="117" spans="1:12">
      <c r="A117" s="1281"/>
      <c r="B117" s="1282"/>
      <c r="C117" s="1282"/>
      <c r="D117" s="1282"/>
      <c r="E117" s="1282"/>
      <c r="F117" s="1282"/>
      <c r="G117" s="1282"/>
      <c r="H117" s="1282"/>
      <c r="I117" s="1282"/>
      <c r="J117" s="1282"/>
      <c r="K117" s="1282"/>
      <c r="L117" s="1283"/>
    </row>
    <row r="118" spans="1:12">
      <c r="A118" s="1281"/>
      <c r="B118" s="1282"/>
      <c r="C118" s="1282"/>
      <c r="D118" s="1282"/>
      <c r="E118" s="1282"/>
      <c r="F118" s="1282"/>
      <c r="G118" s="1282"/>
      <c r="H118" s="1282"/>
      <c r="I118" s="1282"/>
      <c r="J118" s="1282"/>
      <c r="K118" s="1282"/>
      <c r="L118" s="1283"/>
    </row>
    <row r="119" spans="1:12">
      <c r="A119" s="1281"/>
      <c r="B119" s="1282"/>
      <c r="C119" s="1282"/>
      <c r="D119" s="1282"/>
      <c r="E119" s="1282"/>
      <c r="F119" s="1282"/>
      <c r="G119" s="1282"/>
      <c r="H119" s="1282"/>
      <c r="I119" s="1282"/>
      <c r="J119" s="1282"/>
      <c r="K119" s="1282"/>
      <c r="L119" s="1283"/>
    </row>
    <row r="120" spans="1:12">
      <c r="A120" s="1281"/>
      <c r="B120" s="1282"/>
      <c r="C120" s="1282"/>
      <c r="D120" s="1282"/>
      <c r="E120" s="1282"/>
      <c r="F120" s="1282"/>
      <c r="G120" s="1282"/>
      <c r="H120" s="1282"/>
      <c r="I120" s="1282"/>
      <c r="J120" s="1282"/>
      <c r="K120" s="1282"/>
      <c r="L120" s="1283"/>
    </row>
    <row r="121" spans="1:12">
      <c r="A121" s="1281"/>
      <c r="B121" s="1282"/>
      <c r="C121" s="1282"/>
      <c r="D121" s="1282"/>
      <c r="E121" s="1282"/>
      <c r="F121" s="1282"/>
      <c r="G121" s="1282"/>
      <c r="H121" s="1282"/>
      <c r="I121" s="1282"/>
      <c r="J121" s="1282"/>
      <c r="K121" s="1282"/>
      <c r="L121" s="1283"/>
    </row>
    <row r="122" spans="1:12">
      <c r="A122" s="1281"/>
      <c r="B122" s="1282"/>
      <c r="C122" s="1282"/>
      <c r="D122" s="1282"/>
      <c r="E122" s="1282"/>
      <c r="F122" s="1282"/>
      <c r="G122" s="1282"/>
      <c r="H122" s="1282"/>
      <c r="I122" s="1282"/>
      <c r="J122" s="1282"/>
      <c r="K122" s="1282"/>
      <c r="L122" s="1283"/>
    </row>
    <row r="123" spans="1:12">
      <c r="A123" s="1281"/>
      <c r="B123" s="1282"/>
      <c r="C123" s="1282"/>
      <c r="D123" s="1282"/>
      <c r="E123" s="1282"/>
      <c r="F123" s="1282"/>
      <c r="G123" s="1282"/>
      <c r="H123" s="1282"/>
      <c r="I123" s="1282"/>
      <c r="J123" s="1282"/>
      <c r="K123" s="1282"/>
      <c r="L123" s="1283"/>
    </row>
    <row r="124" spans="1:12">
      <c r="A124" s="1281"/>
      <c r="B124" s="1282"/>
      <c r="C124" s="1282"/>
      <c r="D124" s="1282"/>
      <c r="E124" s="1282"/>
      <c r="F124" s="1282"/>
      <c r="G124" s="1282"/>
      <c r="H124" s="1282"/>
      <c r="I124" s="1282"/>
      <c r="J124" s="1282"/>
      <c r="K124" s="1282"/>
      <c r="L124" s="1283"/>
    </row>
    <row r="125" spans="1:12">
      <c r="A125" s="1281"/>
      <c r="B125" s="1282"/>
      <c r="C125" s="1282"/>
      <c r="D125" s="1282"/>
      <c r="E125" s="1282"/>
      <c r="F125" s="1282"/>
      <c r="G125" s="1282"/>
      <c r="H125" s="1282"/>
      <c r="I125" s="1282"/>
      <c r="J125" s="1282"/>
      <c r="K125" s="1282"/>
      <c r="L125" s="1283"/>
    </row>
    <row r="126" spans="1:12">
      <c r="A126" s="1281"/>
      <c r="B126" s="1282"/>
      <c r="C126" s="1282"/>
      <c r="D126" s="1282"/>
      <c r="E126" s="1282"/>
      <c r="F126" s="1282"/>
      <c r="G126" s="1282"/>
      <c r="H126" s="1282"/>
      <c r="I126" s="1282"/>
      <c r="J126" s="1282"/>
      <c r="K126" s="1282"/>
      <c r="L126" s="1283"/>
    </row>
    <row r="127" spans="1:12">
      <c r="A127" s="1281"/>
      <c r="B127" s="1282"/>
      <c r="C127" s="1282"/>
      <c r="D127" s="1282"/>
      <c r="E127" s="1282"/>
      <c r="F127" s="1282"/>
      <c r="G127" s="1282"/>
      <c r="H127" s="1282"/>
      <c r="I127" s="1282"/>
      <c r="J127" s="1282"/>
      <c r="K127" s="1282"/>
      <c r="L127" s="1283"/>
    </row>
    <row r="128" spans="1:12">
      <c r="A128" s="1281"/>
      <c r="B128" s="1282"/>
      <c r="C128" s="1282"/>
      <c r="D128" s="1282"/>
      <c r="E128" s="1282"/>
      <c r="F128" s="1282"/>
      <c r="G128" s="1282"/>
      <c r="H128" s="1282"/>
      <c r="I128" s="1282"/>
      <c r="J128" s="1282"/>
      <c r="K128" s="1282"/>
      <c r="L128" s="1283"/>
    </row>
    <row r="129" spans="1:12">
      <c r="A129" s="1281"/>
      <c r="B129" s="1282"/>
      <c r="C129" s="1282"/>
      <c r="D129" s="1282"/>
      <c r="E129" s="1282"/>
      <c r="F129" s="1282"/>
      <c r="G129" s="1282"/>
      <c r="H129" s="1282"/>
      <c r="I129" s="1282"/>
      <c r="J129" s="1282"/>
      <c r="K129" s="1282"/>
      <c r="L129" s="1283"/>
    </row>
    <row r="130" spans="1:12">
      <c r="A130" s="1281"/>
      <c r="B130" s="1282"/>
      <c r="C130" s="1282"/>
      <c r="D130" s="1282"/>
      <c r="E130" s="1282"/>
      <c r="F130" s="1282"/>
      <c r="G130" s="1282"/>
      <c r="H130" s="1282"/>
      <c r="I130" s="1282"/>
      <c r="J130" s="1282"/>
      <c r="K130" s="1282"/>
      <c r="L130" s="1283"/>
    </row>
    <row r="131" spans="1:12">
      <c r="A131" s="1259"/>
      <c r="B131" s="1259"/>
      <c r="C131" s="1259"/>
      <c r="D131" s="1259"/>
      <c r="E131" s="1259"/>
      <c r="F131" s="1259"/>
      <c r="G131" s="1259"/>
      <c r="H131" s="1259"/>
      <c r="I131" s="1259"/>
      <c r="J131" s="1259"/>
      <c r="K131" s="1259"/>
      <c r="L131" s="1259"/>
    </row>
    <row r="132" spans="1:12">
      <c r="A132" s="1259"/>
      <c r="B132" s="1259"/>
      <c r="C132" s="1259"/>
      <c r="D132" s="1259"/>
      <c r="E132" s="1259"/>
      <c r="F132" s="1259"/>
      <c r="G132" s="1259"/>
      <c r="H132" s="1259"/>
      <c r="I132" s="1259"/>
      <c r="J132" s="1259"/>
      <c r="K132" s="1259"/>
      <c r="L132" s="1259"/>
    </row>
    <row r="133" spans="1:12">
      <c r="A133" s="1260"/>
      <c r="B133" s="1261"/>
      <c r="C133" s="1261"/>
      <c r="D133" s="1261"/>
      <c r="E133" s="1261"/>
      <c r="F133" s="1261"/>
      <c r="G133" s="1261"/>
      <c r="H133" s="1261"/>
      <c r="I133" s="1261"/>
      <c r="J133" s="1261"/>
      <c r="K133" s="1261"/>
      <c r="L133" s="1262"/>
    </row>
    <row r="134" spans="1:12">
      <c r="A134" s="1260"/>
      <c r="B134" s="1261"/>
      <c r="C134" s="1261"/>
      <c r="D134" s="1261"/>
      <c r="E134" s="1261"/>
      <c r="F134" s="1261"/>
      <c r="G134" s="1261"/>
      <c r="H134" s="1261"/>
      <c r="I134" s="1261"/>
      <c r="J134" s="1261"/>
      <c r="K134" s="1261"/>
      <c r="L134" s="1262"/>
    </row>
    <row r="135" spans="1:12">
      <c r="A135" s="1260"/>
      <c r="B135" s="1261"/>
      <c r="C135" s="1261"/>
      <c r="D135" s="1261"/>
      <c r="E135" s="1261"/>
      <c r="F135" s="1261"/>
      <c r="G135" s="1261"/>
      <c r="H135" s="1261"/>
      <c r="I135" s="1261"/>
      <c r="J135" s="1261"/>
      <c r="K135" s="1261"/>
      <c r="L135" s="1262"/>
    </row>
    <row r="136" spans="1:12">
      <c r="A136" s="1260"/>
      <c r="B136" s="1261"/>
      <c r="C136" s="1261"/>
      <c r="D136" s="1261"/>
      <c r="E136" s="1261"/>
      <c r="F136" s="1261"/>
      <c r="G136" s="1261"/>
      <c r="H136" s="1261"/>
      <c r="I136" s="1261"/>
      <c r="J136" s="1261"/>
      <c r="K136" s="1261"/>
      <c r="L136" s="1262"/>
    </row>
    <row r="137" spans="1:12">
      <c r="A137" s="1260"/>
      <c r="B137" s="1261"/>
      <c r="C137" s="1261"/>
      <c r="D137" s="1261"/>
      <c r="E137" s="1261"/>
      <c r="F137" s="1261"/>
      <c r="G137" s="1261"/>
      <c r="H137" s="1261"/>
      <c r="I137" s="1261"/>
      <c r="J137" s="1261"/>
      <c r="K137" s="1261"/>
      <c r="L137" s="1262"/>
    </row>
    <row r="138" spans="1:12">
      <c r="A138" s="1260"/>
      <c r="B138" s="1261"/>
      <c r="C138" s="1261"/>
      <c r="D138" s="1261"/>
      <c r="E138" s="1261"/>
      <c r="F138" s="1261"/>
      <c r="G138" s="1261"/>
      <c r="H138" s="1261"/>
      <c r="I138" s="1261"/>
      <c r="J138" s="1261"/>
      <c r="K138" s="1261"/>
      <c r="L138" s="1262"/>
    </row>
    <row r="139" spans="1:12">
      <c r="A139" s="1260"/>
      <c r="B139" s="1261"/>
      <c r="C139" s="1261"/>
      <c r="D139" s="1261"/>
      <c r="E139" s="1261"/>
      <c r="F139" s="1261"/>
      <c r="G139" s="1261"/>
      <c r="H139" s="1261"/>
      <c r="I139" s="1261"/>
      <c r="J139" s="1261"/>
      <c r="K139" s="1261"/>
      <c r="L139" s="1262"/>
    </row>
    <row r="140" spans="1:12">
      <c r="A140" s="1260"/>
      <c r="B140" s="1261"/>
      <c r="C140" s="1261"/>
      <c r="D140" s="1261"/>
      <c r="E140" s="1261"/>
      <c r="F140" s="1261"/>
      <c r="G140" s="1261"/>
      <c r="H140" s="1261"/>
      <c r="I140" s="1261"/>
      <c r="J140" s="1261"/>
      <c r="K140" s="1261"/>
      <c r="L140" s="1262"/>
    </row>
    <row r="141" spans="1:12">
      <c r="A141" s="1260"/>
      <c r="B141" s="1261"/>
      <c r="C141" s="1261"/>
      <c r="D141" s="1261"/>
      <c r="E141" s="1261"/>
      <c r="F141" s="1261"/>
      <c r="G141" s="1261"/>
      <c r="H141" s="1261"/>
      <c r="I141" s="1261"/>
      <c r="J141" s="1261"/>
      <c r="K141" s="1261"/>
      <c r="L141" s="1262"/>
    </row>
    <row r="142" spans="1:12">
      <c r="A142" s="1260"/>
      <c r="B142" s="1261"/>
      <c r="C142" s="1261"/>
      <c r="D142" s="1261"/>
      <c r="E142" s="1261"/>
      <c r="F142" s="1261"/>
      <c r="G142" s="1261"/>
      <c r="H142" s="1261"/>
      <c r="I142" s="1261"/>
      <c r="J142" s="1261"/>
      <c r="K142" s="1261"/>
      <c r="L142" s="1262"/>
    </row>
    <row r="143" spans="1:12">
      <c r="A143" s="1260"/>
      <c r="B143" s="1261"/>
      <c r="C143" s="1261"/>
      <c r="D143" s="1261"/>
      <c r="E143" s="1261"/>
      <c r="F143" s="1261"/>
      <c r="G143" s="1261"/>
      <c r="H143" s="1261"/>
      <c r="I143" s="1261"/>
      <c r="J143" s="1261"/>
      <c r="K143" s="1261"/>
      <c r="L143" s="1262"/>
    </row>
    <row r="144" spans="1:12">
      <c r="A144" s="1260"/>
      <c r="B144" s="1261"/>
      <c r="C144" s="1261"/>
      <c r="D144" s="1261"/>
      <c r="E144" s="1261"/>
      <c r="F144" s="1261"/>
      <c r="G144" s="1261"/>
      <c r="H144" s="1261"/>
      <c r="I144" s="1261"/>
      <c r="J144" s="1261"/>
      <c r="K144" s="1261"/>
      <c r="L144" s="1262"/>
    </row>
    <row r="145" spans="1:12">
      <c r="A145" s="1260"/>
      <c r="B145" s="1261"/>
      <c r="C145" s="1261"/>
      <c r="D145" s="1261"/>
      <c r="E145" s="1261"/>
      <c r="F145" s="1261"/>
      <c r="G145" s="1261"/>
      <c r="H145" s="1261"/>
      <c r="I145" s="1261"/>
      <c r="J145" s="1261"/>
      <c r="K145" s="1261"/>
      <c r="L145" s="1262"/>
    </row>
    <row r="146" spans="1:12">
      <c r="A146" s="1263"/>
      <c r="B146" s="1264"/>
      <c r="C146" s="1264"/>
      <c r="D146" s="1264"/>
      <c r="E146" s="1264"/>
      <c r="F146" s="1264"/>
      <c r="G146" s="1264"/>
      <c r="H146" s="1264"/>
      <c r="I146" s="1264"/>
      <c r="J146" s="1264"/>
      <c r="K146" s="1264"/>
      <c r="L146" s="1265"/>
    </row>
    <row r="147" spans="1:12">
      <c r="A147" s="1263"/>
      <c r="B147" s="1264"/>
      <c r="C147" s="1266"/>
      <c r="D147" s="1266"/>
      <c r="E147" s="1266"/>
      <c r="F147" s="1264"/>
      <c r="G147" s="1264"/>
      <c r="H147" s="1264"/>
      <c r="I147" s="1264"/>
      <c r="J147" s="1264"/>
      <c r="K147" s="1267"/>
      <c r="L147" s="1268"/>
    </row>
    <row r="148" spans="1:12" ht="15.75">
      <c r="A148" s="1269"/>
      <c r="B148" s="1264"/>
      <c r="C148" s="1264"/>
      <c r="D148" s="1264"/>
      <c r="E148" s="1264"/>
      <c r="F148" s="1270"/>
      <c r="G148" s="1264"/>
      <c r="H148" s="1264"/>
      <c r="I148" s="1264"/>
      <c r="J148" s="1264"/>
      <c r="K148" s="1264"/>
      <c r="L148" s="1265"/>
    </row>
    <row r="149" spans="1:12">
      <c r="A149" s="1263"/>
      <c r="B149" s="1264"/>
      <c r="C149" s="1264"/>
      <c r="D149" s="1264"/>
      <c r="E149" s="1271"/>
      <c r="F149" s="1264"/>
      <c r="G149" s="1264"/>
      <c r="H149" s="1264"/>
      <c r="I149" s="1264"/>
      <c r="J149" s="1264"/>
      <c r="K149" s="1267"/>
      <c r="L149" s="1268"/>
    </row>
    <row r="150" spans="1:12">
      <c r="A150" s="1263"/>
      <c r="B150" s="1264"/>
      <c r="C150" s="1264"/>
      <c r="D150" s="1271"/>
      <c r="E150" s="1264"/>
      <c r="F150" s="1264"/>
      <c r="G150" s="1264"/>
      <c r="H150" s="1264"/>
      <c r="I150" s="1264"/>
      <c r="J150" s="1264"/>
      <c r="K150" s="1264"/>
      <c r="L150" s="1265"/>
    </row>
    <row r="151" spans="1:12">
      <c r="A151" s="1272"/>
      <c r="B151" s="1272"/>
      <c r="C151" s="1272"/>
      <c r="D151" s="1272"/>
      <c r="E151" s="1272"/>
      <c r="F151" s="1272"/>
      <c r="G151" s="1272"/>
      <c r="H151" s="1272"/>
      <c r="I151" s="1272"/>
      <c r="J151" s="1272"/>
      <c r="K151" s="1273"/>
      <c r="L151" s="1274"/>
    </row>
    <row r="152" spans="1:12">
      <c r="A152" s="1275"/>
      <c r="B152" s="1276"/>
      <c r="C152" s="1276"/>
      <c r="D152" s="1276"/>
      <c r="E152" s="1276"/>
      <c r="F152" s="1276"/>
      <c r="G152" s="1276"/>
      <c r="H152" s="1276"/>
      <c r="I152" s="1276"/>
      <c r="J152" s="1276"/>
      <c r="K152" s="1276"/>
      <c r="L152" s="1262"/>
    </row>
    <row r="153" spans="1:12">
      <c r="A153" s="1277"/>
      <c r="B153" s="1277"/>
      <c r="C153" s="1277"/>
      <c r="D153" s="1277"/>
      <c r="E153" s="1277"/>
      <c r="F153" s="1277"/>
      <c r="G153" s="1277"/>
      <c r="H153" s="1277"/>
      <c r="I153" s="1277"/>
      <c r="J153" s="1277"/>
      <c r="K153" s="1256"/>
      <c r="L153" s="1278"/>
    </row>
    <row r="154" spans="1:12">
      <c r="A154" s="1275"/>
      <c r="B154" s="1276"/>
      <c r="C154" s="1276"/>
      <c r="D154" s="1276"/>
      <c r="E154" s="1276"/>
      <c r="F154" s="1276"/>
      <c r="G154" s="1276"/>
      <c r="H154" s="1276"/>
      <c r="I154" s="1276"/>
      <c r="J154" s="1276"/>
      <c r="K154" s="1276"/>
      <c r="L154" s="1279"/>
    </row>
    <row r="155" spans="1:12">
      <c r="A155" s="1275"/>
      <c r="B155" s="1276"/>
      <c r="C155" s="1276"/>
      <c r="D155" s="1276"/>
      <c r="E155" s="1280"/>
      <c r="F155" s="1276"/>
      <c r="G155" s="1276"/>
      <c r="H155" s="1276"/>
      <c r="I155" s="1276"/>
      <c r="J155" s="1276"/>
      <c r="K155" s="1276"/>
      <c r="L155" s="1279"/>
    </row>
    <row r="156" spans="1:12">
      <c r="A156" s="1275"/>
      <c r="B156" s="1276"/>
      <c r="C156" s="1276"/>
      <c r="D156" s="1276"/>
      <c r="E156" s="1280"/>
      <c r="F156" s="1276"/>
      <c r="G156" s="1276"/>
      <c r="H156" s="1276"/>
      <c r="I156" s="1276"/>
      <c r="J156" s="1276"/>
      <c r="K156" s="1276"/>
      <c r="L156" s="1279"/>
    </row>
    <row r="157" spans="1:12">
      <c r="A157" s="1275"/>
      <c r="B157" s="1276"/>
      <c r="C157" s="1276"/>
      <c r="D157" s="1280"/>
      <c r="E157" s="1276"/>
      <c r="F157" s="1276"/>
      <c r="G157" s="1276"/>
      <c r="H157" s="1276"/>
      <c r="I157" s="1276"/>
      <c r="J157" s="1276"/>
      <c r="K157" s="1276"/>
      <c r="L157" s="1279"/>
    </row>
    <row r="158" spans="1:12">
      <c r="A158" s="1281"/>
      <c r="B158" s="1282"/>
      <c r="C158" s="1282"/>
      <c r="D158" s="1282"/>
      <c r="E158" s="1282"/>
      <c r="F158" s="1282"/>
      <c r="G158" s="1282"/>
      <c r="H158" s="1282"/>
      <c r="I158" s="1282"/>
      <c r="J158" s="1282"/>
      <c r="K158" s="1282"/>
      <c r="L158" s="1283"/>
    </row>
    <row r="159" spans="1:12">
      <c r="A159" s="1275"/>
      <c r="B159" s="1276"/>
      <c r="C159" s="1276"/>
      <c r="D159" s="1276"/>
      <c r="E159" s="1276"/>
      <c r="F159" s="1276"/>
      <c r="G159" s="1276"/>
      <c r="H159" s="1276"/>
      <c r="I159" s="1276"/>
      <c r="J159" s="1276"/>
      <c r="K159" s="1276"/>
      <c r="L159" s="1279"/>
    </row>
    <row r="160" spans="1:12">
      <c r="A160" s="1281"/>
      <c r="B160" s="1282"/>
      <c r="C160" s="1282"/>
      <c r="D160" s="1282"/>
      <c r="E160" s="1282"/>
      <c r="F160" s="1282"/>
      <c r="G160" s="1282"/>
      <c r="H160" s="1282"/>
      <c r="I160" s="1282"/>
      <c r="J160" s="1282"/>
      <c r="K160" s="1282"/>
      <c r="L160" s="1283"/>
    </row>
    <row r="161" spans="1:12">
      <c r="A161" s="1275"/>
      <c r="B161" s="1276"/>
      <c r="C161" s="1276"/>
      <c r="D161" s="1280"/>
      <c r="E161" s="1276"/>
      <c r="F161" s="1276"/>
      <c r="G161" s="1276"/>
      <c r="H161" s="1276"/>
      <c r="I161" s="1276"/>
      <c r="J161" s="1276"/>
      <c r="K161" s="1276"/>
      <c r="L161" s="1279"/>
    </row>
    <row r="162" spans="1:12">
      <c r="A162" s="1281"/>
      <c r="B162" s="1282"/>
      <c r="C162" s="1282"/>
      <c r="D162" s="1282"/>
      <c r="E162" s="1282"/>
      <c r="F162" s="1282"/>
      <c r="G162" s="1282"/>
      <c r="H162" s="1282"/>
      <c r="I162" s="1282"/>
      <c r="J162" s="1282"/>
      <c r="K162" s="1282"/>
      <c r="L162" s="1283"/>
    </row>
    <row r="163" spans="1:12">
      <c r="A163" s="1281"/>
      <c r="B163" s="1282"/>
      <c r="C163" s="1282"/>
      <c r="D163" s="1282"/>
      <c r="E163" s="1282"/>
      <c r="F163" s="1282"/>
      <c r="G163" s="1282"/>
      <c r="H163" s="1282"/>
      <c r="I163" s="1282"/>
      <c r="J163" s="1282"/>
      <c r="K163" s="1282"/>
      <c r="L163" s="1283"/>
    </row>
    <row r="164" spans="1:12">
      <c r="A164" s="1281"/>
      <c r="B164" s="1282"/>
      <c r="C164" s="1282"/>
      <c r="D164" s="1282"/>
      <c r="E164" s="1282"/>
      <c r="F164" s="1282"/>
      <c r="G164" s="1282"/>
      <c r="H164" s="1282"/>
      <c r="I164" s="1282"/>
      <c r="J164" s="1282"/>
      <c r="K164" s="1282"/>
      <c r="L164" s="1283"/>
    </row>
    <row r="165" spans="1:12">
      <c r="A165" s="1281"/>
      <c r="B165" s="1282"/>
      <c r="C165" s="1282"/>
      <c r="D165" s="1282"/>
      <c r="E165" s="1282"/>
      <c r="F165" s="1282"/>
      <c r="G165" s="1282"/>
      <c r="H165" s="1282"/>
      <c r="I165" s="1282"/>
      <c r="J165" s="1282"/>
      <c r="K165" s="1282"/>
      <c r="L165" s="1283"/>
    </row>
    <row r="166" spans="1:12">
      <c r="A166" s="1281"/>
      <c r="B166" s="1282"/>
      <c r="C166" s="1282"/>
      <c r="D166" s="1282"/>
      <c r="E166" s="1282"/>
      <c r="F166" s="1282"/>
      <c r="G166" s="1282"/>
      <c r="H166" s="1282"/>
      <c r="I166" s="1282"/>
      <c r="J166" s="1282"/>
      <c r="K166" s="1282"/>
      <c r="L166" s="1283"/>
    </row>
    <row r="167" spans="1:12">
      <c r="A167" s="1281"/>
      <c r="B167" s="1282"/>
      <c r="C167" s="1282"/>
      <c r="D167" s="1282"/>
      <c r="E167" s="1282"/>
      <c r="F167" s="1282"/>
      <c r="G167" s="1282"/>
      <c r="H167" s="1282"/>
      <c r="I167" s="1282"/>
      <c r="J167" s="1282"/>
      <c r="K167" s="1282"/>
      <c r="L167" s="1283"/>
    </row>
    <row r="168" spans="1:12">
      <c r="A168" s="1281"/>
      <c r="B168" s="1282"/>
      <c r="C168" s="1282"/>
      <c r="D168" s="1282"/>
      <c r="E168" s="1282"/>
      <c r="F168" s="1282"/>
      <c r="G168" s="1282"/>
      <c r="H168" s="1282"/>
      <c r="I168" s="1282"/>
      <c r="J168" s="1282"/>
      <c r="K168" s="1282"/>
      <c r="L168" s="1283"/>
    </row>
    <row r="169" spans="1:12">
      <c r="A169" s="1281"/>
      <c r="B169" s="1282"/>
      <c r="C169" s="1282"/>
      <c r="D169" s="1282"/>
      <c r="E169" s="1282"/>
      <c r="F169" s="1282"/>
      <c r="G169" s="1282"/>
      <c r="H169" s="1282"/>
      <c r="I169" s="1282"/>
      <c r="J169" s="1282"/>
      <c r="K169" s="1282"/>
      <c r="L169" s="1283"/>
    </row>
    <row r="170" spans="1:12">
      <c r="A170" s="1281"/>
      <c r="B170" s="1282"/>
      <c r="C170" s="1282"/>
      <c r="D170" s="1282"/>
      <c r="E170" s="1282"/>
      <c r="F170" s="1282"/>
      <c r="G170" s="1282"/>
      <c r="H170" s="1282"/>
      <c r="I170" s="1282"/>
      <c r="J170" s="1282"/>
      <c r="K170" s="1282"/>
      <c r="L170" s="1283"/>
    </row>
    <row r="171" spans="1:12">
      <c r="A171" s="1281"/>
      <c r="B171" s="1282"/>
      <c r="C171" s="1282"/>
      <c r="D171" s="1282"/>
      <c r="E171" s="1282"/>
      <c r="F171" s="1282"/>
      <c r="G171" s="1282"/>
      <c r="H171" s="1282"/>
      <c r="I171" s="1282"/>
      <c r="J171" s="1282"/>
      <c r="K171" s="1282"/>
      <c r="L171" s="1283"/>
    </row>
    <row r="172" spans="1:12">
      <c r="A172" s="1281"/>
      <c r="B172" s="1282"/>
      <c r="C172" s="1282"/>
      <c r="D172" s="1282"/>
      <c r="E172" s="1282"/>
      <c r="F172" s="1282"/>
      <c r="G172" s="1282"/>
      <c r="H172" s="1282"/>
      <c r="I172" s="1282"/>
      <c r="J172" s="1282"/>
      <c r="K172" s="1282"/>
      <c r="L172" s="1283"/>
    </row>
    <row r="173" spans="1:12">
      <c r="A173" s="1281"/>
      <c r="B173" s="1282"/>
      <c r="C173" s="1282"/>
      <c r="D173" s="1282"/>
      <c r="E173" s="1282"/>
      <c r="F173" s="1282"/>
      <c r="G173" s="1282"/>
      <c r="H173" s="1282"/>
      <c r="I173" s="1282"/>
      <c r="J173" s="1282"/>
      <c r="K173" s="1282"/>
      <c r="L173" s="1283"/>
    </row>
    <row r="174" spans="1:12">
      <c r="A174" s="1281"/>
      <c r="B174" s="1282"/>
      <c r="C174" s="1282"/>
      <c r="D174" s="1282"/>
      <c r="E174" s="1282"/>
      <c r="F174" s="1282"/>
      <c r="G174" s="1282"/>
      <c r="H174" s="1282"/>
      <c r="I174" s="1282"/>
      <c r="J174" s="1282"/>
      <c r="K174" s="1282"/>
      <c r="L174" s="1283"/>
    </row>
    <row r="175" spans="1:12">
      <c r="A175" s="1281"/>
      <c r="B175" s="1282"/>
      <c r="C175" s="1282"/>
      <c r="D175" s="1282"/>
      <c r="E175" s="1282"/>
      <c r="F175" s="1282"/>
      <c r="G175" s="1282"/>
      <c r="H175" s="1282"/>
      <c r="I175" s="1282"/>
      <c r="J175" s="1282"/>
      <c r="K175" s="1282"/>
      <c r="L175" s="1283"/>
    </row>
    <row r="176" spans="1:12">
      <c r="A176" s="1281"/>
      <c r="B176" s="1282"/>
      <c r="C176" s="1282"/>
      <c r="D176" s="1282"/>
      <c r="E176" s="1282"/>
      <c r="F176" s="1282"/>
      <c r="G176" s="1282"/>
      <c r="H176" s="1282"/>
      <c r="I176" s="1282"/>
      <c r="J176" s="1282"/>
      <c r="K176" s="1282"/>
      <c r="L176" s="1283"/>
    </row>
    <row r="177" spans="1:12">
      <c r="A177" s="1281"/>
      <c r="B177" s="1282"/>
      <c r="C177" s="1282"/>
      <c r="D177" s="1282"/>
      <c r="E177" s="1282"/>
      <c r="F177" s="1282"/>
      <c r="G177" s="1282"/>
      <c r="H177" s="1282"/>
      <c r="I177" s="1282"/>
      <c r="J177" s="1282"/>
      <c r="K177" s="1282"/>
      <c r="L177" s="1283"/>
    </row>
    <row r="178" spans="1:12">
      <c r="A178" s="1281"/>
      <c r="B178" s="1282"/>
      <c r="C178" s="1282"/>
      <c r="D178" s="1282"/>
      <c r="E178" s="1282"/>
      <c r="F178" s="1282"/>
      <c r="G178" s="1282"/>
      <c r="H178" s="1282"/>
      <c r="I178" s="1282"/>
      <c r="J178" s="1282"/>
      <c r="K178" s="1282"/>
      <c r="L178" s="1283"/>
    </row>
    <row r="179" spans="1:12">
      <c r="A179" s="1281"/>
      <c r="B179" s="1282"/>
      <c r="C179" s="1282"/>
      <c r="D179" s="1282"/>
      <c r="E179" s="1282"/>
      <c r="F179" s="1282"/>
      <c r="G179" s="1282"/>
      <c r="H179" s="1282"/>
      <c r="I179" s="1282"/>
      <c r="J179" s="1282"/>
      <c r="K179" s="1282"/>
      <c r="L179" s="1283"/>
    </row>
    <row r="180" spans="1:12">
      <c r="A180" s="1281"/>
      <c r="B180" s="1282"/>
      <c r="C180" s="1282"/>
      <c r="D180" s="1282"/>
      <c r="E180" s="1282"/>
      <c r="F180" s="1282"/>
      <c r="G180" s="1282"/>
      <c r="H180" s="1282"/>
      <c r="I180" s="1282"/>
      <c r="J180" s="1282"/>
      <c r="K180" s="1282"/>
      <c r="L180" s="1283"/>
    </row>
    <row r="181" spans="1:12">
      <c r="A181" s="1281"/>
      <c r="B181" s="1282"/>
      <c r="C181" s="1282"/>
      <c r="D181" s="1282"/>
      <c r="E181" s="1282"/>
      <c r="F181" s="1282"/>
      <c r="G181" s="1282"/>
      <c r="H181" s="1282"/>
      <c r="I181" s="1282"/>
      <c r="J181" s="1282"/>
      <c r="K181" s="1282"/>
      <c r="L181" s="1283"/>
    </row>
    <row r="182" spans="1:12">
      <c r="A182" s="1281"/>
      <c r="B182" s="1282"/>
      <c r="C182" s="1282"/>
      <c r="D182" s="1282"/>
      <c r="E182" s="1282"/>
      <c r="F182" s="1282"/>
      <c r="G182" s="1282"/>
      <c r="H182" s="1282"/>
      <c r="I182" s="1282"/>
      <c r="J182" s="1282"/>
      <c r="K182" s="1282"/>
      <c r="L182" s="1283"/>
    </row>
    <row r="183" spans="1:12">
      <c r="A183" s="1281"/>
      <c r="B183" s="1282"/>
      <c r="C183" s="1282"/>
      <c r="D183" s="1282"/>
      <c r="E183" s="1282"/>
      <c r="F183" s="1282"/>
      <c r="G183" s="1282"/>
      <c r="H183" s="1282"/>
      <c r="I183" s="1282"/>
      <c r="J183" s="1282"/>
      <c r="K183" s="1282"/>
      <c r="L183" s="1283"/>
    </row>
    <row r="184" spans="1:12">
      <c r="A184" s="1281"/>
      <c r="B184" s="1282"/>
      <c r="C184" s="1282"/>
      <c r="D184" s="1282"/>
      <c r="E184" s="1282"/>
      <c r="F184" s="1282"/>
      <c r="G184" s="1282"/>
      <c r="H184" s="1282"/>
      <c r="I184" s="1282"/>
      <c r="J184" s="1282"/>
      <c r="K184" s="1282"/>
      <c r="L184" s="1283"/>
    </row>
    <row r="185" spans="1:12">
      <c r="A185" s="1281"/>
      <c r="B185" s="1282"/>
      <c r="C185" s="1282"/>
      <c r="D185" s="1282"/>
      <c r="E185" s="1282"/>
      <c r="F185" s="1282"/>
      <c r="G185" s="1282"/>
      <c r="H185" s="1282"/>
      <c r="I185" s="1282"/>
      <c r="J185" s="1282"/>
      <c r="K185" s="1282"/>
      <c r="L185" s="1283"/>
    </row>
    <row r="186" spans="1:12">
      <c r="A186" s="1281"/>
      <c r="B186" s="1282"/>
      <c r="C186" s="1282"/>
      <c r="D186" s="1282"/>
      <c r="E186" s="1282"/>
      <c r="F186" s="1282"/>
      <c r="G186" s="1282"/>
      <c r="H186" s="1282"/>
      <c r="I186" s="1282"/>
      <c r="J186" s="1282"/>
      <c r="K186" s="1282"/>
      <c r="L186" s="1283"/>
    </row>
    <row r="187" spans="1:12">
      <c r="A187" s="1281"/>
      <c r="B187" s="1282"/>
      <c r="C187" s="1282"/>
      <c r="D187" s="1282"/>
      <c r="E187" s="1282"/>
      <c r="F187" s="1282"/>
      <c r="G187" s="1282"/>
      <c r="H187" s="1282"/>
      <c r="I187" s="1282"/>
      <c r="J187" s="1282"/>
      <c r="K187" s="1282"/>
      <c r="L187" s="1283"/>
    </row>
    <row r="188" spans="1:12">
      <c r="A188" s="1281"/>
      <c r="B188" s="1282"/>
      <c r="C188" s="1282"/>
      <c r="D188" s="1282"/>
      <c r="E188" s="1282"/>
      <c r="F188" s="1282"/>
      <c r="G188" s="1282"/>
      <c r="H188" s="1282"/>
      <c r="I188" s="1282"/>
      <c r="J188" s="1282"/>
      <c r="K188" s="1282"/>
      <c r="L188" s="1283"/>
    </row>
    <row r="189" spans="1:12">
      <c r="A189" s="1281"/>
      <c r="B189" s="1282"/>
      <c r="C189" s="1282"/>
      <c r="D189" s="1282"/>
      <c r="E189" s="1282"/>
      <c r="F189" s="1282"/>
      <c r="G189" s="1282"/>
      <c r="H189" s="1282"/>
      <c r="I189" s="1282"/>
      <c r="J189" s="1282"/>
      <c r="K189" s="1282"/>
      <c r="L189" s="1283"/>
    </row>
    <row r="190" spans="1:12">
      <c r="A190" s="1281"/>
      <c r="B190" s="1282"/>
      <c r="C190" s="1282"/>
      <c r="D190" s="1282"/>
      <c r="E190" s="1282"/>
      <c r="F190" s="1282"/>
      <c r="G190" s="1282"/>
      <c r="H190" s="1282"/>
      <c r="I190" s="1282"/>
      <c r="J190" s="1282"/>
      <c r="K190" s="1282"/>
      <c r="L190" s="1283"/>
    </row>
    <row r="191" spans="1:12">
      <c r="A191" s="1281"/>
      <c r="B191" s="1282"/>
      <c r="C191" s="1282"/>
      <c r="D191" s="1282"/>
      <c r="E191" s="1282"/>
      <c r="F191" s="1282"/>
      <c r="G191" s="1282"/>
      <c r="H191" s="1282"/>
      <c r="I191" s="1282"/>
      <c r="J191" s="1282"/>
      <c r="K191" s="1282"/>
      <c r="L191" s="1283"/>
    </row>
    <row r="192" spans="1:12">
      <c r="A192" s="1281"/>
      <c r="B192" s="1282"/>
      <c r="C192" s="1282"/>
      <c r="D192" s="1282"/>
      <c r="E192" s="1282"/>
      <c r="F192" s="1282"/>
      <c r="G192" s="1282"/>
      <c r="H192" s="1282"/>
      <c r="I192" s="1282"/>
      <c r="J192" s="1282"/>
      <c r="K192" s="1282"/>
      <c r="L192" s="1283"/>
    </row>
    <row r="193" spans="1:12">
      <c r="A193" s="1281"/>
      <c r="B193" s="1282"/>
      <c r="C193" s="1282"/>
      <c r="D193" s="1282"/>
      <c r="E193" s="1282"/>
      <c r="F193" s="1282"/>
      <c r="G193" s="1282"/>
      <c r="H193" s="1282"/>
      <c r="I193" s="1282"/>
      <c r="J193" s="1282"/>
      <c r="K193" s="1282"/>
      <c r="L193" s="1283"/>
    </row>
    <row r="194" spans="1:12">
      <c r="A194" s="1281"/>
      <c r="B194" s="1282"/>
      <c r="C194" s="1282"/>
      <c r="D194" s="1282"/>
      <c r="E194" s="1282"/>
      <c r="F194" s="1282"/>
      <c r="G194" s="1282"/>
      <c r="H194" s="1282"/>
      <c r="I194" s="1282"/>
      <c r="J194" s="1282"/>
      <c r="K194" s="1282"/>
      <c r="L194" s="1283"/>
    </row>
    <row r="195" spans="1:12">
      <c r="A195" s="1281"/>
      <c r="B195" s="1282"/>
      <c r="C195" s="1282"/>
      <c r="D195" s="1282"/>
      <c r="E195" s="1282"/>
      <c r="F195" s="1282"/>
      <c r="G195" s="1282"/>
      <c r="H195" s="1282"/>
      <c r="I195" s="1282"/>
      <c r="J195" s="1282"/>
      <c r="K195" s="1282"/>
      <c r="L195" s="1283"/>
    </row>
    <row r="196" spans="1:12">
      <c r="A196" s="1281"/>
      <c r="B196" s="1282"/>
      <c r="C196" s="1282"/>
      <c r="D196" s="1282"/>
      <c r="E196" s="1282"/>
      <c r="F196" s="1282"/>
      <c r="G196" s="1282"/>
      <c r="H196" s="1282"/>
      <c r="I196" s="1282"/>
      <c r="J196" s="1282"/>
      <c r="K196" s="1282"/>
      <c r="L196" s="1283"/>
    </row>
    <row r="197" spans="1:12">
      <c r="A197" s="1259"/>
      <c r="B197" s="1259"/>
      <c r="C197" s="1259"/>
      <c r="D197" s="1259"/>
      <c r="E197" s="1259"/>
      <c r="F197" s="1259"/>
      <c r="G197" s="1259"/>
      <c r="H197" s="1259"/>
      <c r="I197" s="1259"/>
      <c r="J197" s="1259"/>
      <c r="K197" s="1259"/>
      <c r="L197" s="1259"/>
    </row>
    <row r="198" spans="1:12">
      <c r="A198" s="1260"/>
      <c r="B198" s="1261"/>
      <c r="C198" s="1261"/>
      <c r="D198" s="1261"/>
      <c r="E198" s="1261"/>
      <c r="F198" s="1261"/>
      <c r="G198" s="1261"/>
      <c r="H198" s="1261"/>
      <c r="I198" s="1261"/>
      <c r="J198" s="1261"/>
      <c r="K198" s="1261"/>
      <c r="L198" s="1262"/>
    </row>
    <row r="199" spans="1:12">
      <c r="A199" s="1260"/>
      <c r="B199" s="1261"/>
      <c r="C199" s="1261"/>
      <c r="D199" s="1261"/>
      <c r="E199" s="1261"/>
      <c r="F199" s="1261"/>
      <c r="G199" s="1261"/>
      <c r="H199" s="1261"/>
      <c r="I199" s="1261"/>
      <c r="J199" s="1261"/>
      <c r="K199" s="1261"/>
      <c r="L199" s="1262"/>
    </row>
    <row r="200" spans="1:12">
      <c r="A200" s="1260"/>
      <c r="B200" s="1261"/>
      <c r="C200" s="1261"/>
      <c r="D200" s="1261"/>
      <c r="E200" s="1261"/>
      <c r="F200" s="1261"/>
      <c r="G200" s="1261"/>
      <c r="H200" s="1261"/>
      <c r="I200" s="1261"/>
      <c r="J200" s="1261"/>
      <c r="K200" s="1261"/>
      <c r="L200" s="1262"/>
    </row>
    <row r="201" spans="1:12">
      <c r="A201" s="1260"/>
      <c r="B201" s="1261"/>
      <c r="C201" s="1261"/>
      <c r="D201" s="1261"/>
      <c r="E201" s="1261"/>
      <c r="F201" s="1261"/>
      <c r="G201" s="1261"/>
      <c r="H201" s="1261"/>
      <c r="I201" s="1261"/>
      <c r="J201" s="1261"/>
      <c r="K201" s="1261"/>
      <c r="L201" s="1262"/>
    </row>
    <row r="202" spans="1:12">
      <c r="A202" s="1260"/>
      <c r="B202" s="1261"/>
      <c r="C202" s="1261"/>
      <c r="D202" s="1261"/>
      <c r="E202" s="1261"/>
      <c r="F202" s="1261"/>
      <c r="G202" s="1261"/>
      <c r="H202" s="1261"/>
      <c r="I202" s="1261"/>
      <c r="J202" s="1261"/>
      <c r="K202" s="1261"/>
      <c r="L202" s="1262"/>
    </row>
    <row r="203" spans="1:12">
      <c r="A203" s="1260"/>
      <c r="B203" s="1261"/>
      <c r="C203" s="1261"/>
      <c r="D203" s="1261"/>
      <c r="E203" s="1261"/>
      <c r="F203" s="1261"/>
      <c r="G203" s="1261"/>
      <c r="H203" s="1261"/>
      <c r="I203" s="1261"/>
      <c r="J203" s="1261"/>
      <c r="K203" s="1261"/>
      <c r="L203" s="1262"/>
    </row>
    <row r="204" spans="1:12">
      <c r="A204" s="1260"/>
      <c r="B204" s="1261"/>
      <c r="C204" s="1261"/>
      <c r="D204" s="1261"/>
      <c r="E204" s="1261"/>
      <c r="F204" s="1261"/>
      <c r="G204" s="1261"/>
      <c r="H204" s="1261"/>
      <c r="I204" s="1261"/>
      <c r="J204" s="1261"/>
      <c r="K204" s="1261"/>
      <c r="L204" s="1262"/>
    </row>
    <row r="205" spans="1:12">
      <c r="A205" s="1260"/>
      <c r="B205" s="1261"/>
      <c r="C205" s="1261"/>
      <c r="D205" s="1261"/>
      <c r="E205" s="1261"/>
      <c r="F205" s="1261"/>
      <c r="G205" s="1261"/>
      <c r="H205" s="1261"/>
      <c r="I205" s="1261"/>
      <c r="J205" s="1261"/>
      <c r="K205" s="1261"/>
      <c r="L205" s="1262"/>
    </row>
    <row r="206" spans="1:12">
      <c r="A206" s="1260"/>
      <c r="B206" s="1261"/>
      <c r="C206" s="1261"/>
      <c r="D206" s="1261"/>
      <c r="E206" s="1261"/>
      <c r="F206" s="1261"/>
      <c r="G206" s="1261"/>
      <c r="H206" s="1261"/>
      <c r="I206" s="1261"/>
      <c r="J206" s="1261"/>
      <c r="K206" s="1261"/>
      <c r="L206" s="1262"/>
    </row>
    <row r="207" spans="1:12">
      <c r="A207" s="1260"/>
      <c r="B207" s="1261"/>
      <c r="C207" s="1261"/>
      <c r="D207" s="1261"/>
      <c r="E207" s="1261"/>
      <c r="F207" s="1261"/>
      <c r="G207" s="1261"/>
      <c r="H207" s="1261"/>
      <c r="I207" s="1261"/>
      <c r="J207" s="1261"/>
      <c r="K207" s="1261"/>
      <c r="L207" s="1262"/>
    </row>
    <row r="208" spans="1:12">
      <c r="A208" s="1260"/>
      <c r="B208" s="1261"/>
      <c r="C208" s="1261"/>
      <c r="D208" s="1261"/>
      <c r="E208" s="1261"/>
      <c r="F208" s="1261"/>
      <c r="G208" s="1261"/>
      <c r="H208" s="1261"/>
      <c r="I208" s="1261"/>
      <c r="J208" s="1261"/>
      <c r="K208" s="1261"/>
      <c r="L208" s="1262"/>
    </row>
    <row r="209" spans="1:12">
      <c r="A209" s="1260"/>
      <c r="B209" s="1261"/>
      <c r="C209" s="1261"/>
      <c r="D209" s="1261"/>
      <c r="E209" s="1261"/>
      <c r="F209" s="1261"/>
      <c r="G209" s="1261"/>
      <c r="H209" s="1261"/>
      <c r="I209" s="1261"/>
      <c r="J209" s="1261"/>
      <c r="K209" s="1261"/>
      <c r="L209" s="1262"/>
    </row>
    <row r="210" spans="1:12">
      <c r="A210" s="1260"/>
      <c r="B210" s="1261"/>
      <c r="C210" s="1261"/>
      <c r="D210" s="1261"/>
      <c r="E210" s="1261"/>
      <c r="F210" s="1261"/>
      <c r="G210" s="1261"/>
      <c r="H210" s="1261"/>
      <c r="I210" s="1261"/>
      <c r="J210" s="1261"/>
      <c r="K210" s="1261"/>
      <c r="L210" s="1262"/>
    </row>
    <row r="211" spans="1:12">
      <c r="A211" s="1263"/>
      <c r="B211" s="1264"/>
      <c r="C211" s="1264"/>
      <c r="D211" s="1264"/>
      <c r="E211" s="1264"/>
      <c r="F211" s="1264"/>
      <c r="G211" s="1264"/>
      <c r="H211" s="1264"/>
      <c r="I211" s="1264"/>
      <c r="J211" s="1264"/>
      <c r="K211" s="1264"/>
      <c r="L211" s="1265"/>
    </row>
    <row r="212" spans="1:12">
      <c r="A212" s="1263"/>
      <c r="B212" s="1264"/>
      <c r="C212" s="1266"/>
      <c r="D212" s="1266"/>
      <c r="E212" s="1266"/>
      <c r="F212" s="1264"/>
      <c r="G212" s="1264"/>
      <c r="H212" s="1264"/>
      <c r="I212" s="1264"/>
      <c r="J212" s="1264"/>
      <c r="K212" s="1267"/>
      <c r="L212" s="1268"/>
    </row>
    <row r="213" spans="1:12" ht="15.75">
      <c r="A213" s="1269"/>
      <c r="B213" s="1264"/>
      <c r="C213" s="1264"/>
      <c r="D213" s="1264"/>
      <c r="E213" s="1264"/>
      <c r="F213" s="1270"/>
      <c r="G213" s="1264"/>
      <c r="H213" s="1264"/>
      <c r="I213" s="1264"/>
      <c r="J213" s="1264"/>
      <c r="K213" s="1264"/>
      <c r="L213" s="1265"/>
    </row>
    <row r="214" spans="1:12">
      <c r="A214" s="1263"/>
      <c r="B214" s="1264"/>
      <c r="C214" s="1264"/>
      <c r="D214" s="1264"/>
      <c r="E214" s="1271"/>
      <c r="F214" s="1264"/>
      <c r="G214" s="1264"/>
      <c r="H214" s="1264"/>
      <c r="I214" s="1264"/>
      <c r="J214" s="1264"/>
      <c r="K214" s="1267"/>
      <c r="L214" s="1268"/>
    </row>
    <row r="215" spans="1:12">
      <c r="A215" s="1263"/>
      <c r="B215" s="1264"/>
      <c r="C215" s="1264"/>
      <c r="D215" s="1271"/>
      <c r="E215" s="1264"/>
      <c r="F215" s="1264"/>
      <c r="G215" s="1264"/>
      <c r="H215" s="1264"/>
      <c r="I215" s="1264"/>
      <c r="J215" s="1264"/>
      <c r="K215" s="1264"/>
      <c r="L215" s="1265"/>
    </row>
    <row r="216" spans="1:12">
      <c r="A216" s="1272"/>
      <c r="B216" s="1272"/>
      <c r="C216" s="1272"/>
      <c r="D216" s="1272"/>
      <c r="E216" s="1272"/>
      <c r="F216" s="1272"/>
      <c r="G216" s="1272"/>
      <c r="H216" s="1272"/>
      <c r="I216" s="1272"/>
      <c r="J216" s="1272"/>
      <c r="K216" s="1273"/>
      <c r="L216" s="1274"/>
    </row>
    <row r="217" spans="1:12">
      <c r="A217" s="1275"/>
      <c r="B217" s="1276"/>
      <c r="C217" s="1276"/>
      <c r="D217" s="1276"/>
      <c r="E217" s="1276"/>
      <c r="F217" s="1276"/>
      <c r="G217" s="1276"/>
      <c r="H217" s="1276"/>
      <c r="I217" s="1276"/>
      <c r="J217" s="1276"/>
      <c r="K217" s="1276"/>
      <c r="L217" s="1262"/>
    </row>
    <row r="218" spans="1:12">
      <c r="A218" s="1277"/>
      <c r="B218" s="1277"/>
      <c r="C218" s="1277"/>
      <c r="D218" s="1277"/>
      <c r="E218" s="1277"/>
      <c r="F218" s="1277"/>
      <c r="G218" s="1277"/>
      <c r="H218" s="1277"/>
      <c r="I218" s="1277"/>
      <c r="J218" s="1277"/>
      <c r="K218" s="1256"/>
      <c r="L218" s="1278"/>
    </row>
    <row r="219" spans="1:12">
      <c r="A219" s="1275"/>
      <c r="B219" s="1276"/>
      <c r="C219" s="1276"/>
      <c r="D219" s="1276"/>
      <c r="E219" s="1276"/>
      <c r="F219" s="1276"/>
      <c r="G219" s="1276"/>
      <c r="H219" s="1276"/>
      <c r="I219" s="1276"/>
      <c r="J219" s="1276"/>
      <c r="K219" s="1276"/>
      <c r="L219" s="1279"/>
    </row>
    <row r="220" spans="1:12">
      <c r="A220" s="1275"/>
      <c r="B220" s="1276"/>
      <c r="C220" s="1276"/>
      <c r="D220" s="1276"/>
      <c r="E220" s="1280"/>
      <c r="F220" s="1276"/>
      <c r="G220" s="1276"/>
      <c r="H220" s="1276"/>
      <c r="I220" s="1276"/>
      <c r="J220" s="1276"/>
      <c r="K220" s="1276"/>
      <c r="L220" s="1279"/>
    </row>
    <row r="221" spans="1:12">
      <c r="A221" s="1275"/>
      <c r="B221" s="1276"/>
      <c r="C221" s="1276"/>
      <c r="D221" s="1276"/>
      <c r="E221" s="1280"/>
      <c r="F221" s="1276"/>
      <c r="G221" s="1276"/>
      <c r="H221" s="1276"/>
      <c r="I221" s="1276"/>
      <c r="J221" s="1276"/>
      <c r="K221" s="1276"/>
      <c r="L221" s="1279"/>
    </row>
    <row r="222" spans="1:12">
      <c r="A222" s="1275"/>
      <c r="B222" s="1276"/>
      <c r="C222" s="1276"/>
      <c r="D222" s="1280"/>
      <c r="E222" s="1276"/>
      <c r="F222" s="1276"/>
      <c r="G222" s="1276"/>
      <c r="H222" s="1276"/>
      <c r="I222" s="1276"/>
      <c r="J222" s="1276"/>
      <c r="K222" s="1276"/>
      <c r="L222" s="1279"/>
    </row>
    <row r="223" spans="1:12">
      <c r="A223" s="1281"/>
      <c r="B223" s="1282"/>
      <c r="C223" s="1282"/>
      <c r="D223" s="1282"/>
      <c r="E223" s="1282"/>
      <c r="F223" s="1282"/>
      <c r="G223" s="1282"/>
      <c r="H223" s="1282"/>
      <c r="I223" s="1282"/>
      <c r="J223" s="1282"/>
      <c r="K223" s="1282"/>
      <c r="L223" s="1283"/>
    </row>
    <row r="224" spans="1:12">
      <c r="A224" s="1275"/>
      <c r="B224" s="1276"/>
      <c r="C224" s="1276"/>
      <c r="D224" s="1276"/>
      <c r="E224" s="1276"/>
      <c r="F224" s="1276"/>
      <c r="G224" s="1276"/>
      <c r="H224" s="1276"/>
      <c r="I224" s="1276"/>
      <c r="J224" s="1276"/>
      <c r="K224" s="1276"/>
      <c r="L224" s="1279"/>
    </row>
    <row r="225" spans="1:12">
      <c r="A225" s="1281"/>
      <c r="B225" s="1282"/>
      <c r="C225" s="1282"/>
      <c r="D225" s="1282"/>
      <c r="E225" s="1282"/>
      <c r="F225" s="1282"/>
      <c r="G225" s="1282"/>
      <c r="H225" s="1282"/>
      <c r="I225" s="1282"/>
      <c r="J225" s="1282"/>
      <c r="K225" s="1282"/>
      <c r="L225" s="1283"/>
    </row>
    <row r="226" spans="1:12">
      <c r="A226" s="1275"/>
      <c r="B226" s="1276"/>
      <c r="C226" s="1276"/>
      <c r="D226" s="1280"/>
      <c r="E226" s="1276"/>
      <c r="F226" s="1276"/>
      <c r="G226" s="1276"/>
      <c r="H226" s="1276"/>
      <c r="I226" s="1276"/>
      <c r="J226" s="1276"/>
      <c r="K226" s="1276"/>
      <c r="L226" s="1279"/>
    </row>
    <row r="227" spans="1:12">
      <c r="A227" s="1281"/>
      <c r="B227" s="1282"/>
      <c r="C227" s="1282"/>
      <c r="D227" s="1282"/>
      <c r="E227" s="1282"/>
      <c r="F227" s="1282"/>
      <c r="G227" s="1282"/>
      <c r="H227" s="1282"/>
      <c r="I227" s="1282"/>
      <c r="J227" s="1282"/>
      <c r="K227" s="1282"/>
      <c r="L227" s="1283"/>
    </row>
    <row r="228" spans="1:12">
      <c r="A228" s="1281"/>
      <c r="B228" s="1282"/>
      <c r="C228" s="1282"/>
      <c r="D228" s="1282"/>
      <c r="E228" s="1282"/>
      <c r="F228" s="1282"/>
      <c r="G228" s="1282"/>
      <c r="H228" s="1282"/>
      <c r="I228" s="1282"/>
      <c r="J228" s="1282"/>
      <c r="K228" s="1282"/>
      <c r="L228" s="1283"/>
    </row>
    <row r="229" spans="1:12">
      <c r="A229" s="1281"/>
      <c r="B229" s="1282"/>
      <c r="C229" s="1282"/>
      <c r="D229" s="1282"/>
      <c r="E229" s="1282"/>
      <c r="F229" s="1282"/>
      <c r="G229" s="1282"/>
      <c r="H229" s="1282"/>
      <c r="I229" s="1282"/>
      <c r="J229" s="1282"/>
      <c r="K229" s="1282"/>
      <c r="L229" s="1283"/>
    </row>
    <row r="230" spans="1:12">
      <c r="A230" s="1281"/>
      <c r="B230" s="1282"/>
      <c r="C230" s="1282"/>
      <c r="D230" s="1282"/>
      <c r="E230" s="1282"/>
      <c r="F230" s="1282"/>
      <c r="G230" s="1282"/>
      <c r="H230" s="1282"/>
      <c r="I230" s="1282"/>
      <c r="J230" s="1282"/>
      <c r="K230" s="1282"/>
      <c r="L230" s="1283"/>
    </row>
    <row r="231" spans="1:12">
      <c r="A231" s="1281"/>
      <c r="B231" s="1282"/>
      <c r="C231" s="1282"/>
      <c r="D231" s="1282"/>
      <c r="E231" s="1282"/>
      <c r="F231" s="1282"/>
      <c r="G231" s="1282"/>
      <c r="H231" s="1282"/>
      <c r="I231" s="1282"/>
      <c r="J231" s="1282"/>
      <c r="K231" s="1282"/>
      <c r="L231" s="1283"/>
    </row>
    <row r="232" spans="1:12">
      <c r="A232" s="1281"/>
      <c r="B232" s="1282"/>
      <c r="C232" s="1282"/>
      <c r="D232" s="1282"/>
      <c r="E232" s="1282"/>
      <c r="F232" s="1282"/>
      <c r="G232" s="1282"/>
      <c r="H232" s="1282"/>
      <c r="I232" s="1282"/>
      <c r="J232" s="1282"/>
      <c r="K232" s="1282"/>
      <c r="L232" s="1283"/>
    </row>
    <row r="233" spans="1:12">
      <c r="A233" s="1281"/>
      <c r="B233" s="1282"/>
      <c r="C233" s="1282"/>
      <c r="D233" s="1282"/>
      <c r="E233" s="1282"/>
      <c r="F233" s="1282"/>
      <c r="G233" s="1282"/>
      <c r="H233" s="1282"/>
      <c r="I233" s="1282"/>
      <c r="J233" s="1282"/>
      <c r="K233" s="1282"/>
      <c r="L233" s="1283"/>
    </row>
    <row r="234" spans="1:12">
      <c r="A234" s="1281"/>
      <c r="B234" s="1282"/>
      <c r="C234" s="1282"/>
      <c r="D234" s="1282"/>
      <c r="E234" s="1282"/>
      <c r="F234" s="1282"/>
      <c r="G234" s="1282"/>
      <c r="H234" s="1282"/>
      <c r="I234" s="1282"/>
      <c r="J234" s="1282"/>
      <c r="K234" s="1282"/>
      <c r="L234" s="1283"/>
    </row>
    <row r="235" spans="1:12">
      <c r="A235" s="1281"/>
      <c r="B235" s="1282"/>
      <c r="C235" s="1282"/>
      <c r="D235" s="1282"/>
      <c r="E235" s="1282"/>
      <c r="F235" s="1282"/>
      <c r="G235" s="1282"/>
      <c r="H235" s="1282"/>
      <c r="I235" s="1282"/>
      <c r="J235" s="1282"/>
      <c r="K235" s="1282"/>
      <c r="L235" s="1283"/>
    </row>
    <row r="236" spans="1:12">
      <c r="A236" s="1281"/>
      <c r="B236" s="1282"/>
      <c r="C236" s="1282"/>
      <c r="D236" s="1282"/>
      <c r="E236" s="1282"/>
      <c r="F236" s="1282"/>
      <c r="G236" s="1282"/>
      <c r="H236" s="1282"/>
      <c r="I236" s="1282"/>
      <c r="J236" s="1282"/>
      <c r="K236" s="1282"/>
      <c r="L236" s="1283"/>
    </row>
    <row r="237" spans="1:12">
      <c r="A237" s="1281"/>
      <c r="B237" s="1282"/>
      <c r="C237" s="1282"/>
      <c r="D237" s="1282"/>
      <c r="E237" s="1282"/>
      <c r="F237" s="1282"/>
      <c r="G237" s="1282"/>
      <c r="H237" s="1282"/>
      <c r="I237" s="1282"/>
      <c r="J237" s="1282"/>
      <c r="K237" s="1282"/>
      <c r="L237" s="1283"/>
    </row>
    <row r="238" spans="1:12">
      <c r="A238" s="1281"/>
      <c r="B238" s="1282"/>
      <c r="C238" s="1282"/>
      <c r="D238" s="1282"/>
      <c r="E238" s="1282"/>
      <c r="F238" s="1282"/>
      <c r="G238" s="1282"/>
      <c r="H238" s="1282"/>
      <c r="I238" s="1282"/>
      <c r="J238" s="1282"/>
      <c r="K238" s="1282"/>
      <c r="L238" s="1283"/>
    </row>
    <row r="239" spans="1:12">
      <c r="A239" s="1281"/>
      <c r="B239" s="1282"/>
      <c r="C239" s="1282"/>
      <c r="D239" s="1282"/>
      <c r="E239" s="1282"/>
      <c r="F239" s="1282"/>
      <c r="G239" s="1282"/>
      <c r="H239" s="1282"/>
      <c r="I239" s="1282"/>
      <c r="J239" s="1282"/>
      <c r="K239" s="1282"/>
      <c r="L239" s="1283"/>
    </row>
    <row r="240" spans="1:12">
      <c r="A240" s="1281"/>
      <c r="B240" s="1282"/>
      <c r="C240" s="1282"/>
      <c r="D240" s="1282"/>
      <c r="E240" s="1282"/>
      <c r="F240" s="1282"/>
      <c r="G240" s="1282"/>
      <c r="H240" s="1282"/>
      <c r="I240" s="1282"/>
      <c r="J240" s="1282"/>
      <c r="K240" s="1282"/>
      <c r="L240" s="1283"/>
    </row>
    <row r="241" spans="1:12">
      <c r="A241" s="1281"/>
      <c r="B241" s="1282"/>
      <c r="C241" s="1282"/>
      <c r="D241" s="1282"/>
      <c r="E241" s="1282"/>
      <c r="F241" s="1282"/>
      <c r="G241" s="1282"/>
      <c r="H241" s="1282"/>
      <c r="I241" s="1282"/>
      <c r="J241" s="1282"/>
      <c r="K241" s="1282"/>
      <c r="L241" s="1283"/>
    </row>
    <row r="242" spans="1:12">
      <c r="A242" s="1281"/>
      <c r="B242" s="1282"/>
      <c r="C242" s="1282"/>
      <c r="D242" s="1282"/>
      <c r="E242" s="1282"/>
      <c r="F242" s="1282"/>
      <c r="G242" s="1282"/>
      <c r="H242" s="1282"/>
      <c r="I242" s="1282"/>
      <c r="J242" s="1282"/>
      <c r="K242" s="1282"/>
      <c r="L242" s="1283"/>
    </row>
    <row r="243" spans="1:12">
      <c r="A243" s="1281"/>
      <c r="B243" s="1282"/>
      <c r="C243" s="1282"/>
      <c r="D243" s="1282"/>
      <c r="E243" s="1282"/>
      <c r="F243" s="1282"/>
      <c r="G243" s="1282"/>
      <c r="H243" s="1282"/>
      <c r="I243" s="1282"/>
      <c r="J243" s="1282"/>
      <c r="K243" s="1282"/>
      <c r="L243" s="1283"/>
    </row>
    <row r="244" spans="1:12">
      <c r="A244" s="1281"/>
      <c r="B244" s="1282"/>
      <c r="C244" s="1282"/>
      <c r="D244" s="1282"/>
      <c r="E244" s="1282"/>
      <c r="F244" s="1282"/>
      <c r="G244" s="1282"/>
      <c r="H244" s="1282"/>
      <c r="I244" s="1282"/>
      <c r="J244" s="1282"/>
      <c r="K244" s="1282"/>
      <c r="L244" s="1283"/>
    </row>
    <row r="245" spans="1:12">
      <c r="A245" s="1281"/>
      <c r="B245" s="1282"/>
      <c r="C245" s="1282"/>
      <c r="D245" s="1282"/>
      <c r="E245" s="1282"/>
      <c r="F245" s="1282"/>
      <c r="G245" s="1282"/>
      <c r="H245" s="1282"/>
      <c r="I245" s="1282"/>
      <c r="J245" s="1282"/>
      <c r="K245" s="1282"/>
      <c r="L245" s="1283"/>
    </row>
    <row r="246" spans="1:12">
      <c r="A246" s="1281"/>
      <c r="B246" s="1282"/>
      <c r="C246" s="1282"/>
      <c r="D246" s="1282"/>
      <c r="E246" s="1282"/>
      <c r="F246" s="1282"/>
      <c r="G246" s="1282"/>
      <c r="H246" s="1282"/>
      <c r="I246" s="1282"/>
      <c r="J246" s="1282"/>
      <c r="K246" s="1282"/>
      <c r="L246" s="1283"/>
    </row>
    <row r="247" spans="1:12">
      <c r="A247" s="1281"/>
      <c r="B247" s="1282"/>
      <c r="C247" s="1282"/>
      <c r="D247" s="1282"/>
      <c r="E247" s="1282"/>
      <c r="F247" s="1282"/>
      <c r="G247" s="1282"/>
      <c r="H247" s="1282"/>
      <c r="I247" s="1282"/>
      <c r="J247" s="1282"/>
      <c r="K247" s="1282"/>
      <c r="L247" s="1283"/>
    </row>
    <row r="248" spans="1:12">
      <c r="A248" s="1281"/>
      <c r="B248" s="1282"/>
      <c r="C248" s="1282"/>
      <c r="D248" s="1282"/>
      <c r="E248" s="1282"/>
      <c r="F248" s="1282"/>
      <c r="G248" s="1282"/>
      <c r="H248" s="1282"/>
      <c r="I248" s="1282"/>
      <c r="J248" s="1282"/>
      <c r="K248" s="1282"/>
      <c r="L248" s="1283"/>
    </row>
    <row r="249" spans="1:12">
      <c r="A249" s="1281"/>
      <c r="B249" s="1282"/>
      <c r="C249" s="1282"/>
      <c r="D249" s="1282"/>
      <c r="E249" s="1282"/>
      <c r="F249" s="1282"/>
      <c r="G249" s="1282"/>
      <c r="H249" s="1282"/>
      <c r="I249" s="1282"/>
      <c r="J249" s="1282"/>
      <c r="K249" s="1282"/>
      <c r="L249" s="1283"/>
    </row>
    <row r="250" spans="1:12">
      <c r="A250" s="1281"/>
      <c r="B250" s="1282"/>
      <c r="C250" s="1282"/>
      <c r="D250" s="1282"/>
      <c r="E250" s="1282"/>
      <c r="F250" s="1282"/>
      <c r="G250" s="1282"/>
      <c r="H250" s="1282"/>
      <c r="I250" s="1282"/>
      <c r="J250" s="1282"/>
      <c r="K250" s="1282"/>
      <c r="L250" s="1283"/>
    </row>
    <row r="251" spans="1:12">
      <c r="A251" s="1281"/>
      <c r="B251" s="1282"/>
      <c r="C251" s="1282"/>
      <c r="D251" s="1282"/>
      <c r="E251" s="1282"/>
      <c r="F251" s="1282"/>
      <c r="G251" s="1282"/>
      <c r="H251" s="1282"/>
      <c r="I251" s="1282"/>
      <c r="J251" s="1282"/>
      <c r="K251" s="1282"/>
      <c r="L251" s="1283"/>
    </row>
    <row r="252" spans="1:12">
      <c r="A252" s="1281"/>
      <c r="B252" s="1282"/>
      <c r="C252" s="1282"/>
      <c r="D252" s="1282"/>
      <c r="E252" s="1282"/>
      <c r="F252" s="1282"/>
      <c r="G252" s="1282"/>
      <c r="H252" s="1282"/>
      <c r="I252" s="1282"/>
      <c r="J252" s="1282"/>
      <c r="K252" s="1282"/>
      <c r="L252" s="1283"/>
    </row>
    <row r="253" spans="1:12">
      <c r="A253" s="1281"/>
      <c r="B253" s="1282"/>
      <c r="C253" s="1282"/>
      <c r="D253" s="1282"/>
      <c r="E253" s="1282"/>
      <c r="F253" s="1282"/>
      <c r="G253" s="1282"/>
      <c r="H253" s="1282"/>
      <c r="I253" s="1282"/>
      <c r="J253" s="1282"/>
      <c r="K253" s="1282"/>
      <c r="L253" s="1283"/>
    </row>
    <row r="254" spans="1:12">
      <c r="A254" s="1281"/>
      <c r="B254" s="1282"/>
      <c r="C254" s="1282"/>
      <c r="D254" s="1282"/>
      <c r="E254" s="1282"/>
      <c r="F254" s="1282"/>
      <c r="G254" s="1282"/>
      <c r="H254" s="1282"/>
      <c r="I254" s="1282"/>
      <c r="J254" s="1282"/>
      <c r="K254" s="1282"/>
      <c r="L254" s="1283"/>
    </row>
    <row r="255" spans="1:12">
      <c r="A255" s="1281"/>
      <c r="B255" s="1282"/>
      <c r="C255" s="1282"/>
      <c r="D255" s="1282"/>
      <c r="E255" s="1282"/>
      <c r="F255" s="1282"/>
      <c r="G255" s="1282"/>
      <c r="H255" s="1282"/>
      <c r="I255" s="1282"/>
      <c r="J255" s="1282"/>
      <c r="K255" s="1282"/>
      <c r="L255" s="1283"/>
    </row>
    <row r="256" spans="1:12">
      <c r="A256" s="1281"/>
      <c r="B256" s="1282"/>
      <c r="C256" s="1282"/>
      <c r="D256" s="1282"/>
      <c r="E256" s="1282"/>
      <c r="F256" s="1282"/>
      <c r="G256" s="1282"/>
      <c r="H256" s="1282"/>
      <c r="I256" s="1282"/>
      <c r="J256" s="1282"/>
      <c r="K256" s="1282"/>
      <c r="L256" s="1283"/>
    </row>
    <row r="257" spans="1:12">
      <c r="A257" s="1281"/>
      <c r="B257" s="1282"/>
      <c r="C257" s="1282"/>
      <c r="D257" s="1282"/>
      <c r="E257" s="1282"/>
      <c r="F257" s="1282"/>
      <c r="G257" s="1282"/>
      <c r="H257" s="1282"/>
      <c r="I257" s="1282"/>
      <c r="J257" s="1282"/>
      <c r="K257" s="1282"/>
      <c r="L257" s="1283"/>
    </row>
    <row r="258" spans="1:12">
      <c r="A258" s="1281"/>
      <c r="B258" s="1282"/>
      <c r="C258" s="1282"/>
      <c r="D258" s="1282"/>
      <c r="E258" s="1282"/>
      <c r="F258" s="1282"/>
      <c r="G258" s="1282"/>
      <c r="H258" s="1282"/>
      <c r="I258" s="1282"/>
      <c r="J258" s="1282"/>
      <c r="K258" s="1282"/>
      <c r="L258" s="1283"/>
    </row>
    <row r="259" spans="1:12">
      <c r="A259" s="1281"/>
      <c r="B259" s="1282"/>
      <c r="C259" s="1282"/>
      <c r="D259" s="1282"/>
      <c r="E259" s="1282"/>
      <c r="F259" s="1282"/>
      <c r="G259" s="1282"/>
      <c r="H259" s="1282"/>
      <c r="I259" s="1282"/>
      <c r="J259" s="1282"/>
      <c r="K259" s="1282"/>
      <c r="L259" s="1283"/>
    </row>
    <row r="260" spans="1:12">
      <c r="A260" s="1281"/>
      <c r="B260" s="1282"/>
      <c r="C260" s="1282"/>
      <c r="D260" s="1282"/>
      <c r="E260" s="1282"/>
      <c r="F260" s="1282"/>
      <c r="G260" s="1282"/>
      <c r="H260" s="1282"/>
      <c r="I260" s="1282"/>
      <c r="J260" s="1282"/>
      <c r="K260" s="1282"/>
      <c r="L260" s="1283"/>
    </row>
    <row r="261" spans="1:12">
      <c r="A261" s="1281"/>
      <c r="B261" s="1282"/>
      <c r="C261" s="1282"/>
      <c r="D261" s="1282"/>
      <c r="E261" s="1282"/>
      <c r="F261" s="1282"/>
      <c r="G261" s="1282"/>
      <c r="H261" s="1282"/>
      <c r="I261" s="1282"/>
      <c r="J261" s="1282"/>
      <c r="K261" s="1282"/>
      <c r="L261" s="1283"/>
    </row>
    <row r="262" spans="1:12">
      <c r="A262" s="1259"/>
      <c r="B262" s="1259"/>
      <c r="C262" s="1259"/>
      <c r="D262" s="1259"/>
      <c r="E262" s="1259"/>
      <c r="F262" s="1259"/>
      <c r="G262" s="1259"/>
      <c r="H262" s="1259"/>
      <c r="I262" s="1259"/>
      <c r="J262" s="1259"/>
      <c r="K262" s="1259"/>
      <c r="L262" s="1259"/>
    </row>
    <row r="263" spans="1:12">
      <c r="A263" s="1260"/>
      <c r="B263" s="1261"/>
      <c r="C263" s="1261"/>
      <c r="D263" s="1261"/>
      <c r="E263" s="1261"/>
      <c r="F263" s="1261"/>
      <c r="G263" s="1261"/>
      <c r="H263" s="1261"/>
      <c r="I263" s="1261"/>
      <c r="J263" s="1261"/>
      <c r="K263" s="1261"/>
      <c r="L263" s="1262"/>
    </row>
    <row r="264" spans="1:12">
      <c r="A264" s="1260"/>
      <c r="B264" s="1261"/>
      <c r="C264" s="1261"/>
      <c r="D264" s="1261"/>
      <c r="E264" s="1261"/>
      <c r="F264" s="1261"/>
      <c r="G264" s="1261"/>
      <c r="H264" s="1261"/>
      <c r="I264" s="1261"/>
      <c r="J264" s="1261"/>
      <c r="K264" s="1261"/>
      <c r="L264" s="1262"/>
    </row>
    <row r="265" spans="1:12">
      <c r="A265" s="1260"/>
      <c r="B265" s="1261"/>
      <c r="C265" s="1261"/>
      <c r="D265" s="1261"/>
      <c r="E265" s="1261"/>
      <c r="F265" s="1261"/>
      <c r="G265" s="1261"/>
      <c r="H265" s="1261"/>
      <c r="I265" s="1261"/>
      <c r="J265" s="1261"/>
      <c r="K265" s="1261"/>
      <c r="L265" s="1262"/>
    </row>
    <row r="266" spans="1:12">
      <c r="A266" s="1260"/>
      <c r="B266" s="1261"/>
      <c r="C266" s="1261"/>
      <c r="D266" s="1261"/>
      <c r="E266" s="1261"/>
      <c r="F266" s="1261"/>
      <c r="G266" s="1261"/>
      <c r="H266" s="1261"/>
      <c r="I266" s="1261"/>
      <c r="J266" s="1261"/>
      <c r="K266" s="1261"/>
      <c r="L266" s="1262"/>
    </row>
    <row r="267" spans="1:12">
      <c r="A267" s="1260"/>
      <c r="B267" s="1261"/>
      <c r="C267" s="1261"/>
      <c r="D267" s="1261"/>
      <c r="E267" s="1261"/>
      <c r="F267" s="1261"/>
      <c r="G267" s="1261"/>
      <c r="H267" s="1261"/>
      <c r="I267" s="1261"/>
      <c r="J267" s="1261"/>
      <c r="K267" s="1261"/>
      <c r="L267" s="1262"/>
    </row>
    <row r="268" spans="1:12">
      <c r="A268" s="1260"/>
      <c r="B268" s="1261"/>
      <c r="C268" s="1261"/>
      <c r="D268" s="1261"/>
      <c r="E268" s="1261"/>
      <c r="F268" s="1261"/>
      <c r="G268" s="1261"/>
      <c r="H268" s="1261"/>
      <c r="I268" s="1261"/>
      <c r="J268" s="1261"/>
      <c r="K268" s="1261"/>
      <c r="L268" s="1262"/>
    </row>
    <row r="269" spans="1:12">
      <c r="A269" s="1260"/>
      <c r="B269" s="1261"/>
      <c r="C269" s="1261"/>
      <c r="D269" s="1261"/>
      <c r="E269" s="1261"/>
      <c r="F269" s="1261"/>
      <c r="G269" s="1261"/>
      <c r="H269" s="1261"/>
      <c r="I269" s="1261"/>
      <c r="J269" s="1261"/>
      <c r="K269" s="1261"/>
      <c r="L269" s="1262"/>
    </row>
    <row r="270" spans="1:12">
      <c r="A270" s="1260"/>
      <c r="B270" s="1261"/>
      <c r="C270" s="1261"/>
      <c r="D270" s="1261"/>
      <c r="E270" s="1261"/>
      <c r="F270" s="1261"/>
      <c r="G270" s="1261"/>
      <c r="H270" s="1261"/>
      <c r="I270" s="1261"/>
      <c r="J270" s="1261"/>
      <c r="K270" s="1261"/>
      <c r="L270" s="1262"/>
    </row>
    <row r="271" spans="1:12">
      <c r="A271" s="1260"/>
      <c r="B271" s="1261"/>
      <c r="C271" s="1261"/>
      <c r="D271" s="1261"/>
      <c r="E271" s="1261"/>
      <c r="F271" s="1261"/>
      <c r="G271" s="1261"/>
      <c r="H271" s="1261"/>
      <c r="I271" s="1261"/>
      <c r="J271" s="1261"/>
      <c r="K271" s="1261"/>
      <c r="L271" s="1262"/>
    </row>
    <row r="272" spans="1:12">
      <c r="A272" s="1260"/>
      <c r="B272" s="1261"/>
      <c r="C272" s="1261"/>
      <c r="D272" s="1261"/>
      <c r="E272" s="1261"/>
      <c r="F272" s="1261"/>
      <c r="G272" s="1261"/>
      <c r="H272" s="1261"/>
      <c r="I272" s="1261"/>
      <c r="J272" s="1261"/>
      <c r="K272" s="1261"/>
      <c r="L272" s="1262"/>
    </row>
    <row r="273" spans="1:12">
      <c r="A273" s="1260"/>
      <c r="B273" s="1261"/>
      <c r="C273" s="1261"/>
      <c r="D273" s="1261"/>
      <c r="E273" s="1261"/>
      <c r="F273" s="1261"/>
      <c r="G273" s="1261"/>
      <c r="H273" s="1261"/>
      <c r="I273" s="1261"/>
      <c r="J273" s="1261"/>
      <c r="K273" s="1261"/>
      <c r="L273" s="1262"/>
    </row>
    <row r="274" spans="1:12">
      <c r="A274" s="1260"/>
      <c r="B274" s="1261"/>
      <c r="C274" s="1261"/>
      <c r="D274" s="1261"/>
      <c r="E274" s="1261"/>
      <c r="F274" s="1261"/>
      <c r="G274" s="1261"/>
      <c r="H274" s="1261"/>
      <c r="I274" s="1261"/>
      <c r="J274" s="1261"/>
      <c r="K274" s="1261"/>
      <c r="L274" s="1262"/>
    </row>
    <row r="275" spans="1:12">
      <c r="A275" s="1260"/>
      <c r="B275" s="1261"/>
      <c r="C275" s="1261"/>
      <c r="D275" s="1261"/>
      <c r="E275" s="1261"/>
      <c r="F275" s="1261"/>
      <c r="G275" s="1261"/>
      <c r="H275" s="1261"/>
      <c r="I275" s="1261"/>
      <c r="J275" s="1261"/>
      <c r="K275" s="1261"/>
      <c r="L275" s="1262"/>
    </row>
    <row r="276" spans="1:12">
      <c r="A276" s="1263"/>
      <c r="B276" s="1264"/>
      <c r="C276" s="1264"/>
      <c r="D276" s="1264"/>
      <c r="E276" s="1264"/>
      <c r="F276" s="1264"/>
      <c r="G276" s="1264"/>
      <c r="H276" s="1264"/>
      <c r="I276" s="1264"/>
      <c r="J276" s="1264"/>
      <c r="K276" s="1264"/>
      <c r="L276" s="1265"/>
    </row>
    <row r="277" spans="1:12">
      <c r="A277" s="1263"/>
      <c r="B277" s="1264"/>
      <c r="C277" s="1266"/>
      <c r="D277" s="1266"/>
      <c r="E277" s="1266"/>
      <c r="F277" s="1264"/>
      <c r="G277" s="1264"/>
      <c r="H277" s="1264"/>
      <c r="I277" s="1264"/>
      <c r="J277" s="1264"/>
      <c r="K277" s="1267"/>
      <c r="L277" s="1268"/>
    </row>
    <row r="278" spans="1:12" ht="15.75">
      <c r="A278" s="1269"/>
      <c r="B278" s="1264"/>
      <c r="C278" s="1264"/>
      <c r="D278" s="1264"/>
      <c r="E278" s="1264"/>
      <c r="F278" s="1270"/>
      <c r="G278" s="1264"/>
      <c r="H278" s="1264"/>
      <c r="I278" s="1264"/>
      <c r="J278" s="1264"/>
      <c r="K278" s="1264"/>
      <c r="L278" s="1265"/>
    </row>
    <row r="279" spans="1:12">
      <c r="A279" s="1263"/>
      <c r="B279" s="1264"/>
      <c r="C279" s="1264"/>
      <c r="D279" s="1264"/>
      <c r="E279" s="1271"/>
      <c r="F279" s="1264"/>
      <c r="G279" s="1264"/>
      <c r="H279" s="1264"/>
      <c r="I279" s="1264"/>
      <c r="J279" s="1264"/>
      <c r="K279" s="1267"/>
      <c r="L279" s="1268"/>
    </row>
    <row r="280" spans="1:12">
      <c r="A280" s="1263"/>
      <c r="B280" s="1264"/>
      <c r="C280" s="1264"/>
      <c r="D280" s="1271"/>
      <c r="E280" s="1264"/>
      <c r="F280" s="1264"/>
      <c r="G280" s="1264"/>
      <c r="H280" s="1264"/>
      <c r="I280" s="1264"/>
      <c r="J280" s="1264"/>
      <c r="K280" s="1264"/>
      <c r="L280" s="1265"/>
    </row>
    <row r="281" spans="1:12">
      <c r="A281" s="1272"/>
      <c r="B281" s="1272"/>
      <c r="C281" s="1272"/>
      <c r="D281" s="1272"/>
      <c r="E281" s="1272"/>
      <c r="F281" s="1272"/>
      <c r="G281" s="1272"/>
      <c r="H281" s="1272"/>
      <c r="I281" s="1272"/>
      <c r="J281" s="1272"/>
      <c r="K281" s="1273"/>
      <c r="L281" s="1274"/>
    </row>
    <row r="282" spans="1:12">
      <c r="A282" s="1275"/>
      <c r="B282" s="1276"/>
      <c r="C282" s="1276"/>
      <c r="D282" s="1276"/>
      <c r="E282" s="1276"/>
      <c r="F282" s="1276"/>
      <c r="G282" s="1276"/>
      <c r="H282" s="1276"/>
      <c r="I282" s="1276"/>
      <c r="J282" s="1276"/>
      <c r="K282" s="1276"/>
      <c r="L282" s="1262"/>
    </row>
    <row r="283" spans="1:12">
      <c r="A283" s="1277"/>
      <c r="B283" s="1277"/>
      <c r="C283" s="1277"/>
      <c r="D283" s="1277"/>
      <c r="E283" s="1277"/>
      <c r="F283" s="1277"/>
      <c r="G283" s="1277"/>
      <c r="H283" s="1277"/>
      <c r="I283" s="1277"/>
      <c r="J283" s="1277"/>
      <c r="K283" s="1256"/>
      <c r="L283" s="1278"/>
    </row>
    <row r="284" spans="1:12">
      <c r="A284" s="1275"/>
      <c r="B284" s="1276"/>
      <c r="C284" s="1276"/>
      <c r="D284" s="1276"/>
      <c r="E284" s="1276"/>
      <c r="F284" s="1276"/>
      <c r="G284" s="1276"/>
      <c r="H284" s="1276"/>
      <c r="I284" s="1276"/>
      <c r="J284" s="1276"/>
      <c r="K284" s="1276"/>
      <c r="L284" s="1279"/>
    </row>
    <row r="285" spans="1:12">
      <c r="A285" s="1275"/>
      <c r="B285" s="1276"/>
      <c r="C285" s="1276"/>
      <c r="D285" s="1276"/>
      <c r="E285" s="1280"/>
      <c r="F285" s="1276"/>
      <c r="G285" s="1276"/>
      <c r="H285" s="1276"/>
      <c r="I285" s="1276"/>
      <c r="J285" s="1276"/>
      <c r="K285" s="1276"/>
      <c r="L285" s="1279"/>
    </row>
    <row r="286" spans="1:12">
      <c r="A286" s="1275"/>
      <c r="B286" s="1276"/>
      <c r="C286" s="1276"/>
      <c r="D286" s="1276"/>
      <c r="E286" s="1280"/>
      <c r="F286" s="1276"/>
      <c r="G286" s="1276"/>
      <c r="H286" s="1276"/>
      <c r="I286" s="1276"/>
      <c r="J286" s="1276"/>
      <c r="K286" s="1276"/>
      <c r="L286" s="1279"/>
    </row>
    <row r="287" spans="1:12">
      <c r="A287" s="1275"/>
      <c r="B287" s="1276"/>
      <c r="C287" s="1276"/>
      <c r="D287" s="1280"/>
      <c r="E287" s="1276"/>
      <c r="F287" s="1276"/>
      <c r="G287" s="1276"/>
      <c r="H287" s="1276"/>
      <c r="I287" s="1276"/>
      <c r="J287" s="1276"/>
      <c r="K287" s="1276"/>
      <c r="L287" s="1279"/>
    </row>
    <row r="288" spans="1:12">
      <c r="A288" s="1281"/>
      <c r="B288" s="1282"/>
      <c r="C288" s="1282"/>
      <c r="D288" s="1282"/>
      <c r="E288" s="1282"/>
      <c r="F288" s="1282"/>
      <c r="G288" s="1282"/>
      <c r="H288" s="1282"/>
      <c r="I288" s="1282"/>
      <c r="J288" s="1282"/>
      <c r="K288" s="1282"/>
      <c r="L288" s="1283"/>
    </row>
    <row r="289" spans="1:12">
      <c r="A289" s="1275"/>
      <c r="B289" s="1276"/>
      <c r="C289" s="1276"/>
      <c r="D289" s="1276"/>
      <c r="E289" s="1276"/>
      <c r="F289" s="1276"/>
      <c r="G289" s="1276"/>
      <c r="H289" s="1276"/>
      <c r="I289" s="1276"/>
      <c r="J289" s="1276"/>
      <c r="K289" s="1276"/>
      <c r="L289" s="1279"/>
    </row>
    <row r="290" spans="1:12">
      <c r="A290" s="1281"/>
      <c r="B290" s="1282"/>
      <c r="C290" s="1282"/>
      <c r="D290" s="1282"/>
      <c r="E290" s="1282"/>
      <c r="F290" s="1282"/>
      <c r="G290" s="1282"/>
      <c r="H290" s="1282"/>
      <c r="I290" s="1282"/>
      <c r="J290" s="1282"/>
      <c r="K290" s="1282"/>
      <c r="L290" s="1283"/>
    </row>
    <row r="291" spans="1:12">
      <c r="A291" s="1275"/>
      <c r="B291" s="1276"/>
      <c r="C291" s="1276"/>
      <c r="D291" s="1280"/>
      <c r="E291" s="1276"/>
      <c r="F291" s="1276"/>
      <c r="G291" s="1276"/>
      <c r="H291" s="1276"/>
      <c r="I291" s="1276"/>
      <c r="J291" s="1276"/>
      <c r="K291" s="1276"/>
      <c r="L291" s="1279"/>
    </row>
    <row r="292" spans="1:12">
      <c r="A292" s="1281"/>
      <c r="B292" s="1282"/>
      <c r="C292" s="1282"/>
      <c r="D292" s="1282"/>
      <c r="E292" s="1282"/>
      <c r="F292" s="1282"/>
      <c r="G292" s="1282"/>
      <c r="H292" s="1282"/>
      <c r="I292" s="1282"/>
      <c r="J292" s="1282"/>
      <c r="K292" s="1282"/>
      <c r="L292" s="1283"/>
    </row>
    <row r="293" spans="1:12">
      <c r="A293" s="1281"/>
      <c r="B293" s="1282"/>
      <c r="C293" s="1282"/>
      <c r="D293" s="1282"/>
      <c r="E293" s="1282"/>
      <c r="F293" s="1282"/>
      <c r="G293" s="1282"/>
      <c r="H293" s="1282"/>
      <c r="I293" s="1282"/>
      <c r="J293" s="1282"/>
      <c r="K293" s="1282"/>
      <c r="L293" s="1283"/>
    </row>
    <row r="294" spans="1:12">
      <c r="A294" s="1281"/>
      <c r="B294" s="1282"/>
      <c r="C294" s="1282"/>
      <c r="D294" s="1282"/>
      <c r="E294" s="1282"/>
      <c r="F294" s="1282"/>
      <c r="G294" s="1282"/>
      <c r="H294" s="1282"/>
      <c r="I294" s="1282"/>
      <c r="J294" s="1282"/>
      <c r="K294" s="1282"/>
      <c r="L294" s="1283"/>
    </row>
    <row r="295" spans="1:12">
      <c r="A295" s="1281"/>
      <c r="B295" s="1282"/>
      <c r="C295" s="1282"/>
      <c r="D295" s="1282"/>
      <c r="E295" s="1282"/>
      <c r="F295" s="1282"/>
      <c r="G295" s="1282"/>
      <c r="H295" s="1282"/>
      <c r="I295" s="1282"/>
      <c r="J295" s="1282"/>
      <c r="K295" s="1282"/>
      <c r="L295" s="1283"/>
    </row>
    <row r="296" spans="1:12">
      <c r="A296" s="1281"/>
      <c r="B296" s="1282"/>
      <c r="C296" s="1282"/>
      <c r="D296" s="1282"/>
      <c r="E296" s="1282"/>
      <c r="F296" s="1282"/>
      <c r="G296" s="1282"/>
      <c r="H296" s="1282"/>
      <c r="I296" s="1282"/>
      <c r="J296" s="1282"/>
      <c r="K296" s="1282"/>
      <c r="L296" s="1283"/>
    </row>
    <row r="297" spans="1:12">
      <c r="A297" s="1281"/>
      <c r="B297" s="1282"/>
      <c r="C297" s="1282"/>
      <c r="D297" s="1282"/>
      <c r="E297" s="1282"/>
      <c r="F297" s="1282"/>
      <c r="G297" s="1282"/>
      <c r="H297" s="1282"/>
      <c r="I297" s="1282"/>
      <c r="J297" s="1282"/>
      <c r="K297" s="1282"/>
      <c r="L297" s="1283"/>
    </row>
    <row r="298" spans="1:12">
      <c r="A298" s="1281"/>
      <c r="B298" s="1282"/>
      <c r="C298" s="1282"/>
      <c r="D298" s="1282"/>
      <c r="E298" s="1282"/>
      <c r="F298" s="1282"/>
      <c r="G298" s="1282"/>
      <c r="H298" s="1282"/>
      <c r="I298" s="1282"/>
      <c r="J298" s="1282"/>
      <c r="K298" s="1282"/>
      <c r="L298" s="1283"/>
    </row>
    <row r="299" spans="1:12">
      <c r="A299" s="1281"/>
      <c r="B299" s="1282"/>
      <c r="C299" s="1282"/>
      <c r="D299" s="1282"/>
      <c r="E299" s="1282"/>
      <c r="F299" s="1282"/>
      <c r="G299" s="1282"/>
      <c r="H299" s="1282"/>
      <c r="I299" s="1282"/>
      <c r="J299" s="1282"/>
      <c r="K299" s="1282"/>
      <c r="L299" s="1283"/>
    </row>
    <row r="300" spans="1:12">
      <c r="A300" s="1281"/>
      <c r="B300" s="1282"/>
      <c r="C300" s="1282"/>
      <c r="D300" s="1282"/>
      <c r="E300" s="1282"/>
      <c r="F300" s="1282"/>
      <c r="G300" s="1282"/>
      <c r="H300" s="1282"/>
      <c r="I300" s="1282"/>
      <c r="J300" s="1282"/>
      <c r="K300" s="1282"/>
      <c r="L300" s="1283"/>
    </row>
    <row r="301" spans="1:12">
      <c r="A301" s="1281"/>
      <c r="B301" s="1282"/>
      <c r="C301" s="1282"/>
      <c r="D301" s="1282"/>
      <c r="E301" s="1282"/>
      <c r="F301" s="1282"/>
      <c r="G301" s="1282"/>
      <c r="H301" s="1282"/>
      <c r="I301" s="1282"/>
      <c r="J301" s="1282"/>
      <c r="K301" s="1282"/>
      <c r="L301" s="1283"/>
    </row>
    <row r="302" spans="1:12">
      <c r="A302" s="1281"/>
      <c r="B302" s="1282"/>
      <c r="C302" s="1282"/>
      <c r="D302" s="1282"/>
      <c r="E302" s="1282"/>
      <c r="F302" s="1282"/>
      <c r="G302" s="1282"/>
      <c r="H302" s="1282"/>
      <c r="I302" s="1282"/>
      <c r="J302" s="1282"/>
      <c r="K302" s="1282"/>
      <c r="L302" s="1283"/>
    </row>
    <row r="303" spans="1:12">
      <c r="A303" s="1281"/>
      <c r="B303" s="1282"/>
      <c r="C303" s="1282"/>
      <c r="D303" s="1282"/>
      <c r="E303" s="1282"/>
      <c r="F303" s="1282"/>
      <c r="G303" s="1282"/>
      <c r="H303" s="1282"/>
      <c r="I303" s="1282"/>
      <c r="J303" s="1282"/>
      <c r="K303" s="1282"/>
      <c r="L303" s="1283"/>
    </row>
    <row r="304" spans="1:12">
      <c r="A304" s="1281"/>
      <c r="B304" s="1282"/>
      <c r="C304" s="1282"/>
      <c r="D304" s="1282"/>
      <c r="E304" s="1282"/>
      <c r="F304" s="1282"/>
      <c r="G304" s="1282"/>
      <c r="H304" s="1282"/>
      <c r="I304" s="1282"/>
      <c r="J304" s="1282"/>
      <c r="K304" s="1282"/>
      <c r="L304" s="1283"/>
    </row>
    <row r="305" spans="1:12">
      <c r="A305" s="1281"/>
      <c r="B305" s="1282"/>
      <c r="C305" s="1282"/>
      <c r="D305" s="1282"/>
      <c r="E305" s="1282"/>
      <c r="F305" s="1282"/>
      <c r="G305" s="1282"/>
      <c r="H305" s="1282"/>
      <c r="I305" s="1282"/>
      <c r="J305" s="1282"/>
      <c r="K305" s="1282"/>
      <c r="L305" s="1283"/>
    </row>
    <row r="306" spans="1:12">
      <c r="A306" s="1281"/>
      <c r="B306" s="1282"/>
      <c r="C306" s="1282"/>
      <c r="D306" s="1282"/>
      <c r="E306" s="1282"/>
      <c r="F306" s="1282"/>
      <c r="G306" s="1282"/>
      <c r="H306" s="1282"/>
      <c r="I306" s="1282"/>
      <c r="J306" s="1282"/>
      <c r="K306" s="1282"/>
      <c r="L306" s="1283"/>
    </row>
    <row r="307" spans="1:12">
      <c r="A307" s="1281"/>
      <c r="B307" s="1282"/>
      <c r="C307" s="1282"/>
      <c r="D307" s="1282"/>
      <c r="E307" s="1282"/>
      <c r="F307" s="1282"/>
      <c r="G307" s="1282"/>
      <c r="H307" s="1282"/>
      <c r="I307" s="1282"/>
      <c r="J307" s="1282"/>
      <c r="K307" s="1282"/>
      <c r="L307" s="1283"/>
    </row>
    <row r="308" spans="1:12">
      <c r="A308" s="1281"/>
      <c r="B308" s="1282"/>
      <c r="C308" s="1282"/>
      <c r="D308" s="1282"/>
      <c r="E308" s="1282"/>
      <c r="F308" s="1282"/>
      <c r="G308" s="1282"/>
      <c r="H308" s="1282"/>
      <c r="I308" s="1282"/>
      <c r="J308" s="1282"/>
      <c r="K308" s="1282"/>
      <c r="L308" s="1283"/>
    </row>
    <row r="309" spans="1:12">
      <c r="A309" s="1281"/>
      <c r="B309" s="1282"/>
      <c r="C309" s="1282"/>
      <c r="D309" s="1282"/>
      <c r="E309" s="1282"/>
      <c r="F309" s="1282"/>
      <c r="G309" s="1282"/>
      <c r="H309" s="1282"/>
      <c r="I309" s="1282"/>
      <c r="J309" s="1282"/>
      <c r="K309" s="1282"/>
      <c r="L309" s="1283"/>
    </row>
    <row r="310" spans="1:12">
      <c r="A310" s="1281"/>
      <c r="B310" s="1282"/>
      <c r="C310" s="1282"/>
      <c r="D310" s="1282"/>
      <c r="E310" s="1282"/>
      <c r="F310" s="1282"/>
      <c r="G310" s="1282"/>
      <c r="H310" s="1282"/>
      <c r="I310" s="1282"/>
      <c r="J310" s="1282"/>
      <c r="K310" s="1282"/>
      <c r="L310" s="1283"/>
    </row>
    <row r="311" spans="1:12">
      <c r="A311" s="1281"/>
      <c r="B311" s="1282"/>
      <c r="C311" s="1282"/>
      <c r="D311" s="1282"/>
      <c r="E311" s="1282"/>
      <c r="F311" s="1282"/>
      <c r="G311" s="1282"/>
      <c r="H311" s="1282"/>
      <c r="I311" s="1282"/>
      <c r="J311" s="1282"/>
      <c r="K311" s="1282"/>
      <c r="L311" s="1283"/>
    </row>
    <row r="312" spans="1:12">
      <c r="A312" s="1281"/>
      <c r="B312" s="1282"/>
      <c r="C312" s="1282"/>
      <c r="D312" s="1282"/>
      <c r="E312" s="1282"/>
      <c r="F312" s="1282"/>
      <c r="G312" s="1282"/>
      <c r="H312" s="1282"/>
      <c r="I312" s="1282"/>
      <c r="J312" s="1282"/>
      <c r="K312" s="1282"/>
      <c r="L312" s="1283"/>
    </row>
    <row r="313" spans="1:12">
      <c r="A313" s="1281"/>
      <c r="B313" s="1282"/>
      <c r="C313" s="1282"/>
      <c r="D313" s="1282"/>
      <c r="E313" s="1282"/>
      <c r="F313" s="1282"/>
      <c r="G313" s="1282"/>
      <c r="H313" s="1282"/>
      <c r="I313" s="1282"/>
      <c r="J313" s="1282"/>
      <c r="K313" s="1282"/>
      <c r="L313" s="1283"/>
    </row>
    <row r="314" spans="1:12">
      <c r="A314" s="1281"/>
      <c r="B314" s="1282"/>
      <c r="C314" s="1282"/>
      <c r="D314" s="1282"/>
      <c r="E314" s="1282"/>
      <c r="F314" s="1282"/>
      <c r="G314" s="1282"/>
      <c r="H314" s="1282"/>
      <c r="I314" s="1282"/>
      <c r="J314" s="1282"/>
      <c r="K314" s="1282"/>
      <c r="L314" s="1283"/>
    </row>
    <row r="315" spans="1:12">
      <c r="A315" s="1281"/>
      <c r="B315" s="1282"/>
      <c r="C315" s="1282"/>
      <c r="D315" s="1282"/>
      <c r="E315" s="1282"/>
      <c r="F315" s="1282"/>
      <c r="G315" s="1282"/>
      <c r="H315" s="1282"/>
      <c r="I315" s="1282"/>
      <c r="J315" s="1282"/>
      <c r="K315" s="1282"/>
      <c r="L315" s="1283"/>
    </row>
    <row r="316" spans="1:12">
      <c r="A316" s="1281"/>
      <c r="B316" s="1282"/>
      <c r="C316" s="1282"/>
      <c r="D316" s="1282"/>
      <c r="E316" s="1282"/>
      <c r="F316" s="1282"/>
      <c r="G316" s="1282"/>
      <c r="H316" s="1282"/>
      <c r="I316" s="1282"/>
      <c r="J316" s="1282"/>
      <c r="K316" s="1282"/>
      <c r="L316" s="1283"/>
    </row>
    <row r="317" spans="1:12">
      <c r="A317" s="1281"/>
      <c r="B317" s="1282"/>
      <c r="C317" s="1282"/>
      <c r="D317" s="1282"/>
      <c r="E317" s="1282"/>
      <c r="F317" s="1282"/>
      <c r="G317" s="1282"/>
      <c r="H317" s="1282"/>
      <c r="I317" s="1282"/>
      <c r="J317" s="1282"/>
      <c r="K317" s="1282"/>
      <c r="L317" s="1283"/>
    </row>
    <row r="318" spans="1:12">
      <c r="A318" s="1281"/>
      <c r="B318" s="1282"/>
      <c r="C318" s="1282"/>
      <c r="D318" s="1282"/>
      <c r="E318" s="1282"/>
      <c r="F318" s="1282"/>
      <c r="G318" s="1282"/>
      <c r="H318" s="1282"/>
      <c r="I318" s="1282"/>
      <c r="J318" s="1282"/>
      <c r="K318" s="1282"/>
      <c r="L318" s="1283"/>
    </row>
    <row r="319" spans="1:12">
      <c r="A319" s="1281"/>
      <c r="B319" s="1282"/>
      <c r="C319" s="1282"/>
      <c r="D319" s="1282"/>
      <c r="E319" s="1282"/>
      <c r="F319" s="1282"/>
      <c r="G319" s="1282"/>
      <c r="H319" s="1282"/>
      <c r="I319" s="1282"/>
      <c r="J319" s="1282"/>
      <c r="K319" s="1282"/>
      <c r="L319" s="1283"/>
    </row>
    <row r="320" spans="1:12">
      <c r="A320" s="1281"/>
      <c r="B320" s="1282"/>
      <c r="C320" s="1282"/>
      <c r="D320" s="1282"/>
      <c r="E320" s="1282"/>
      <c r="F320" s="1282"/>
      <c r="G320" s="1282"/>
      <c r="H320" s="1282"/>
      <c r="I320" s="1282"/>
      <c r="J320" s="1282"/>
      <c r="K320" s="1282"/>
      <c r="L320" s="1283"/>
    </row>
    <row r="321" spans="1:12">
      <c r="A321" s="1281"/>
      <c r="B321" s="1282"/>
      <c r="C321" s="1282"/>
      <c r="D321" s="1282"/>
      <c r="E321" s="1282"/>
      <c r="F321" s="1282"/>
      <c r="G321" s="1282"/>
      <c r="H321" s="1282"/>
      <c r="I321" s="1282"/>
      <c r="J321" s="1282"/>
      <c r="K321" s="1282"/>
      <c r="L321" s="1283"/>
    </row>
    <row r="322" spans="1:12">
      <c r="A322" s="1281"/>
      <c r="B322" s="1282"/>
      <c r="C322" s="1282"/>
      <c r="D322" s="1282"/>
      <c r="E322" s="1282"/>
      <c r="F322" s="1282"/>
      <c r="G322" s="1282"/>
      <c r="H322" s="1282"/>
      <c r="I322" s="1282"/>
      <c r="J322" s="1282"/>
      <c r="K322" s="1282"/>
      <c r="L322" s="1283"/>
    </row>
    <row r="323" spans="1:12">
      <c r="A323" s="1281"/>
      <c r="B323" s="1282"/>
      <c r="C323" s="1282"/>
      <c r="D323" s="1282"/>
      <c r="E323" s="1282"/>
      <c r="F323" s="1282"/>
      <c r="G323" s="1282"/>
      <c r="H323" s="1282"/>
      <c r="I323" s="1282"/>
      <c r="J323" s="1282"/>
      <c r="K323" s="1282"/>
      <c r="L323" s="1283"/>
    </row>
    <row r="324" spans="1:12">
      <c r="A324" s="1281"/>
      <c r="B324" s="1282"/>
      <c r="C324" s="1282"/>
      <c r="D324" s="1282"/>
      <c r="E324" s="1282"/>
      <c r="F324" s="1282"/>
      <c r="G324" s="1282"/>
      <c r="H324" s="1282"/>
      <c r="I324" s="1282"/>
      <c r="J324" s="1282"/>
      <c r="K324" s="1282"/>
      <c r="L324" s="1283"/>
    </row>
    <row r="325" spans="1:12">
      <c r="A325" s="1281"/>
      <c r="B325" s="1282"/>
      <c r="C325" s="1282"/>
      <c r="D325" s="1282"/>
      <c r="E325" s="1282"/>
      <c r="F325" s="1282"/>
      <c r="G325" s="1282"/>
      <c r="H325" s="1282"/>
      <c r="I325" s="1282"/>
      <c r="J325" s="1282"/>
      <c r="K325" s="1282"/>
      <c r="L325" s="1283"/>
    </row>
    <row r="326" spans="1:12">
      <c r="A326" s="1281"/>
      <c r="B326" s="1282"/>
      <c r="C326" s="1282"/>
      <c r="D326" s="1282"/>
      <c r="E326" s="1282"/>
      <c r="F326" s="1282"/>
      <c r="G326" s="1282"/>
      <c r="H326" s="1282"/>
      <c r="I326" s="1282"/>
      <c r="J326" s="1282"/>
      <c r="K326" s="1282"/>
      <c r="L326" s="1283"/>
    </row>
    <row r="327" spans="1:12">
      <c r="A327" s="1259"/>
      <c r="B327" s="1259"/>
      <c r="C327" s="1259"/>
      <c r="D327" s="1259"/>
      <c r="E327" s="1259"/>
      <c r="F327" s="1259"/>
      <c r="G327" s="1259"/>
      <c r="H327" s="1259"/>
      <c r="I327" s="1259"/>
      <c r="J327" s="1259"/>
      <c r="K327" s="1259"/>
      <c r="L327" s="1259"/>
    </row>
    <row r="328" spans="1:12">
      <c r="A328" s="1260"/>
      <c r="B328" s="1261"/>
      <c r="C328" s="1261"/>
      <c r="D328" s="1261"/>
      <c r="E328" s="1261"/>
      <c r="F328" s="1261"/>
      <c r="G328" s="1261"/>
      <c r="H328" s="1261"/>
      <c r="I328" s="1261"/>
      <c r="J328" s="1261"/>
      <c r="K328" s="1261"/>
      <c r="L328" s="1262"/>
    </row>
    <row r="329" spans="1:12">
      <c r="A329" s="1260"/>
      <c r="B329" s="1261"/>
      <c r="C329" s="1261"/>
      <c r="D329" s="1261"/>
      <c r="E329" s="1261"/>
      <c r="F329" s="1261"/>
      <c r="G329" s="1261"/>
      <c r="H329" s="1261"/>
      <c r="I329" s="1261"/>
      <c r="J329" s="1261"/>
      <c r="K329" s="1261"/>
      <c r="L329" s="1262"/>
    </row>
    <row r="330" spans="1:12">
      <c r="A330" s="1260"/>
      <c r="B330" s="1261"/>
      <c r="C330" s="1261"/>
      <c r="D330" s="1261"/>
      <c r="E330" s="1261"/>
      <c r="F330" s="1261"/>
      <c r="G330" s="1261"/>
      <c r="H330" s="1261"/>
      <c r="I330" s="1261"/>
      <c r="J330" s="1261"/>
      <c r="K330" s="1261"/>
      <c r="L330" s="1262"/>
    </row>
    <row r="331" spans="1:12">
      <c r="A331" s="1260"/>
      <c r="B331" s="1261"/>
      <c r="C331" s="1261"/>
      <c r="D331" s="1261"/>
      <c r="E331" s="1261"/>
      <c r="F331" s="1261"/>
      <c r="G331" s="1261"/>
      <c r="H331" s="1261"/>
      <c r="I331" s="1261"/>
      <c r="J331" s="1261"/>
      <c r="K331" s="1261"/>
      <c r="L331" s="1262"/>
    </row>
    <row r="332" spans="1:12">
      <c r="A332" s="1260"/>
      <c r="B332" s="1261"/>
      <c r="C332" s="1261"/>
      <c r="D332" s="1261"/>
      <c r="E332" s="1261"/>
      <c r="F332" s="1261"/>
      <c r="G332" s="1261"/>
      <c r="H332" s="1261"/>
      <c r="I332" s="1261"/>
      <c r="J332" s="1261"/>
      <c r="K332" s="1261"/>
      <c r="L332" s="1262"/>
    </row>
    <row r="333" spans="1:12">
      <c r="A333" s="1260"/>
      <c r="B333" s="1261"/>
      <c r="C333" s="1261"/>
      <c r="D333" s="1261"/>
      <c r="E333" s="1261"/>
      <c r="F333" s="1261"/>
      <c r="G333" s="1261"/>
      <c r="H333" s="1261"/>
      <c r="I333" s="1261"/>
      <c r="J333" s="1261"/>
      <c r="K333" s="1261"/>
      <c r="L333" s="1262"/>
    </row>
    <row r="334" spans="1:12">
      <c r="A334" s="1260"/>
      <c r="B334" s="1261"/>
      <c r="C334" s="1261"/>
      <c r="D334" s="1261"/>
      <c r="E334" s="1261"/>
      <c r="F334" s="1261"/>
      <c r="G334" s="1261"/>
      <c r="H334" s="1261"/>
      <c r="I334" s="1261"/>
      <c r="J334" s="1261"/>
      <c r="K334" s="1261"/>
      <c r="L334" s="1262"/>
    </row>
    <row r="335" spans="1:12">
      <c r="A335" s="1260"/>
      <c r="B335" s="1261"/>
      <c r="C335" s="1261"/>
      <c r="D335" s="1261"/>
      <c r="E335" s="1261"/>
      <c r="F335" s="1261"/>
      <c r="G335" s="1261"/>
      <c r="H335" s="1261"/>
      <c r="I335" s="1261"/>
      <c r="J335" s="1261"/>
      <c r="K335" s="1261"/>
      <c r="L335" s="1262"/>
    </row>
    <row r="336" spans="1:12">
      <c r="A336" s="1260"/>
      <c r="B336" s="1261"/>
      <c r="C336" s="1261"/>
      <c r="D336" s="1261"/>
      <c r="E336" s="1261"/>
      <c r="F336" s="1261"/>
      <c r="G336" s="1261"/>
      <c r="H336" s="1261"/>
      <c r="I336" s="1261"/>
      <c r="J336" s="1261"/>
      <c r="K336" s="1261"/>
      <c r="L336" s="1262"/>
    </row>
    <row r="337" spans="1:12">
      <c r="A337" s="1260"/>
      <c r="B337" s="1261"/>
      <c r="C337" s="1261"/>
      <c r="D337" s="1261"/>
      <c r="E337" s="1261"/>
      <c r="F337" s="1261"/>
      <c r="G337" s="1261"/>
      <c r="H337" s="1261"/>
      <c r="I337" s="1261"/>
      <c r="J337" s="1261"/>
      <c r="K337" s="1261"/>
      <c r="L337" s="1262"/>
    </row>
    <row r="338" spans="1:12">
      <c r="A338" s="1260"/>
      <c r="B338" s="1261"/>
      <c r="C338" s="1261"/>
      <c r="D338" s="1261"/>
      <c r="E338" s="1261"/>
      <c r="F338" s="1261"/>
      <c r="G338" s="1261"/>
      <c r="H338" s="1261"/>
      <c r="I338" s="1261"/>
      <c r="J338" s="1261"/>
      <c r="K338" s="1261"/>
      <c r="L338" s="1262"/>
    </row>
    <row r="339" spans="1:12">
      <c r="A339" s="1260"/>
      <c r="B339" s="1261"/>
      <c r="C339" s="1261"/>
      <c r="D339" s="1261"/>
      <c r="E339" s="1261"/>
      <c r="F339" s="1261"/>
      <c r="G339" s="1261"/>
      <c r="H339" s="1261"/>
      <c r="I339" s="1261"/>
      <c r="J339" s="1261"/>
      <c r="K339" s="1261"/>
      <c r="L339" s="1262"/>
    </row>
    <row r="340" spans="1:12">
      <c r="A340" s="1260"/>
      <c r="B340" s="1261"/>
      <c r="C340" s="1261"/>
      <c r="D340" s="1261"/>
      <c r="E340" s="1261"/>
      <c r="F340" s="1261"/>
      <c r="G340" s="1261"/>
      <c r="H340" s="1261"/>
      <c r="I340" s="1261"/>
      <c r="J340" s="1261"/>
      <c r="K340" s="1261"/>
      <c r="L340" s="1262"/>
    </row>
    <row r="341" spans="1:12">
      <c r="A341" s="1263"/>
      <c r="B341" s="1264"/>
      <c r="C341" s="1264"/>
      <c r="D341" s="1264"/>
      <c r="E341" s="1264"/>
      <c r="F341" s="1264"/>
      <c r="G341" s="1264"/>
      <c r="H341" s="1264"/>
      <c r="I341" s="1264"/>
      <c r="J341" s="1264"/>
      <c r="K341" s="1264"/>
      <c r="L341" s="1265"/>
    </row>
    <row r="342" spans="1:12">
      <c r="A342" s="1263"/>
      <c r="B342" s="1264"/>
      <c r="C342" s="1266"/>
      <c r="D342" s="1266"/>
      <c r="E342" s="1266"/>
      <c r="F342" s="1264"/>
      <c r="G342" s="1264"/>
      <c r="H342" s="1264"/>
      <c r="I342" s="1264"/>
      <c r="J342" s="1264"/>
      <c r="K342" s="1267"/>
      <c r="L342" s="1268"/>
    </row>
    <row r="343" spans="1:12" ht="15.75">
      <c r="A343" s="1269"/>
      <c r="B343" s="1264"/>
      <c r="C343" s="1264"/>
      <c r="D343" s="1264"/>
      <c r="E343" s="1264"/>
      <c r="F343" s="1270"/>
      <c r="G343" s="1264"/>
      <c r="H343" s="1264"/>
      <c r="I343" s="1264"/>
      <c r="J343" s="1264"/>
      <c r="K343" s="1264"/>
      <c r="L343" s="1265"/>
    </row>
    <row r="344" spans="1:12">
      <c r="A344" s="1263"/>
      <c r="B344" s="1264"/>
      <c r="C344" s="1264"/>
      <c r="D344" s="1264"/>
      <c r="E344" s="1271"/>
      <c r="F344" s="1264"/>
      <c r="G344" s="1264"/>
      <c r="H344" s="1264"/>
      <c r="I344" s="1264"/>
      <c r="J344" s="1264"/>
      <c r="K344" s="1267"/>
      <c r="L344" s="1268"/>
    </row>
    <row r="345" spans="1:12">
      <c r="A345" s="1263"/>
      <c r="B345" s="1264"/>
      <c r="C345" s="1264"/>
      <c r="D345" s="1271"/>
      <c r="E345" s="1264"/>
      <c r="F345" s="1264"/>
      <c r="G345" s="1264"/>
      <c r="H345" s="1264"/>
      <c r="I345" s="1264"/>
      <c r="J345" s="1264"/>
      <c r="K345" s="1264"/>
      <c r="L345" s="1265"/>
    </row>
    <row r="346" spans="1:12">
      <c r="A346" s="1272"/>
      <c r="B346" s="1272"/>
      <c r="C346" s="1272"/>
      <c r="D346" s="1272"/>
      <c r="E346" s="1272"/>
      <c r="F346" s="1272"/>
      <c r="G346" s="1272"/>
      <c r="H346" s="1272"/>
      <c r="I346" s="1272"/>
      <c r="J346" s="1272"/>
      <c r="K346" s="1273"/>
      <c r="L346" s="1274"/>
    </row>
    <row r="347" spans="1:12">
      <c r="A347" s="1275"/>
      <c r="B347" s="1276"/>
      <c r="C347" s="1276"/>
      <c r="D347" s="1276"/>
      <c r="E347" s="1276"/>
      <c r="F347" s="1276"/>
      <c r="G347" s="1276"/>
      <c r="H347" s="1276"/>
      <c r="I347" s="1276"/>
      <c r="J347" s="1276"/>
      <c r="K347" s="1276"/>
      <c r="L347" s="1262"/>
    </row>
    <row r="348" spans="1:12">
      <c r="A348" s="1277"/>
      <c r="B348" s="1277"/>
      <c r="C348" s="1277"/>
      <c r="D348" s="1277"/>
      <c r="E348" s="1277"/>
      <c r="F348" s="1277"/>
      <c r="G348" s="1277"/>
      <c r="H348" s="1277"/>
      <c r="I348" s="1277"/>
      <c r="J348" s="1277"/>
      <c r="K348" s="1256"/>
      <c r="L348" s="1278"/>
    </row>
    <row r="349" spans="1:12">
      <c r="A349" s="1275"/>
      <c r="B349" s="1276"/>
      <c r="C349" s="1276"/>
      <c r="D349" s="1276"/>
      <c r="E349" s="1276"/>
      <c r="F349" s="1276"/>
      <c r="G349" s="1276"/>
      <c r="H349" s="1276"/>
      <c r="I349" s="1276"/>
      <c r="J349" s="1276"/>
      <c r="K349" s="1276"/>
      <c r="L349" s="1279"/>
    </row>
    <row r="350" spans="1:12">
      <c r="A350" s="1275"/>
      <c r="B350" s="1276"/>
      <c r="C350" s="1276"/>
      <c r="D350" s="1276"/>
      <c r="E350" s="1280"/>
      <c r="F350" s="1276"/>
      <c r="G350" s="1276"/>
      <c r="H350" s="1276"/>
      <c r="I350" s="1276"/>
      <c r="J350" s="1276"/>
      <c r="K350" s="1276"/>
      <c r="L350" s="1279"/>
    </row>
    <row r="351" spans="1:12">
      <c r="A351" s="1275"/>
      <c r="B351" s="1276"/>
      <c r="C351" s="1276"/>
      <c r="D351" s="1276"/>
      <c r="E351" s="1280"/>
      <c r="F351" s="1276"/>
      <c r="G351" s="1276"/>
      <c r="H351" s="1276"/>
      <c r="I351" s="1276"/>
      <c r="J351" s="1276"/>
      <c r="K351" s="1276"/>
      <c r="L351" s="1279"/>
    </row>
    <row r="352" spans="1:12">
      <c r="A352" s="1275"/>
      <c r="B352" s="1276"/>
      <c r="C352" s="1276"/>
      <c r="D352" s="1280"/>
      <c r="E352" s="1276"/>
      <c r="F352" s="1276"/>
      <c r="G352" s="1276"/>
      <c r="H352" s="1276"/>
      <c r="I352" s="1276"/>
      <c r="J352" s="1276"/>
      <c r="K352" s="1276"/>
      <c r="L352" s="1279"/>
    </row>
    <row r="353" spans="1:12">
      <c r="A353" s="1281"/>
      <c r="B353" s="1282"/>
      <c r="C353" s="1282"/>
      <c r="D353" s="1282"/>
      <c r="E353" s="1282"/>
      <c r="F353" s="1282"/>
      <c r="G353" s="1282"/>
      <c r="H353" s="1282"/>
      <c r="I353" s="1282"/>
      <c r="J353" s="1282"/>
      <c r="K353" s="1282"/>
      <c r="L353" s="1283"/>
    </row>
    <row r="354" spans="1:12">
      <c r="A354" s="1275"/>
      <c r="B354" s="1276"/>
      <c r="C354" s="1276"/>
      <c r="D354" s="1276"/>
      <c r="E354" s="1276"/>
      <c r="F354" s="1276"/>
      <c r="G354" s="1276"/>
      <c r="H354" s="1276"/>
      <c r="I354" s="1276"/>
      <c r="J354" s="1276"/>
      <c r="K354" s="1276"/>
      <c r="L354" s="1279"/>
    </row>
    <row r="355" spans="1:12">
      <c r="A355" s="1281"/>
      <c r="B355" s="1282"/>
      <c r="C355" s="1282"/>
      <c r="D355" s="1282"/>
      <c r="E355" s="1282"/>
      <c r="F355" s="1282"/>
      <c r="G355" s="1282"/>
      <c r="H355" s="1282"/>
      <c r="I355" s="1282"/>
      <c r="J355" s="1282"/>
      <c r="K355" s="1282"/>
      <c r="L355" s="1283"/>
    </row>
    <row r="356" spans="1:12">
      <c r="A356" s="1275"/>
      <c r="B356" s="1276"/>
      <c r="C356" s="1276"/>
      <c r="D356" s="1280"/>
      <c r="E356" s="1276"/>
      <c r="F356" s="1276"/>
      <c r="G356" s="1276"/>
      <c r="H356" s="1276"/>
      <c r="I356" s="1276"/>
      <c r="J356" s="1276"/>
      <c r="K356" s="1276"/>
      <c r="L356" s="1279"/>
    </row>
    <row r="357" spans="1:12">
      <c r="A357" s="1281"/>
      <c r="B357" s="1282"/>
      <c r="C357" s="1282"/>
      <c r="D357" s="1282"/>
      <c r="E357" s="1282"/>
      <c r="F357" s="1282"/>
      <c r="G357" s="1282"/>
      <c r="H357" s="1282"/>
      <c r="I357" s="1282"/>
      <c r="J357" s="1282"/>
      <c r="K357" s="1282"/>
      <c r="L357" s="1283"/>
    </row>
    <row r="358" spans="1:12">
      <c r="A358" s="1281"/>
      <c r="B358" s="1282"/>
      <c r="C358" s="1282"/>
      <c r="D358" s="1282"/>
      <c r="E358" s="1282"/>
      <c r="F358" s="1282"/>
      <c r="G358" s="1282"/>
      <c r="H358" s="1282"/>
      <c r="I358" s="1282"/>
      <c r="J358" s="1282"/>
      <c r="K358" s="1282"/>
      <c r="L358" s="1283"/>
    </row>
    <row r="359" spans="1:12">
      <c r="A359" s="1281"/>
      <c r="B359" s="1282"/>
      <c r="C359" s="1282"/>
      <c r="D359" s="1282"/>
      <c r="E359" s="1282"/>
      <c r="F359" s="1282"/>
      <c r="G359" s="1282"/>
      <c r="H359" s="1282"/>
      <c r="I359" s="1282"/>
      <c r="J359" s="1282"/>
      <c r="K359" s="1282"/>
      <c r="L359" s="1283"/>
    </row>
    <row r="360" spans="1:12">
      <c r="A360" s="1281"/>
      <c r="B360" s="1282"/>
      <c r="C360" s="1282"/>
      <c r="D360" s="1282"/>
      <c r="E360" s="1282"/>
      <c r="F360" s="1282"/>
      <c r="G360" s="1282"/>
      <c r="H360" s="1282"/>
      <c r="I360" s="1282"/>
      <c r="J360" s="1282"/>
      <c r="K360" s="1282"/>
      <c r="L360" s="1283"/>
    </row>
    <row r="361" spans="1:12">
      <c r="A361" s="1281"/>
      <c r="B361" s="1282"/>
      <c r="C361" s="1282"/>
      <c r="D361" s="1282"/>
      <c r="E361" s="1282"/>
      <c r="F361" s="1282"/>
      <c r="G361" s="1282"/>
      <c r="H361" s="1282"/>
      <c r="I361" s="1282"/>
      <c r="J361" s="1282"/>
      <c r="K361" s="1282"/>
      <c r="L361" s="1283"/>
    </row>
    <row r="362" spans="1:12">
      <c r="A362" s="1281"/>
      <c r="B362" s="1282"/>
      <c r="C362" s="1282"/>
      <c r="D362" s="1282"/>
      <c r="E362" s="1282"/>
      <c r="F362" s="1282"/>
      <c r="G362" s="1282"/>
      <c r="H362" s="1282"/>
      <c r="I362" s="1282"/>
      <c r="J362" s="1282"/>
      <c r="K362" s="1282"/>
      <c r="L362" s="1283"/>
    </row>
    <row r="363" spans="1:12">
      <c r="A363" s="1281"/>
      <c r="B363" s="1282"/>
      <c r="C363" s="1282"/>
      <c r="D363" s="1282"/>
      <c r="E363" s="1282"/>
      <c r="F363" s="1282"/>
      <c r="G363" s="1282"/>
      <c r="H363" s="1282"/>
      <c r="I363" s="1282"/>
      <c r="J363" s="1282"/>
      <c r="K363" s="1282"/>
      <c r="L363" s="1283"/>
    </row>
    <row r="364" spans="1:12">
      <c r="A364" s="1281"/>
      <c r="B364" s="1282"/>
      <c r="C364" s="1282"/>
      <c r="D364" s="1282"/>
      <c r="E364" s="1282"/>
      <c r="F364" s="1282"/>
      <c r="G364" s="1282"/>
      <c r="H364" s="1282"/>
      <c r="I364" s="1282"/>
      <c r="J364" s="1282"/>
      <c r="K364" s="1282"/>
      <c r="L364" s="1283"/>
    </row>
    <row r="365" spans="1:12">
      <c r="A365" s="1281"/>
      <c r="B365" s="1282"/>
      <c r="C365" s="1282"/>
      <c r="D365" s="1282"/>
      <c r="E365" s="1282"/>
      <c r="F365" s="1282"/>
      <c r="G365" s="1282"/>
      <c r="H365" s="1282"/>
      <c r="I365" s="1282"/>
      <c r="J365" s="1282"/>
      <c r="K365" s="1282"/>
      <c r="L365" s="1283"/>
    </row>
    <row r="366" spans="1:12">
      <c r="A366" s="1281"/>
      <c r="B366" s="1282"/>
      <c r="C366" s="1282"/>
      <c r="D366" s="1282"/>
      <c r="E366" s="1282"/>
      <c r="F366" s="1282"/>
      <c r="G366" s="1282"/>
      <c r="H366" s="1282"/>
      <c r="I366" s="1282"/>
      <c r="J366" s="1282"/>
      <c r="K366" s="1282"/>
      <c r="L366" s="1283"/>
    </row>
    <row r="367" spans="1:12">
      <c r="A367" s="1281"/>
      <c r="B367" s="1282"/>
      <c r="C367" s="1282"/>
      <c r="D367" s="1282"/>
      <c r="E367" s="1282"/>
      <c r="F367" s="1282"/>
      <c r="G367" s="1282"/>
      <c r="H367" s="1282"/>
      <c r="I367" s="1282"/>
      <c r="J367" s="1282"/>
      <c r="K367" s="1282"/>
      <c r="L367" s="1283"/>
    </row>
    <row r="368" spans="1:12">
      <c r="A368" s="1281"/>
      <c r="B368" s="1282"/>
      <c r="C368" s="1282"/>
      <c r="D368" s="1282"/>
      <c r="E368" s="1282"/>
      <c r="F368" s="1282"/>
      <c r="G368" s="1282"/>
      <c r="H368" s="1282"/>
      <c r="I368" s="1282"/>
      <c r="J368" s="1282"/>
      <c r="K368" s="1282"/>
      <c r="L368" s="1283"/>
    </row>
    <row r="369" spans="1:12">
      <c r="A369" s="1281"/>
      <c r="B369" s="1282"/>
      <c r="C369" s="1282"/>
      <c r="D369" s="1282"/>
      <c r="E369" s="1282"/>
      <c r="F369" s="1282"/>
      <c r="G369" s="1282"/>
      <c r="H369" s="1282"/>
      <c r="I369" s="1282"/>
      <c r="J369" s="1282"/>
      <c r="K369" s="1282"/>
      <c r="L369" s="1283"/>
    </row>
    <row r="370" spans="1:12">
      <c r="A370" s="1281"/>
      <c r="B370" s="1282"/>
      <c r="C370" s="1282"/>
      <c r="D370" s="1282"/>
      <c r="E370" s="1282"/>
      <c r="F370" s="1282"/>
      <c r="G370" s="1282"/>
      <c r="H370" s="1282"/>
      <c r="I370" s="1282"/>
      <c r="J370" s="1282"/>
      <c r="K370" s="1282"/>
      <c r="L370" s="1283"/>
    </row>
    <row r="371" spans="1:12">
      <c r="A371" s="1281"/>
      <c r="B371" s="1282"/>
      <c r="C371" s="1282"/>
      <c r="D371" s="1282"/>
      <c r="E371" s="1282"/>
      <c r="F371" s="1282"/>
      <c r="G371" s="1282"/>
      <c r="H371" s="1282"/>
      <c r="I371" s="1282"/>
      <c r="J371" s="1282"/>
      <c r="K371" s="1282"/>
      <c r="L371" s="1283"/>
    </row>
    <row r="372" spans="1:12">
      <c r="A372" s="1281"/>
      <c r="B372" s="1282"/>
      <c r="C372" s="1282"/>
      <c r="D372" s="1282"/>
      <c r="E372" s="1282"/>
      <c r="F372" s="1282"/>
      <c r="G372" s="1282"/>
      <c r="H372" s="1282"/>
      <c r="I372" s="1282"/>
      <c r="J372" s="1282"/>
      <c r="K372" s="1282"/>
      <c r="L372" s="1283"/>
    </row>
    <row r="373" spans="1:12">
      <c r="A373" s="1281"/>
      <c r="B373" s="1282"/>
      <c r="C373" s="1282"/>
      <c r="D373" s="1282"/>
      <c r="E373" s="1282"/>
      <c r="F373" s="1282"/>
      <c r="G373" s="1282"/>
      <c r="H373" s="1282"/>
      <c r="I373" s="1282"/>
      <c r="J373" s="1282"/>
      <c r="K373" s="1282"/>
      <c r="L373" s="1283"/>
    </row>
    <row r="374" spans="1:12">
      <c r="A374" s="1281"/>
      <c r="B374" s="1282"/>
      <c r="C374" s="1282"/>
      <c r="D374" s="1282"/>
      <c r="E374" s="1282"/>
      <c r="F374" s="1282"/>
      <c r="G374" s="1282"/>
      <c r="H374" s="1282"/>
      <c r="I374" s="1282"/>
      <c r="J374" s="1282"/>
      <c r="K374" s="1282"/>
      <c r="L374" s="1283"/>
    </row>
    <row r="375" spans="1:12">
      <c r="A375" s="1281"/>
      <c r="B375" s="1282"/>
      <c r="C375" s="1282"/>
      <c r="D375" s="1282"/>
      <c r="E375" s="1282"/>
      <c r="F375" s="1282"/>
      <c r="G375" s="1282"/>
      <c r="H375" s="1282"/>
      <c r="I375" s="1282"/>
      <c r="J375" s="1282"/>
      <c r="K375" s="1282"/>
      <c r="L375" s="1283"/>
    </row>
    <row r="376" spans="1:12">
      <c r="A376" s="1281"/>
      <c r="B376" s="1282"/>
      <c r="C376" s="1282"/>
      <c r="D376" s="1282"/>
      <c r="E376" s="1282"/>
      <c r="F376" s="1282"/>
      <c r="G376" s="1282"/>
      <c r="H376" s="1282"/>
      <c r="I376" s="1282"/>
      <c r="J376" s="1282"/>
      <c r="K376" s="1282"/>
      <c r="L376" s="1283"/>
    </row>
    <row r="377" spans="1:12">
      <c r="A377" s="1281"/>
      <c r="B377" s="1282"/>
      <c r="C377" s="1282"/>
      <c r="D377" s="1282"/>
      <c r="E377" s="1282"/>
      <c r="F377" s="1282"/>
      <c r="G377" s="1282"/>
      <c r="H377" s="1282"/>
      <c r="I377" s="1282"/>
      <c r="J377" s="1282"/>
      <c r="K377" s="1282"/>
      <c r="L377" s="1283"/>
    </row>
    <row r="378" spans="1:12">
      <c r="A378" s="1281"/>
      <c r="B378" s="1282"/>
      <c r="C378" s="1282"/>
      <c r="D378" s="1282"/>
      <c r="E378" s="1282"/>
      <c r="F378" s="1282"/>
      <c r="G378" s="1282"/>
      <c r="H378" s="1282"/>
      <c r="I378" s="1282"/>
      <c r="J378" s="1282"/>
      <c r="K378" s="1282"/>
      <c r="L378" s="1283"/>
    </row>
    <row r="379" spans="1:12">
      <c r="A379" s="1281"/>
      <c r="B379" s="1282"/>
      <c r="C379" s="1282"/>
      <c r="D379" s="1282"/>
      <c r="E379" s="1282"/>
      <c r="F379" s="1282"/>
      <c r="G379" s="1282"/>
      <c r="H379" s="1282"/>
      <c r="I379" s="1282"/>
      <c r="J379" s="1282"/>
      <c r="K379" s="1282"/>
      <c r="L379" s="1283"/>
    </row>
    <row r="380" spans="1:12">
      <c r="A380" s="1281"/>
      <c r="B380" s="1282"/>
      <c r="C380" s="1282"/>
      <c r="D380" s="1282"/>
      <c r="E380" s="1282"/>
      <c r="F380" s="1282"/>
      <c r="G380" s="1282"/>
      <c r="H380" s="1282"/>
      <c r="I380" s="1282"/>
      <c r="J380" s="1282"/>
      <c r="K380" s="1282"/>
      <c r="L380" s="1283"/>
    </row>
    <row r="381" spans="1:12">
      <c r="A381" s="1281"/>
      <c r="B381" s="1282"/>
      <c r="C381" s="1282"/>
      <c r="D381" s="1282"/>
      <c r="E381" s="1282"/>
      <c r="F381" s="1282"/>
      <c r="G381" s="1282"/>
      <c r="H381" s="1282"/>
      <c r="I381" s="1282"/>
      <c r="J381" s="1282"/>
      <c r="K381" s="1282"/>
      <c r="L381" s="1283"/>
    </row>
    <row r="382" spans="1:12">
      <c r="A382" s="1281"/>
      <c r="B382" s="1282"/>
      <c r="C382" s="1282"/>
      <c r="D382" s="1282"/>
      <c r="E382" s="1282"/>
      <c r="F382" s="1282"/>
      <c r="G382" s="1282"/>
      <c r="H382" s="1282"/>
      <c r="I382" s="1282"/>
      <c r="J382" s="1282"/>
      <c r="K382" s="1282"/>
      <c r="L382" s="1283"/>
    </row>
    <row r="383" spans="1:12">
      <c r="A383" s="1281"/>
      <c r="B383" s="1282"/>
      <c r="C383" s="1282"/>
      <c r="D383" s="1282"/>
      <c r="E383" s="1282"/>
      <c r="F383" s="1282"/>
      <c r="G383" s="1282"/>
      <c r="H383" s="1282"/>
      <c r="I383" s="1282"/>
      <c r="J383" s="1282"/>
      <c r="K383" s="1282"/>
      <c r="L383" s="1283"/>
    </row>
    <row r="384" spans="1:12">
      <c r="A384" s="1281"/>
      <c r="B384" s="1282"/>
      <c r="C384" s="1282"/>
      <c r="D384" s="1282"/>
      <c r="E384" s="1282"/>
      <c r="F384" s="1282"/>
      <c r="G384" s="1282"/>
      <c r="H384" s="1282"/>
      <c r="I384" s="1282"/>
      <c r="J384" s="1282"/>
      <c r="K384" s="1282"/>
      <c r="L384" s="1283"/>
    </row>
    <row r="385" spans="1:12">
      <c r="A385" s="1281"/>
      <c r="B385" s="1282"/>
      <c r="C385" s="1282"/>
      <c r="D385" s="1282"/>
      <c r="E385" s="1282"/>
      <c r="F385" s="1282"/>
      <c r="G385" s="1282"/>
      <c r="H385" s="1282"/>
      <c r="I385" s="1282"/>
      <c r="J385" s="1282"/>
      <c r="K385" s="1282"/>
      <c r="L385" s="1283"/>
    </row>
    <row r="386" spans="1:12">
      <c r="A386" s="1281"/>
      <c r="B386" s="1282"/>
      <c r="C386" s="1282"/>
      <c r="D386" s="1282"/>
      <c r="E386" s="1282"/>
      <c r="F386" s="1282"/>
      <c r="G386" s="1282"/>
      <c r="H386" s="1282"/>
      <c r="I386" s="1282"/>
      <c r="J386" s="1282"/>
      <c r="K386" s="1282"/>
      <c r="L386" s="1283"/>
    </row>
    <row r="387" spans="1:12">
      <c r="A387" s="1281"/>
      <c r="B387" s="1282"/>
      <c r="C387" s="1282"/>
      <c r="D387" s="1282"/>
      <c r="E387" s="1282"/>
      <c r="F387" s="1282"/>
      <c r="G387" s="1282"/>
      <c r="H387" s="1282"/>
      <c r="I387" s="1282"/>
      <c r="J387" s="1282"/>
      <c r="K387" s="1282"/>
      <c r="L387" s="1283"/>
    </row>
    <row r="388" spans="1:12">
      <c r="A388" s="1281"/>
      <c r="B388" s="1282"/>
      <c r="C388" s="1282"/>
      <c r="D388" s="1282"/>
      <c r="E388" s="1282"/>
      <c r="F388" s="1282"/>
      <c r="G388" s="1282"/>
      <c r="H388" s="1282"/>
      <c r="I388" s="1282"/>
      <c r="J388" s="1282"/>
      <c r="K388" s="1282"/>
      <c r="L388" s="1283"/>
    </row>
    <row r="389" spans="1:12">
      <c r="A389" s="1281"/>
      <c r="B389" s="1282"/>
      <c r="C389" s="1282"/>
      <c r="D389" s="1282"/>
      <c r="E389" s="1282"/>
      <c r="F389" s="1282"/>
      <c r="G389" s="1282"/>
      <c r="H389" s="1282"/>
      <c r="I389" s="1282"/>
      <c r="J389" s="1282"/>
      <c r="K389" s="1282"/>
      <c r="L389" s="1283"/>
    </row>
    <row r="390" spans="1:12">
      <c r="A390" s="1281"/>
      <c r="B390" s="1282"/>
      <c r="C390" s="1282"/>
      <c r="D390" s="1282"/>
      <c r="E390" s="1282"/>
      <c r="F390" s="1282"/>
      <c r="G390" s="1282"/>
      <c r="H390" s="1282"/>
      <c r="I390" s="1282"/>
      <c r="J390" s="1282"/>
      <c r="K390" s="1282"/>
      <c r="L390" s="1283"/>
    </row>
    <row r="391" spans="1:12">
      <c r="A391" s="1281"/>
      <c r="B391" s="1282"/>
      <c r="C391" s="1282"/>
      <c r="D391" s="1282"/>
      <c r="E391" s="1282"/>
      <c r="F391" s="1282"/>
      <c r="G391" s="1282"/>
      <c r="H391" s="1282"/>
      <c r="I391" s="1282"/>
      <c r="J391" s="1282"/>
      <c r="K391" s="1282"/>
      <c r="L391" s="1283"/>
    </row>
    <row r="392" spans="1:12">
      <c r="A392" s="1259"/>
      <c r="B392" s="1259"/>
      <c r="C392" s="1259"/>
      <c r="D392" s="1259"/>
      <c r="E392" s="1259"/>
      <c r="F392" s="1259"/>
      <c r="G392" s="1259"/>
      <c r="H392" s="1259"/>
      <c r="I392" s="1259"/>
      <c r="J392" s="1259"/>
      <c r="K392" s="1259"/>
      <c r="L392" s="1259"/>
    </row>
    <row r="393" spans="1:12">
      <c r="A393" s="1260"/>
      <c r="B393" s="1261"/>
      <c r="C393" s="1261"/>
      <c r="D393" s="1261"/>
      <c r="E393" s="1261"/>
      <c r="F393" s="1261"/>
      <c r="G393" s="1261"/>
      <c r="H393" s="1261"/>
      <c r="I393" s="1261"/>
      <c r="J393" s="1261"/>
      <c r="K393" s="1261"/>
      <c r="L393" s="1262"/>
    </row>
    <row r="394" spans="1:12">
      <c r="A394" s="1260"/>
      <c r="B394" s="1261"/>
      <c r="C394" s="1261"/>
      <c r="D394" s="1261"/>
      <c r="E394" s="1261"/>
      <c r="F394" s="1261"/>
      <c r="G394" s="1261"/>
      <c r="H394" s="1261"/>
      <c r="I394" s="1261"/>
      <c r="J394" s="1261"/>
      <c r="K394" s="1261"/>
      <c r="L394" s="1262"/>
    </row>
    <row r="395" spans="1:12">
      <c r="A395" s="1260"/>
      <c r="B395" s="1261"/>
      <c r="C395" s="1261"/>
      <c r="D395" s="1261"/>
      <c r="E395" s="1261"/>
      <c r="F395" s="1261"/>
      <c r="G395" s="1261"/>
      <c r="H395" s="1261"/>
      <c r="I395" s="1261"/>
      <c r="J395" s="1261"/>
      <c r="K395" s="1261"/>
      <c r="L395" s="1262"/>
    </row>
    <row r="396" spans="1:12">
      <c r="A396" s="1260"/>
      <c r="B396" s="1261"/>
      <c r="C396" s="1261"/>
      <c r="D396" s="1261"/>
      <c r="E396" s="1261"/>
      <c r="F396" s="1261"/>
      <c r="G396" s="1261"/>
      <c r="H396" s="1261"/>
      <c r="I396" s="1261"/>
      <c r="J396" s="1261"/>
      <c r="K396" s="1261"/>
      <c r="L396" s="1262"/>
    </row>
    <row r="397" spans="1:12">
      <c r="A397" s="1260"/>
      <c r="B397" s="1261"/>
      <c r="C397" s="1261"/>
      <c r="D397" s="1261"/>
      <c r="E397" s="1261"/>
      <c r="F397" s="1261"/>
      <c r="G397" s="1261"/>
      <c r="H397" s="1261"/>
      <c r="I397" s="1261"/>
      <c r="J397" s="1261"/>
      <c r="K397" s="1261"/>
      <c r="L397" s="1262"/>
    </row>
    <row r="398" spans="1:12">
      <c r="A398" s="1260"/>
      <c r="B398" s="1261"/>
      <c r="C398" s="1261"/>
      <c r="D398" s="1261"/>
      <c r="E398" s="1261"/>
      <c r="F398" s="1261"/>
      <c r="G398" s="1261"/>
      <c r="H398" s="1261"/>
      <c r="I398" s="1261"/>
      <c r="J398" s="1261"/>
      <c r="K398" s="1261"/>
      <c r="L398" s="1262"/>
    </row>
    <row r="399" spans="1:12">
      <c r="A399" s="1260"/>
      <c r="B399" s="1261"/>
      <c r="C399" s="1261"/>
      <c r="D399" s="1261"/>
      <c r="E399" s="1261"/>
      <c r="F399" s="1261"/>
      <c r="G399" s="1261"/>
      <c r="H399" s="1261"/>
      <c r="I399" s="1261"/>
      <c r="J399" s="1261"/>
      <c r="K399" s="1261"/>
      <c r="L399" s="1262"/>
    </row>
    <row r="400" spans="1:12">
      <c r="A400" s="1260"/>
      <c r="B400" s="1261"/>
      <c r="C400" s="1261"/>
      <c r="D400" s="1261"/>
      <c r="E400" s="1261"/>
      <c r="F400" s="1261"/>
      <c r="G400" s="1261"/>
      <c r="H400" s="1261"/>
      <c r="I400" s="1261"/>
      <c r="J400" s="1261"/>
      <c r="K400" s="1261"/>
      <c r="L400" s="1262"/>
    </row>
    <row r="401" spans="1:12">
      <c r="A401" s="1260"/>
      <c r="B401" s="1261"/>
      <c r="C401" s="1261"/>
      <c r="D401" s="1261"/>
      <c r="E401" s="1261"/>
      <c r="F401" s="1261"/>
      <c r="G401" s="1261"/>
      <c r="H401" s="1261"/>
      <c r="I401" s="1261"/>
      <c r="J401" s="1261"/>
      <c r="K401" s="1261"/>
      <c r="L401" s="1262"/>
    </row>
    <row r="402" spans="1:12">
      <c r="A402" s="1260"/>
      <c r="B402" s="1261"/>
      <c r="C402" s="1261"/>
      <c r="D402" s="1261"/>
      <c r="E402" s="1261"/>
      <c r="F402" s="1261"/>
      <c r="G402" s="1261"/>
      <c r="H402" s="1261"/>
      <c r="I402" s="1261"/>
      <c r="J402" s="1261"/>
      <c r="K402" s="1261"/>
      <c r="L402" s="1262"/>
    </row>
    <row r="403" spans="1:12">
      <c r="A403" s="1260"/>
      <c r="B403" s="1261"/>
      <c r="C403" s="1261"/>
      <c r="D403" s="1261"/>
      <c r="E403" s="1261"/>
      <c r="F403" s="1261"/>
      <c r="G403" s="1261"/>
      <c r="H403" s="1261"/>
      <c r="I403" s="1261"/>
      <c r="J403" s="1261"/>
      <c r="K403" s="1261"/>
      <c r="L403" s="1262"/>
    </row>
    <row r="404" spans="1:12">
      <c r="A404" s="1260"/>
      <c r="B404" s="1261"/>
      <c r="C404" s="1261"/>
      <c r="D404" s="1261"/>
      <c r="E404" s="1261"/>
      <c r="F404" s="1261"/>
      <c r="G404" s="1261"/>
      <c r="H404" s="1261"/>
      <c r="I404" s="1261"/>
      <c r="J404" s="1261"/>
      <c r="K404" s="1261"/>
      <c r="L404" s="1262"/>
    </row>
    <row r="405" spans="1:12">
      <c r="A405" s="1260"/>
      <c r="B405" s="1261"/>
      <c r="C405" s="1261"/>
      <c r="D405" s="1261"/>
      <c r="E405" s="1261"/>
      <c r="F405" s="1261"/>
      <c r="G405" s="1261"/>
      <c r="H405" s="1261"/>
      <c r="I405" s="1261"/>
      <c r="J405" s="1261"/>
      <c r="K405" s="1261"/>
      <c r="L405" s="1262"/>
    </row>
    <row r="406" spans="1:12">
      <c r="A406" s="1263"/>
      <c r="B406" s="1264"/>
      <c r="C406" s="1264"/>
      <c r="D406" s="1264"/>
      <c r="E406" s="1264"/>
      <c r="F406" s="1264"/>
      <c r="G406" s="1264"/>
      <c r="H406" s="1264"/>
      <c r="I406" s="1264"/>
      <c r="J406" s="1264"/>
      <c r="K406" s="1264"/>
      <c r="L406" s="1265"/>
    </row>
    <row r="407" spans="1:12">
      <c r="A407" s="1263"/>
      <c r="B407" s="1264"/>
      <c r="C407" s="1266"/>
      <c r="D407" s="1266"/>
      <c r="E407" s="1266"/>
      <c r="F407" s="1264"/>
      <c r="G407" s="1264"/>
      <c r="H407" s="1264"/>
      <c r="I407" s="1264"/>
      <c r="J407" s="1264"/>
      <c r="K407" s="1267"/>
      <c r="L407" s="1268"/>
    </row>
    <row r="408" spans="1:12" ht="15.75">
      <c r="A408" s="1269"/>
      <c r="B408" s="1264"/>
      <c r="C408" s="1264"/>
      <c r="D408" s="1264"/>
      <c r="E408" s="1264"/>
      <c r="F408" s="1270"/>
      <c r="G408" s="1264"/>
      <c r="H408" s="1264"/>
      <c r="I408" s="1264"/>
      <c r="J408" s="1264"/>
      <c r="K408" s="1264"/>
      <c r="L408" s="1265"/>
    </row>
    <row r="409" spans="1:12">
      <c r="A409" s="1263"/>
      <c r="B409" s="1264"/>
      <c r="C409" s="1264"/>
      <c r="D409" s="1264"/>
      <c r="E409" s="1271"/>
      <c r="F409" s="1264"/>
      <c r="G409" s="1264"/>
      <c r="H409" s="1264"/>
      <c r="I409" s="1264"/>
      <c r="J409" s="1264"/>
      <c r="K409" s="1267"/>
      <c r="L409" s="1268"/>
    </row>
    <row r="410" spans="1:12">
      <c r="A410" s="1263"/>
      <c r="B410" s="1264"/>
      <c r="C410" s="1264"/>
      <c r="D410" s="1271"/>
      <c r="E410" s="1264"/>
      <c r="F410" s="1264"/>
      <c r="G410" s="1264"/>
      <c r="H410" s="1264"/>
      <c r="I410" s="1264"/>
      <c r="J410" s="1264"/>
      <c r="K410" s="1264"/>
      <c r="L410" s="1265"/>
    </row>
    <row r="411" spans="1:12">
      <c r="A411" s="1272"/>
      <c r="B411" s="1272"/>
      <c r="C411" s="1272"/>
      <c r="D411" s="1272"/>
      <c r="E411" s="1272"/>
      <c r="F411" s="1272"/>
      <c r="G411" s="1272"/>
      <c r="H411" s="1272"/>
      <c r="I411" s="1272"/>
      <c r="J411" s="1272"/>
      <c r="K411" s="1273"/>
      <c r="L411" s="1274"/>
    </row>
    <row r="412" spans="1:12">
      <c r="A412" s="1275"/>
      <c r="B412" s="1276"/>
      <c r="C412" s="1276"/>
      <c r="D412" s="1276"/>
      <c r="E412" s="1276"/>
      <c r="F412" s="1276"/>
      <c r="G412" s="1276"/>
      <c r="H412" s="1276"/>
      <c r="I412" s="1276"/>
      <c r="J412" s="1276"/>
      <c r="K412" s="1276"/>
      <c r="L412" s="1262"/>
    </row>
    <row r="413" spans="1:12">
      <c r="A413" s="1277"/>
      <c r="B413" s="1277"/>
      <c r="C413" s="1277"/>
      <c r="D413" s="1277"/>
      <c r="E413" s="1277"/>
      <c r="F413" s="1277"/>
      <c r="G413" s="1277"/>
      <c r="H413" s="1277"/>
      <c r="I413" s="1277"/>
      <c r="J413" s="1277"/>
      <c r="K413" s="1256"/>
      <c r="L413" s="1278"/>
    </row>
    <row r="414" spans="1:12">
      <c r="A414" s="1275"/>
      <c r="B414" s="1276"/>
      <c r="C414" s="1276"/>
      <c r="D414" s="1276"/>
      <c r="E414" s="1276"/>
      <c r="F414" s="1276"/>
      <c r="G414" s="1276"/>
      <c r="H414" s="1276"/>
      <c r="I414" s="1276"/>
      <c r="J414" s="1276"/>
      <c r="K414" s="1276"/>
      <c r="L414" s="1279"/>
    </row>
    <row r="415" spans="1:12">
      <c r="A415" s="1275"/>
      <c r="B415" s="1276"/>
      <c r="C415" s="1276"/>
      <c r="D415" s="1276"/>
      <c r="E415" s="1280"/>
      <c r="F415" s="1276"/>
      <c r="G415" s="1276"/>
      <c r="H415" s="1276"/>
      <c r="I415" s="1276"/>
      <c r="J415" s="1276"/>
      <c r="K415" s="1276"/>
      <c r="L415" s="1279"/>
    </row>
    <row r="416" spans="1:12">
      <c r="A416" s="1275"/>
      <c r="B416" s="1276"/>
      <c r="C416" s="1276"/>
      <c r="D416" s="1276"/>
      <c r="E416" s="1280"/>
      <c r="F416" s="1276"/>
      <c r="G416" s="1276"/>
      <c r="H416" s="1276"/>
      <c r="I416" s="1276"/>
      <c r="J416" s="1276"/>
      <c r="K416" s="1276"/>
      <c r="L416" s="1279"/>
    </row>
    <row r="417" spans="1:12">
      <c r="A417" s="1275"/>
      <c r="B417" s="1276"/>
      <c r="C417" s="1276"/>
      <c r="D417" s="1280"/>
      <c r="E417" s="1276"/>
      <c r="F417" s="1276"/>
      <c r="G417" s="1276"/>
      <c r="H417" s="1276"/>
      <c r="I417" s="1276"/>
      <c r="J417" s="1276"/>
      <c r="K417" s="1276"/>
      <c r="L417" s="1279"/>
    </row>
    <row r="418" spans="1:12">
      <c r="A418" s="1281"/>
      <c r="B418" s="1282"/>
      <c r="C418" s="1282"/>
      <c r="D418" s="1282"/>
      <c r="E418" s="1282"/>
      <c r="F418" s="1282"/>
      <c r="G418" s="1282"/>
      <c r="H418" s="1282"/>
      <c r="I418" s="1282"/>
      <c r="J418" s="1282"/>
      <c r="K418" s="1282"/>
      <c r="L418" s="1283"/>
    </row>
    <row r="419" spans="1:12">
      <c r="A419" s="1275"/>
      <c r="B419" s="1276"/>
      <c r="C419" s="1276"/>
      <c r="D419" s="1276"/>
      <c r="E419" s="1276"/>
      <c r="F419" s="1276"/>
      <c r="G419" s="1276"/>
      <c r="H419" s="1276"/>
      <c r="I419" s="1276"/>
      <c r="J419" s="1276"/>
      <c r="K419" s="1276"/>
      <c r="L419" s="1279"/>
    </row>
    <row r="420" spans="1:12">
      <c r="A420" s="1281"/>
      <c r="B420" s="1282"/>
      <c r="C420" s="1282"/>
      <c r="D420" s="1282"/>
      <c r="E420" s="1282"/>
      <c r="F420" s="1282"/>
      <c r="G420" s="1282"/>
      <c r="H420" s="1282"/>
      <c r="I420" s="1282"/>
      <c r="J420" s="1282"/>
      <c r="K420" s="1282"/>
      <c r="L420" s="1283"/>
    </row>
    <row r="421" spans="1:12">
      <c r="A421" s="1275"/>
      <c r="B421" s="1276"/>
      <c r="C421" s="1276"/>
      <c r="D421" s="1280"/>
      <c r="E421" s="1276"/>
      <c r="F421" s="1276"/>
      <c r="G421" s="1276"/>
      <c r="H421" s="1276"/>
      <c r="I421" s="1276"/>
      <c r="J421" s="1276"/>
      <c r="K421" s="1276"/>
      <c r="L421" s="1279"/>
    </row>
    <row r="422" spans="1:12">
      <c r="A422" s="1281"/>
      <c r="B422" s="1282"/>
      <c r="C422" s="1282"/>
      <c r="D422" s="1282"/>
      <c r="E422" s="1282"/>
      <c r="F422" s="1282"/>
      <c r="G422" s="1282"/>
      <c r="H422" s="1282"/>
      <c r="I422" s="1282"/>
      <c r="J422" s="1282"/>
      <c r="K422" s="1282"/>
      <c r="L422" s="1283"/>
    </row>
    <row r="423" spans="1:12">
      <c r="A423" s="1281"/>
      <c r="B423" s="1282"/>
      <c r="C423" s="1282"/>
      <c r="D423" s="1282"/>
      <c r="E423" s="1282"/>
      <c r="F423" s="1282"/>
      <c r="G423" s="1282"/>
      <c r="H423" s="1282"/>
      <c r="I423" s="1282"/>
      <c r="J423" s="1282"/>
      <c r="K423" s="1282"/>
      <c r="L423" s="1283"/>
    </row>
    <row r="424" spans="1:12">
      <c r="A424" s="1281"/>
      <c r="B424" s="1282"/>
      <c r="C424" s="1282"/>
      <c r="D424" s="1282"/>
      <c r="E424" s="1282"/>
      <c r="F424" s="1282"/>
      <c r="G424" s="1282"/>
      <c r="H424" s="1282"/>
      <c r="I424" s="1282"/>
      <c r="J424" s="1282"/>
      <c r="K424" s="1282"/>
      <c r="L424" s="1283"/>
    </row>
    <row r="425" spans="1:12">
      <c r="A425" s="1281"/>
      <c r="B425" s="1282"/>
      <c r="C425" s="1282"/>
      <c r="D425" s="1282"/>
      <c r="E425" s="1282"/>
      <c r="F425" s="1282"/>
      <c r="G425" s="1282"/>
      <c r="H425" s="1282"/>
      <c r="I425" s="1282"/>
      <c r="J425" s="1282"/>
      <c r="K425" s="1282"/>
      <c r="L425" s="1283"/>
    </row>
    <row r="426" spans="1:12">
      <c r="A426" s="1281"/>
      <c r="B426" s="1282"/>
      <c r="C426" s="1282"/>
      <c r="D426" s="1282"/>
      <c r="E426" s="1282"/>
      <c r="F426" s="1282"/>
      <c r="G426" s="1282"/>
      <c r="H426" s="1282"/>
      <c r="I426" s="1282"/>
      <c r="J426" s="1282"/>
      <c r="K426" s="1282"/>
      <c r="L426" s="1283"/>
    </row>
    <row r="427" spans="1:12">
      <c r="A427" s="1281"/>
      <c r="B427" s="1282"/>
      <c r="C427" s="1282"/>
      <c r="D427" s="1282"/>
      <c r="E427" s="1282"/>
      <c r="F427" s="1282"/>
      <c r="G427" s="1282"/>
      <c r="H427" s="1282"/>
      <c r="I427" s="1282"/>
      <c r="J427" s="1282"/>
      <c r="K427" s="1282"/>
      <c r="L427" s="1283"/>
    </row>
    <row r="428" spans="1:12">
      <c r="A428" s="1281"/>
      <c r="B428" s="1282"/>
      <c r="C428" s="1282"/>
      <c r="D428" s="1282"/>
      <c r="E428" s="1282"/>
      <c r="F428" s="1282"/>
      <c r="G428" s="1282"/>
      <c r="H428" s="1282"/>
      <c r="I428" s="1282"/>
      <c r="J428" s="1282"/>
      <c r="K428" s="1282"/>
      <c r="L428" s="1283"/>
    </row>
    <row r="429" spans="1:12">
      <c r="A429" s="1281"/>
      <c r="B429" s="1282"/>
      <c r="C429" s="1282"/>
      <c r="D429" s="1282"/>
      <c r="E429" s="1282"/>
      <c r="F429" s="1282"/>
      <c r="G429" s="1282"/>
      <c r="H429" s="1282"/>
      <c r="I429" s="1282"/>
      <c r="J429" s="1282"/>
      <c r="K429" s="1282"/>
      <c r="L429" s="1283"/>
    </row>
    <row r="430" spans="1:12">
      <c r="A430" s="1281"/>
      <c r="B430" s="1282"/>
      <c r="C430" s="1282"/>
      <c r="D430" s="1282"/>
      <c r="E430" s="1282"/>
      <c r="F430" s="1282"/>
      <c r="G430" s="1282"/>
      <c r="H430" s="1282"/>
      <c r="I430" s="1282"/>
      <c r="J430" s="1282"/>
      <c r="K430" s="1282"/>
      <c r="L430" s="1283"/>
    </row>
    <row r="431" spans="1:12">
      <c r="A431" s="1281"/>
      <c r="B431" s="1282"/>
      <c r="C431" s="1282"/>
      <c r="D431" s="1282"/>
      <c r="E431" s="1282"/>
      <c r="F431" s="1282"/>
      <c r="G431" s="1282"/>
      <c r="H431" s="1282"/>
      <c r="I431" s="1282"/>
      <c r="J431" s="1282"/>
      <c r="K431" s="1282"/>
      <c r="L431" s="1283"/>
    </row>
    <row r="432" spans="1:12">
      <c r="A432" s="1281"/>
      <c r="B432" s="1282"/>
      <c r="C432" s="1282"/>
      <c r="D432" s="1282"/>
      <c r="E432" s="1282"/>
      <c r="F432" s="1282"/>
      <c r="G432" s="1282"/>
      <c r="H432" s="1282"/>
      <c r="I432" s="1282"/>
      <c r="J432" s="1282"/>
      <c r="K432" s="1282"/>
      <c r="L432" s="1283"/>
    </row>
    <row r="433" spans="1:12">
      <c r="A433" s="1281"/>
      <c r="B433" s="1282"/>
      <c r="C433" s="1282"/>
      <c r="D433" s="1282"/>
      <c r="E433" s="1282"/>
      <c r="F433" s="1282"/>
      <c r="G433" s="1282"/>
      <c r="H433" s="1282"/>
      <c r="I433" s="1282"/>
      <c r="J433" s="1282"/>
      <c r="K433" s="1282"/>
      <c r="L433" s="1283"/>
    </row>
    <row r="434" spans="1:12">
      <c r="A434" s="1281"/>
      <c r="B434" s="1282"/>
      <c r="C434" s="1282"/>
      <c r="D434" s="1282"/>
      <c r="E434" s="1282"/>
      <c r="F434" s="1282"/>
      <c r="G434" s="1282"/>
      <c r="H434" s="1282"/>
      <c r="I434" s="1282"/>
      <c r="J434" s="1282"/>
      <c r="K434" s="1282"/>
      <c r="L434" s="1283"/>
    </row>
    <row r="435" spans="1:12">
      <c r="A435" s="1281"/>
      <c r="B435" s="1282"/>
      <c r="C435" s="1282"/>
      <c r="D435" s="1282"/>
      <c r="E435" s="1282"/>
      <c r="F435" s="1282"/>
      <c r="G435" s="1282"/>
      <c r="H435" s="1282"/>
      <c r="I435" s="1282"/>
      <c r="J435" s="1282"/>
      <c r="K435" s="1282"/>
      <c r="L435" s="1283"/>
    </row>
    <row r="436" spans="1:12">
      <c r="A436" s="1281"/>
      <c r="B436" s="1282"/>
      <c r="C436" s="1282"/>
      <c r="D436" s="1282"/>
      <c r="E436" s="1282"/>
      <c r="F436" s="1282"/>
      <c r="G436" s="1282"/>
      <c r="H436" s="1282"/>
      <c r="I436" s="1282"/>
      <c r="J436" s="1282"/>
      <c r="K436" s="1282"/>
      <c r="L436" s="1283"/>
    </row>
    <row r="437" spans="1:12">
      <c r="A437" s="1281"/>
      <c r="B437" s="1282"/>
      <c r="C437" s="1282"/>
      <c r="D437" s="1282"/>
      <c r="E437" s="1282"/>
      <c r="F437" s="1282"/>
      <c r="G437" s="1282"/>
      <c r="H437" s="1282"/>
      <c r="I437" s="1282"/>
      <c r="J437" s="1282"/>
      <c r="K437" s="1282"/>
      <c r="L437" s="1283"/>
    </row>
    <row r="438" spans="1:12">
      <c r="A438" s="1281"/>
      <c r="B438" s="1282"/>
      <c r="C438" s="1282"/>
      <c r="D438" s="1282"/>
      <c r="E438" s="1282"/>
      <c r="F438" s="1282"/>
      <c r="G438" s="1282"/>
      <c r="H438" s="1282"/>
      <c r="I438" s="1282"/>
      <c r="J438" s="1282"/>
      <c r="K438" s="1282"/>
      <c r="L438" s="1283"/>
    </row>
    <row r="439" spans="1:12">
      <c r="A439" s="1281"/>
      <c r="B439" s="1282"/>
      <c r="C439" s="1282"/>
      <c r="D439" s="1282"/>
      <c r="E439" s="1282"/>
      <c r="F439" s="1282"/>
      <c r="G439" s="1282"/>
      <c r="H439" s="1282"/>
      <c r="I439" s="1282"/>
      <c r="J439" s="1282"/>
      <c r="K439" s="1282"/>
      <c r="L439" s="1283"/>
    </row>
    <row r="440" spans="1:12">
      <c r="A440" s="1281"/>
      <c r="B440" s="1282"/>
      <c r="C440" s="1282"/>
      <c r="D440" s="1282"/>
      <c r="E440" s="1282"/>
      <c r="F440" s="1282"/>
      <c r="G440" s="1282"/>
      <c r="H440" s="1282"/>
      <c r="I440" s="1282"/>
      <c r="J440" s="1282"/>
      <c r="K440" s="1282"/>
      <c r="L440" s="1283"/>
    </row>
    <row r="441" spans="1:12">
      <c r="A441" s="1281"/>
      <c r="B441" s="1282"/>
      <c r="C441" s="1282"/>
      <c r="D441" s="1282"/>
      <c r="E441" s="1282"/>
      <c r="F441" s="1282"/>
      <c r="G441" s="1282"/>
      <c r="H441" s="1282"/>
      <c r="I441" s="1282"/>
      <c r="J441" s="1282"/>
      <c r="K441" s="1282"/>
      <c r="L441" s="1283"/>
    </row>
    <row r="442" spans="1:12">
      <c r="A442" s="1281"/>
      <c r="B442" s="1282"/>
      <c r="C442" s="1282"/>
      <c r="D442" s="1282"/>
      <c r="E442" s="1282"/>
      <c r="F442" s="1282"/>
      <c r="G442" s="1282"/>
      <c r="H442" s="1282"/>
      <c r="I442" s="1282"/>
      <c r="J442" s="1282"/>
      <c r="K442" s="1282"/>
      <c r="L442" s="1283"/>
    </row>
    <row r="443" spans="1:12">
      <c r="A443" s="1281"/>
      <c r="B443" s="1282"/>
      <c r="C443" s="1282"/>
      <c r="D443" s="1282"/>
      <c r="E443" s="1282"/>
      <c r="F443" s="1282"/>
      <c r="G443" s="1282"/>
      <c r="H443" s="1282"/>
      <c r="I443" s="1282"/>
      <c r="J443" s="1282"/>
      <c r="K443" s="1282"/>
      <c r="L443" s="1283"/>
    </row>
    <row r="444" spans="1:12">
      <c r="A444" s="1281"/>
      <c r="B444" s="1282"/>
      <c r="C444" s="1282"/>
      <c r="D444" s="1282"/>
      <c r="E444" s="1282"/>
      <c r="F444" s="1282"/>
      <c r="G444" s="1282"/>
      <c r="H444" s="1282"/>
      <c r="I444" s="1282"/>
      <c r="J444" s="1282"/>
      <c r="K444" s="1282"/>
      <c r="L444" s="1283"/>
    </row>
    <row r="445" spans="1:12">
      <c r="A445" s="1281"/>
      <c r="B445" s="1282"/>
      <c r="C445" s="1282"/>
      <c r="D445" s="1282"/>
      <c r="E445" s="1282"/>
      <c r="F445" s="1282"/>
      <c r="G445" s="1282"/>
      <c r="H445" s="1282"/>
      <c r="I445" s="1282"/>
      <c r="J445" s="1282"/>
      <c r="K445" s="1282"/>
      <c r="L445" s="1283"/>
    </row>
    <row r="446" spans="1:12">
      <c r="A446" s="1281"/>
      <c r="B446" s="1282"/>
      <c r="C446" s="1282"/>
      <c r="D446" s="1282"/>
      <c r="E446" s="1282"/>
      <c r="F446" s="1282"/>
      <c r="G446" s="1282"/>
      <c r="H446" s="1282"/>
      <c r="I446" s="1282"/>
      <c r="J446" s="1282"/>
      <c r="K446" s="1282"/>
      <c r="L446" s="1283"/>
    </row>
    <row r="447" spans="1:12">
      <c r="A447" s="1281"/>
      <c r="B447" s="1282"/>
      <c r="C447" s="1282"/>
      <c r="D447" s="1282"/>
      <c r="E447" s="1282"/>
      <c r="F447" s="1282"/>
      <c r="G447" s="1282"/>
      <c r="H447" s="1282"/>
      <c r="I447" s="1282"/>
      <c r="J447" s="1282"/>
      <c r="K447" s="1282"/>
      <c r="L447" s="1283"/>
    </row>
    <row r="448" spans="1:12">
      <c r="A448" s="1281"/>
      <c r="B448" s="1282"/>
      <c r="C448" s="1282"/>
      <c r="D448" s="1282"/>
      <c r="E448" s="1282"/>
      <c r="F448" s="1282"/>
      <c r="G448" s="1282"/>
      <c r="H448" s="1282"/>
      <c r="I448" s="1282"/>
      <c r="J448" s="1282"/>
      <c r="K448" s="1282"/>
      <c r="L448" s="1283"/>
    </row>
    <row r="449" spans="1:12">
      <c r="A449" s="1281"/>
      <c r="B449" s="1282"/>
      <c r="C449" s="1282"/>
      <c r="D449" s="1282"/>
      <c r="E449" s="1282"/>
      <c r="F449" s="1282"/>
      <c r="G449" s="1282"/>
      <c r="H449" s="1282"/>
      <c r="I449" s="1282"/>
      <c r="J449" s="1282"/>
      <c r="K449" s="1282"/>
      <c r="L449" s="1283"/>
    </row>
    <row r="450" spans="1:12">
      <c r="A450" s="1281"/>
      <c r="B450" s="1282"/>
      <c r="C450" s="1282"/>
      <c r="D450" s="1282"/>
      <c r="E450" s="1282"/>
      <c r="F450" s="1282"/>
      <c r="G450" s="1282"/>
      <c r="H450" s="1282"/>
      <c r="I450" s="1282"/>
      <c r="J450" s="1282"/>
      <c r="K450" s="1282"/>
      <c r="L450" s="1283"/>
    </row>
    <row r="451" spans="1:12">
      <c r="A451" s="1281"/>
      <c r="B451" s="1282"/>
      <c r="C451" s="1282"/>
      <c r="D451" s="1282"/>
      <c r="E451" s="1282"/>
      <c r="F451" s="1282"/>
      <c r="G451" s="1282"/>
      <c r="H451" s="1282"/>
      <c r="I451" s="1282"/>
      <c r="J451" s="1282"/>
      <c r="K451" s="1282"/>
      <c r="L451" s="1283"/>
    </row>
    <row r="452" spans="1:12">
      <c r="A452" s="1281"/>
      <c r="B452" s="1282"/>
      <c r="C452" s="1282"/>
      <c r="D452" s="1282"/>
      <c r="E452" s="1282"/>
      <c r="F452" s="1282"/>
      <c r="G452" s="1282"/>
      <c r="H452" s="1282"/>
      <c r="I452" s="1282"/>
      <c r="J452" s="1282"/>
      <c r="K452" s="1282"/>
      <c r="L452" s="1283"/>
    </row>
    <row r="453" spans="1:12">
      <c r="A453" s="1281"/>
      <c r="B453" s="1282"/>
      <c r="C453" s="1282"/>
      <c r="D453" s="1282"/>
      <c r="E453" s="1282"/>
      <c r="F453" s="1282"/>
      <c r="G453" s="1282"/>
      <c r="H453" s="1282"/>
      <c r="I453" s="1282"/>
      <c r="J453" s="1282"/>
      <c r="K453" s="1282"/>
      <c r="L453" s="1283"/>
    </row>
    <row r="454" spans="1:12">
      <c r="A454" s="1281"/>
      <c r="B454" s="1282"/>
      <c r="C454" s="1282"/>
      <c r="D454" s="1282"/>
      <c r="E454" s="1282"/>
      <c r="F454" s="1282"/>
      <c r="G454" s="1282"/>
      <c r="H454" s="1282"/>
      <c r="I454" s="1282"/>
      <c r="J454" s="1282"/>
      <c r="K454" s="1282"/>
      <c r="L454" s="1283"/>
    </row>
    <row r="455" spans="1:12">
      <c r="A455" s="1281"/>
      <c r="B455" s="1282"/>
      <c r="C455" s="1282"/>
      <c r="D455" s="1282"/>
      <c r="E455" s="1282"/>
      <c r="F455" s="1282"/>
      <c r="G455" s="1282"/>
      <c r="H455" s="1282"/>
      <c r="I455" s="1282"/>
      <c r="J455" s="1282"/>
      <c r="K455" s="1282"/>
      <c r="L455" s="1283"/>
    </row>
    <row r="456" spans="1:12">
      <c r="A456" s="1281"/>
      <c r="B456" s="1282"/>
      <c r="C456" s="1282"/>
      <c r="D456" s="1282"/>
      <c r="E456" s="1282"/>
      <c r="F456" s="1282"/>
      <c r="G456" s="1282"/>
      <c r="H456" s="1282"/>
      <c r="I456" s="1282"/>
      <c r="J456" s="1282"/>
      <c r="K456" s="1282"/>
      <c r="L456" s="1283"/>
    </row>
    <row r="457" spans="1:12">
      <c r="A457" s="1259"/>
      <c r="B457" s="1259"/>
      <c r="C457" s="1259"/>
      <c r="D457" s="1259"/>
      <c r="E457" s="1259"/>
      <c r="F457" s="1259"/>
      <c r="G457" s="1259"/>
      <c r="H457" s="1259"/>
      <c r="I457" s="1259"/>
      <c r="J457" s="1259"/>
      <c r="K457" s="1259"/>
      <c r="L457" s="1259"/>
    </row>
    <row r="458" spans="1:12">
      <c r="A458" s="1260"/>
      <c r="B458" s="1261"/>
      <c r="C458" s="1261"/>
      <c r="D458" s="1261"/>
      <c r="E458" s="1261"/>
      <c r="F458" s="1261"/>
      <c r="G458" s="1261"/>
      <c r="H458" s="1261"/>
      <c r="I458" s="1261"/>
      <c r="J458" s="1261"/>
      <c r="K458" s="1261"/>
      <c r="L458" s="1262"/>
    </row>
    <row r="459" spans="1:12">
      <c r="A459" s="1260"/>
      <c r="B459" s="1261"/>
      <c r="C459" s="1261"/>
      <c r="D459" s="1261"/>
      <c r="E459" s="1261"/>
      <c r="F459" s="1261"/>
      <c r="G459" s="1261"/>
      <c r="H459" s="1261"/>
      <c r="I459" s="1261"/>
      <c r="J459" s="1261"/>
      <c r="K459" s="1261"/>
      <c r="L459" s="1262"/>
    </row>
    <row r="460" spans="1:12">
      <c r="A460" s="1260"/>
      <c r="B460" s="1261"/>
      <c r="C460" s="1261"/>
      <c r="D460" s="1261"/>
      <c r="E460" s="1261"/>
      <c r="F460" s="1261"/>
      <c r="G460" s="1261"/>
      <c r="H460" s="1261"/>
      <c r="I460" s="1261"/>
      <c r="J460" s="1261"/>
      <c r="K460" s="1261"/>
      <c r="L460" s="1262"/>
    </row>
    <row r="461" spans="1:12">
      <c r="A461" s="1260"/>
      <c r="B461" s="1261"/>
      <c r="C461" s="1261"/>
      <c r="D461" s="1261"/>
      <c r="E461" s="1261"/>
      <c r="F461" s="1261"/>
      <c r="G461" s="1261"/>
      <c r="H461" s="1261"/>
      <c r="I461" s="1261"/>
      <c r="J461" s="1261"/>
      <c r="K461" s="1261"/>
      <c r="L461" s="1262"/>
    </row>
    <row r="462" spans="1:12">
      <c r="A462" s="1260"/>
      <c r="B462" s="1261"/>
      <c r="C462" s="1261"/>
      <c r="D462" s="1261"/>
      <c r="E462" s="1261"/>
      <c r="F462" s="1261"/>
      <c r="G462" s="1261"/>
      <c r="H462" s="1261"/>
      <c r="I462" s="1261"/>
      <c r="J462" s="1261"/>
      <c r="K462" s="1261"/>
      <c r="L462" s="1262"/>
    </row>
    <row r="463" spans="1:12">
      <c r="A463" s="1260"/>
      <c r="B463" s="1261"/>
      <c r="C463" s="1261"/>
      <c r="D463" s="1261"/>
      <c r="E463" s="1261"/>
      <c r="F463" s="1261"/>
      <c r="G463" s="1261"/>
      <c r="H463" s="1261"/>
      <c r="I463" s="1261"/>
      <c r="J463" s="1261"/>
      <c r="K463" s="1261"/>
      <c r="L463" s="1262"/>
    </row>
    <row r="464" spans="1:12">
      <c r="A464" s="1260"/>
      <c r="B464" s="1261"/>
      <c r="C464" s="1261"/>
      <c r="D464" s="1261"/>
      <c r="E464" s="1261"/>
      <c r="F464" s="1261"/>
      <c r="G464" s="1261"/>
      <c r="H464" s="1261"/>
      <c r="I464" s="1261"/>
      <c r="J464" s="1261"/>
      <c r="K464" s="1261"/>
      <c r="L464" s="1262"/>
    </row>
    <row r="465" spans="1:12">
      <c r="A465" s="1260"/>
      <c r="B465" s="1261"/>
      <c r="C465" s="1261"/>
      <c r="D465" s="1261"/>
      <c r="E465" s="1261"/>
      <c r="F465" s="1261"/>
      <c r="G465" s="1261"/>
      <c r="H465" s="1261"/>
      <c r="I465" s="1261"/>
      <c r="J465" s="1261"/>
      <c r="K465" s="1261"/>
      <c r="L465" s="1262"/>
    </row>
    <row r="466" spans="1:12">
      <c r="A466" s="1260"/>
      <c r="B466" s="1261"/>
      <c r="C466" s="1261"/>
      <c r="D466" s="1261"/>
      <c r="E466" s="1261"/>
      <c r="F466" s="1261"/>
      <c r="G466" s="1261"/>
      <c r="H466" s="1261"/>
      <c r="I466" s="1261"/>
      <c r="J466" s="1261"/>
      <c r="K466" s="1261"/>
      <c r="L466" s="1262"/>
    </row>
    <row r="467" spans="1:12">
      <c r="A467" s="1260"/>
      <c r="B467" s="1261"/>
      <c r="C467" s="1261"/>
      <c r="D467" s="1261"/>
      <c r="E467" s="1261"/>
      <c r="F467" s="1261"/>
      <c r="G467" s="1261"/>
      <c r="H467" s="1261"/>
      <c r="I467" s="1261"/>
      <c r="J467" s="1261"/>
      <c r="K467" s="1261"/>
      <c r="L467" s="1262"/>
    </row>
    <row r="468" spans="1:12">
      <c r="A468" s="1260"/>
      <c r="B468" s="1261"/>
      <c r="C468" s="1261"/>
      <c r="D468" s="1261"/>
      <c r="E468" s="1261"/>
      <c r="F468" s="1261"/>
      <c r="G468" s="1261"/>
      <c r="H468" s="1261"/>
      <c r="I468" s="1261"/>
      <c r="J468" s="1261"/>
      <c r="K468" s="1261"/>
      <c r="L468" s="1262"/>
    </row>
    <row r="469" spans="1:12">
      <c r="A469" s="1260"/>
      <c r="B469" s="1261"/>
      <c r="C469" s="1261"/>
      <c r="D469" s="1261"/>
      <c r="E469" s="1261"/>
      <c r="F469" s="1261"/>
      <c r="G469" s="1261"/>
      <c r="H469" s="1261"/>
      <c r="I469" s="1261"/>
      <c r="J469" s="1261"/>
      <c r="K469" s="1261"/>
      <c r="L469" s="1262"/>
    </row>
    <row r="470" spans="1:12">
      <c r="A470" s="1260"/>
      <c r="B470" s="1261"/>
      <c r="C470" s="1261"/>
      <c r="D470" s="1261"/>
      <c r="E470" s="1261"/>
      <c r="F470" s="1261"/>
      <c r="G470" s="1261"/>
      <c r="H470" s="1261"/>
      <c r="I470" s="1261"/>
      <c r="J470" s="1261"/>
      <c r="K470" s="1261"/>
      <c r="L470" s="1262"/>
    </row>
    <row r="471" spans="1:12">
      <c r="A471" s="1263"/>
      <c r="B471" s="1264"/>
      <c r="C471" s="1264"/>
      <c r="D471" s="1264"/>
      <c r="E471" s="1264"/>
      <c r="F471" s="1264"/>
      <c r="G471" s="1264"/>
      <c r="H471" s="1264"/>
      <c r="I471" s="1264"/>
      <c r="J471" s="1264"/>
      <c r="K471" s="1264"/>
      <c r="L471" s="1265"/>
    </row>
    <row r="472" spans="1:12">
      <c r="A472" s="1263"/>
      <c r="B472" s="1264"/>
      <c r="C472" s="1266"/>
      <c r="D472" s="1266"/>
      <c r="E472" s="1266"/>
      <c r="F472" s="1264"/>
      <c r="G472" s="1264"/>
      <c r="H472" s="1264"/>
      <c r="I472" s="1264"/>
      <c r="J472" s="1264"/>
      <c r="K472" s="1267"/>
      <c r="L472" s="1268"/>
    </row>
    <row r="473" spans="1:12" ht="15.75">
      <c r="A473" s="1269"/>
      <c r="B473" s="1264"/>
      <c r="C473" s="1264"/>
      <c r="D473" s="1264"/>
      <c r="E473" s="1264"/>
      <c r="F473" s="1270"/>
      <c r="G473" s="1264"/>
      <c r="H473" s="1264"/>
      <c r="I473" s="1264"/>
      <c r="J473" s="1264"/>
      <c r="K473" s="1264"/>
      <c r="L473" s="1265"/>
    </row>
    <row r="474" spans="1:12">
      <c r="A474" s="1263"/>
      <c r="B474" s="1264"/>
      <c r="C474" s="1264"/>
      <c r="D474" s="1264"/>
      <c r="E474" s="1271"/>
      <c r="F474" s="1264"/>
      <c r="G474" s="1264"/>
      <c r="H474" s="1264"/>
      <c r="I474" s="1264"/>
      <c r="J474" s="1264"/>
      <c r="K474" s="1267"/>
      <c r="L474" s="1268"/>
    </row>
    <row r="475" spans="1:12">
      <c r="A475" s="1263"/>
      <c r="B475" s="1264"/>
      <c r="C475" s="1264"/>
      <c r="D475" s="1271"/>
      <c r="E475" s="1264"/>
      <c r="F475" s="1264"/>
      <c r="G475" s="1264"/>
      <c r="H475" s="1264"/>
      <c r="I475" s="1264"/>
      <c r="J475" s="1264"/>
      <c r="K475" s="1264"/>
      <c r="L475" s="1265"/>
    </row>
    <row r="476" spans="1:12">
      <c r="A476" s="1272"/>
      <c r="B476" s="1272"/>
      <c r="C476" s="1272"/>
      <c r="D476" s="1272"/>
      <c r="E476" s="1272"/>
      <c r="F476" s="1272"/>
      <c r="G476" s="1272"/>
      <c r="H476" s="1272"/>
      <c r="I476" s="1272"/>
      <c r="J476" s="1272"/>
      <c r="K476" s="1273"/>
      <c r="L476" s="1274"/>
    </row>
    <row r="477" spans="1:12">
      <c r="A477" s="1275"/>
      <c r="B477" s="1276"/>
      <c r="C477" s="1276"/>
      <c r="D477" s="1276"/>
      <c r="E477" s="1276"/>
      <c r="F477" s="1276"/>
      <c r="G477" s="1276"/>
      <c r="H477" s="1276"/>
      <c r="I477" s="1276"/>
      <c r="J477" s="1276"/>
      <c r="K477" s="1276"/>
      <c r="L477" s="1262"/>
    </row>
    <row r="478" spans="1:12">
      <c r="A478" s="1277"/>
      <c r="B478" s="1277"/>
      <c r="C478" s="1277"/>
      <c r="D478" s="1277"/>
      <c r="E478" s="1277"/>
      <c r="F478" s="1277"/>
      <c r="G478" s="1277"/>
      <c r="H478" s="1277"/>
      <c r="I478" s="1277"/>
      <c r="J478" s="1277"/>
      <c r="K478" s="1256"/>
      <c r="L478" s="1278"/>
    </row>
    <row r="479" spans="1:12">
      <c r="A479" s="1275"/>
      <c r="B479" s="1276"/>
      <c r="C479" s="1276"/>
      <c r="D479" s="1276"/>
      <c r="E479" s="1276"/>
      <c r="F479" s="1276"/>
      <c r="G479" s="1276"/>
      <c r="H479" s="1276"/>
      <c r="I479" s="1276"/>
      <c r="J479" s="1276"/>
      <c r="K479" s="1276"/>
      <c r="L479" s="1279"/>
    </row>
    <row r="480" spans="1:12">
      <c r="A480" s="1275"/>
      <c r="B480" s="1276"/>
      <c r="C480" s="1276"/>
      <c r="D480" s="1276"/>
      <c r="E480" s="1280"/>
      <c r="F480" s="1276"/>
      <c r="G480" s="1276"/>
      <c r="H480" s="1276"/>
      <c r="I480" s="1276"/>
      <c r="J480" s="1276"/>
      <c r="K480" s="1276"/>
      <c r="L480" s="1279"/>
    </row>
    <row r="481" spans="1:12">
      <c r="A481" s="1275"/>
      <c r="B481" s="1276"/>
      <c r="C481" s="1276"/>
      <c r="D481" s="1276"/>
      <c r="E481" s="1280"/>
      <c r="F481" s="1276"/>
      <c r="G481" s="1276"/>
      <c r="H481" s="1276"/>
      <c r="I481" s="1276"/>
      <c r="J481" s="1276"/>
      <c r="K481" s="1276"/>
      <c r="L481" s="1279"/>
    </row>
    <row r="482" spans="1:12">
      <c r="A482" s="1275"/>
      <c r="B482" s="1276"/>
      <c r="C482" s="1276"/>
      <c r="D482" s="1280"/>
      <c r="E482" s="1276"/>
      <c r="F482" s="1276"/>
      <c r="G482" s="1276"/>
      <c r="H482" s="1276"/>
      <c r="I482" s="1276"/>
      <c r="J482" s="1276"/>
      <c r="K482" s="1276"/>
      <c r="L482" s="1279"/>
    </row>
    <row r="483" spans="1:12">
      <c r="A483" s="1281"/>
      <c r="B483" s="1282"/>
      <c r="C483" s="1282"/>
      <c r="D483" s="1282"/>
      <c r="E483" s="1282"/>
      <c r="F483" s="1282"/>
      <c r="G483" s="1282"/>
      <c r="H483" s="1282"/>
      <c r="I483" s="1282"/>
      <c r="J483" s="1282"/>
      <c r="K483" s="1282"/>
      <c r="L483" s="1283"/>
    </row>
    <row r="484" spans="1:12">
      <c r="A484" s="1275"/>
      <c r="B484" s="1276"/>
      <c r="C484" s="1276"/>
      <c r="D484" s="1276"/>
      <c r="E484" s="1276"/>
      <c r="F484" s="1276"/>
      <c r="G484" s="1276"/>
      <c r="H484" s="1276"/>
      <c r="I484" s="1276"/>
      <c r="J484" s="1276"/>
      <c r="K484" s="1276"/>
      <c r="L484" s="1279"/>
    </row>
    <row r="485" spans="1:12">
      <c r="A485" s="1281"/>
      <c r="B485" s="1282"/>
      <c r="C485" s="1282"/>
      <c r="D485" s="1282"/>
      <c r="E485" s="1282"/>
      <c r="F485" s="1282"/>
      <c r="G485" s="1282"/>
      <c r="H485" s="1282"/>
      <c r="I485" s="1282"/>
      <c r="J485" s="1282"/>
      <c r="K485" s="1282"/>
      <c r="L485" s="1283"/>
    </row>
    <row r="486" spans="1:12">
      <c r="A486" s="1275"/>
      <c r="B486" s="1276"/>
      <c r="C486" s="1276"/>
      <c r="D486" s="1280"/>
      <c r="E486" s="1276"/>
      <c r="F486" s="1276"/>
      <c r="G486" s="1276"/>
      <c r="H486" s="1276"/>
      <c r="I486" s="1276"/>
      <c r="J486" s="1276"/>
      <c r="K486" s="1276"/>
      <c r="L486" s="1279"/>
    </row>
    <row r="487" spans="1:12">
      <c r="A487" s="1281"/>
      <c r="B487" s="1282"/>
      <c r="C487" s="1282"/>
      <c r="D487" s="1282"/>
      <c r="E487" s="1282"/>
      <c r="F487" s="1282"/>
      <c r="G487" s="1282"/>
      <c r="H487" s="1282"/>
      <c r="I487" s="1282"/>
      <c r="J487" s="1282"/>
      <c r="K487" s="1282"/>
      <c r="L487" s="1283"/>
    </row>
    <row r="488" spans="1:12">
      <c r="A488" s="1281"/>
      <c r="B488" s="1282"/>
      <c r="C488" s="1282"/>
      <c r="D488" s="1282"/>
      <c r="E488" s="1282"/>
      <c r="F488" s="1282"/>
      <c r="G488" s="1282"/>
      <c r="H488" s="1282"/>
      <c r="I488" s="1282"/>
      <c r="J488" s="1282"/>
      <c r="K488" s="1282"/>
      <c r="L488" s="1283"/>
    </row>
    <row r="489" spans="1:12">
      <c r="A489" s="1281"/>
      <c r="B489" s="1282"/>
      <c r="C489" s="1282"/>
      <c r="D489" s="1282"/>
      <c r="E489" s="1282"/>
      <c r="F489" s="1282"/>
      <c r="G489" s="1282"/>
      <c r="H489" s="1282"/>
      <c r="I489" s="1282"/>
      <c r="J489" s="1282"/>
      <c r="K489" s="1282"/>
      <c r="L489" s="1283"/>
    </row>
    <row r="490" spans="1:12">
      <c r="A490" s="1281"/>
      <c r="B490" s="1282"/>
      <c r="C490" s="1282"/>
      <c r="D490" s="1282"/>
      <c r="E490" s="1282"/>
      <c r="F490" s="1282"/>
      <c r="G490" s="1282"/>
      <c r="H490" s="1282"/>
      <c r="I490" s="1282"/>
      <c r="J490" s="1282"/>
      <c r="K490" s="1282"/>
      <c r="L490" s="1283"/>
    </row>
    <row r="491" spans="1:12">
      <c r="A491" s="1281"/>
      <c r="B491" s="1282"/>
      <c r="C491" s="1282"/>
      <c r="D491" s="1282"/>
      <c r="E491" s="1282"/>
      <c r="F491" s="1282"/>
      <c r="G491" s="1282"/>
      <c r="H491" s="1282"/>
      <c r="I491" s="1282"/>
      <c r="J491" s="1282"/>
      <c r="K491" s="1282"/>
      <c r="L491" s="1283"/>
    </row>
    <row r="492" spans="1:12">
      <c r="A492" s="1281"/>
      <c r="B492" s="1282"/>
      <c r="C492" s="1282"/>
      <c r="D492" s="1282"/>
      <c r="E492" s="1282"/>
      <c r="F492" s="1282"/>
      <c r="G492" s="1282"/>
      <c r="H492" s="1282"/>
      <c r="I492" s="1282"/>
      <c r="J492" s="1282"/>
      <c r="K492" s="1282"/>
      <c r="L492" s="1283"/>
    </row>
    <row r="493" spans="1:12">
      <c r="A493" s="1281"/>
      <c r="B493" s="1282"/>
      <c r="C493" s="1282"/>
      <c r="D493" s="1282"/>
      <c r="E493" s="1282"/>
      <c r="F493" s="1282"/>
      <c r="G493" s="1282"/>
      <c r="H493" s="1282"/>
      <c r="I493" s="1282"/>
      <c r="J493" s="1282"/>
      <c r="K493" s="1282"/>
      <c r="L493" s="1283"/>
    </row>
    <row r="494" spans="1:12">
      <c r="A494" s="1281"/>
      <c r="B494" s="1282"/>
      <c r="C494" s="1282"/>
      <c r="D494" s="1282"/>
      <c r="E494" s="1282"/>
      <c r="F494" s="1282"/>
      <c r="G494" s="1282"/>
      <c r="H494" s="1282"/>
      <c r="I494" s="1282"/>
      <c r="J494" s="1282"/>
      <c r="K494" s="1282"/>
      <c r="L494" s="1283"/>
    </row>
    <row r="495" spans="1:12">
      <c r="A495" s="1281"/>
      <c r="B495" s="1282"/>
      <c r="C495" s="1282"/>
      <c r="D495" s="1282"/>
      <c r="E495" s="1282"/>
      <c r="F495" s="1282"/>
      <c r="G495" s="1282"/>
      <c r="H495" s="1282"/>
      <c r="I495" s="1282"/>
      <c r="J495" s="1282"/>
      <c r="K495" s="1282"/>
      <c r="L495" s="1283"/>
    </row>
    <row r="496" spans="1:12">
      <c r="A496" s="1281"/>
      <c r="B496" s="1282"/>
      <c r="C496" s="1282"/>
      <c r="D496" s="1282"/>
      <c r="E496" s="1282"/>
      <c r="F496" s="1282"/>
      <c r="G496" s="1282"/>
      <c r="H496" s="1282"/>
      <c r="I496" s="1282"/>
      <c r="J496" s="1282"/>
      <c r="K496" s="1282"/>
      <c r="L496" s="1283"/>
    </row>
    <row r="497" spans="1:12">
      <c r="A497" s="1281"/>
      <c r="B497" s="1282"/>
      <c r="C497" s="1282"/>
      <c r="D497" s="1282"/>
      <c r="E497" s="1282"/>
      <c r="F497" s="1282"/>
      <c r="G497" s="1282"/>
      <c r="H497" s="1282"/>
      <c r="I497" s="1282"/>
      <c r="J497" s="1282"/>
      <c r="K497" s="1282"/>
      <c r="L497" s="1283"/>
    </row>
    <row r="498" spans="1:12">
      <c r="A498" s="1281"/>
      <c r="B498" s="1282"/>
      <c r="C498" s="1282"/>
      <c r="D498" s="1282"/>
      <c r="E498" s="1282"/>
      <c r="F498" s="1282"/>
      <c r="G498" s="1282"/>
      <c r="H498" s="1282"/>
      <c r="I498" s="1282"/>
      <c r="J498" s="1282"/>
      <c r="K498" s="1282"/>
      <c r="L498" s="1283"/>
    </row>
    <row r="499" spans="1:12">
      <c r="A499" s="1281"/>
      <c r="B499" s="1282"/>
      <c r="C499" s="1282"/>
      <c r="D499" s="1282"/>
      <c r="E499" s="1282"/>
      <c r="F499" s="1282"/>
      <c r="G499" s="1282"/>
      <c r="H499" s="1282"/>
      <c r="I499" s="1282"/>
      <c r="J499" s="1282"/>
      <c r="K499" s="1282"/>
      <c r="L499" s="1283"/>
    </row>
    <row r="500" spans="1:12">
      <c r="A500" s="1281"/>
      <c r="B500" s="1282"/>
      <c r="C500" s="1282"/>
      <c r="D500" s="1282"/>
      <c r="E500" s="1282"/>
      <c r="F500" s="1282"/>
      <c r="G500" s="1282"/>
      <c r="H500" s="1282"/>
      <c r="I500" s="1282"/>
      <c r="J500" s="1282"/>
      <c r="K500" s="1282"/>
      <c r="L500" s="1283"/>
    </row>
    <row r="501" spans="1:12">
      <c r="A501" s="1281"/>
      <c r="B501" s="1282"/>
      <c r="C501" s="1282"/>
      <c r="D501" s="1282"/>
      <c r="E501" s="1282"/>
      <c r="F501" s="1282"/>
      <c r="G501" s="1282"/>
      <c r="H501" s="1282"/>
      <c r="I501" s="1282"/>
      <c r="J501" s="1282"/>
      <c r="K501" s="1282"/>
      <c r="L501" s="1283"/>
    </row>
    <row r="502" spans="1:12">
      <c r="A502" s="1281"/>
      <c r="B502" s="1282"/>
      <c r="C502" s="1282"/>
      <c r="D502" s="1282"/>
      <c r="E502" s="1282"/>
      <c r="F502" s="1282"/>
      <c r="G502" s="1282"/>
      <c r="H502" s="1282"/>
      <c r="I502" s="1282"/>
      <c r="J502" s="1282"/>
      <c r="K502" s="1282"/>
      <c r="L502" s="1283"/>
    </row>
    <row r="503" spans="1:12">
      <c r="A503" s="1281"/>
      <c r="B503" s="1282"/>
      <c r="C503" s="1282"/>
      <c r="D503" s="1282"/>
      <c r="E503" s="1282"/>
      <c r="F503" s="1282"/>
      <c r="G503" s="1282"/>
      <c r="H503" s="1282"/>
      <c r="I503" s="1282"/>
      <c r="J503" s="1282"/>
      <c r="K503" s="1282"/>
      <c r="L503" s="1283"/>
    </row>
    <row r="504" spans="1:12">
      <c r="A504" s="1281"/>
      <c r="B504" s="1282"/>
      <c r="C504" s="1282"/>
      <c r="D504" s="1282"/>
      <c r="E504" s="1282"/>
      <c r="F504" s="1282"/>
      <c r="G504" s="1282"/>
      <c r="H504" s="1282"/>
      <c r="I504" s="1282"/>
      <c r="J504" s="1282"/>
      <c r="K504" s="1282"/>
      <c r="L504" s="1283"/>
    </row>
    <row r="505" spans="1:12">
      <c r="A505" s="1281"/>
      <c r="B505" s="1282"/>
      <c r="C505" s="1282"/>
      <c r="D505" s="1282"/>
      <c r="E505" s="1282"/>
      <c r="F505" s="1282"/>
      <c r="G505" s="1282"/>
      <c r="H505" s="1282"/>
      <c r="I505" s="1282"/>
      <c r="J505" s="1282"/>
      <c r="K505" s="1282"/>
      <c r="L505" s="1283"/>
    </row>
    <row r="506" spans="1:12">
      <c r="A506" s="1281"/>
      <c r="B506" s="1282"/>
      <c r="C506" s="1282"/>
      <c r="D506" s="1282"/>
      <c r="E506" s="1282"/>
      <c r="F506" s="1282"/>
      <c r="G506" s="1282"/>
      <c r="H506" s="1282"/>
      <c r="I506" s="1282"/>
      <c r="J506" s="1282"/>
      <c r="K506" s="1282"/>
      <c r="L506" s="1283"/>
    </row>
    <row r="507" spans="1:12">
      <c r="A507" s="1281"/>
      <c r="B507" s="1282"/>
      <c r="C507" s="1282"/>
      <c r="D507" s="1282"/>
      <c r="E507" s="1282"/>
      <c r="F507" s="1282"/>
      <c r="G507" s="1282"/>
      <c r="H507" s="1282"/>
      <c r="I507" s="1282"/>
      <c r="J507" s="1282"/>
      <c r="K507" s="1282"/>
      <c r="L507" s="1283"/>
    </row>
    <row r="508" spans="1:12">
      <c r="A508" s="1281"/>
      <c r="B508" s="1282"/>
      <c r="C508" s="1282"/>
      <c r="D508" s="1282"/>
      <c r="E508" s="1282"/>
      <c r="F508" s="1282"/>
      <c r="G508" s="1282"/>
      <c r="H508" s="1282"/>
      <c r="I508" s="1282"/>
      <c r="J508" s="1282"/>
      <c r="K508" s="1282"/>
      <c r="L508" s="1283"/>
    </row>
    <row r="509" spans="1:12">
      <c r="A509" s="1281"/>
      <c r="B509" s="1282"/>
      <c r="C509" s="1282"/>
      <c r="D509" s="1282"/>
      <c r="E509" s="1282"/>
      <c r="F509" s="1282"/>
      <c r="G509" s="1282"/>
      <c r="H509" s="1282"/>
      <c r="I509" s="1282"/>
      <c r="J509" s="1282"/>
      <c r="K509" s="1282"/>
      <c r="L509" s="1283"/>
    </row>
    <row r="510" spans="1:12">
      <c r="A510" s="1281"/>
      <c r="B510" s="1282"/>
      <c r="C510" s="1282"/>
      <c r="D510" s="1282"/>
      <c r="E510" s="1282"/>
      <c r="F510" s="1282"/>
      <c r="G510" s="1282"/>
      <c r="H510" s="1282"/>
      <c r="I510" s="1282"/>
      <c r="J510" s="1282"/>
      <c r="K510" s="1282"/>
      <c r="L510" s="1283"/>
    </row>
    <row r="511" spans="1:12">
      <c r="A511" s="1281"/>
      <c r="B511" s="1282"/>
      <c r="C511" s="1282"/>
      <c r="D511" s="1282"/>
      <c r="E511" s="1282"/>
      <c r="F511" s="1282"/>
      <c r="G511" s="1282"/>
      <c r="H511" s="1282"/>
      <c r="I511" s="1282"/>
      <c r="J511" s="1282"/>
      <c r="K511" s="1282"/>
      <c r="L511" s="1283"/>
    </row>
    <row r="512" spans="1:12">
      <c r="A512" s="1281"/>
      <c r="B512" s="1282"/>
      <c r="C512" s="1282"/>
      <c r="D512" s="1282"/>
      <c r="E512" s="1282"/>
      <c r="F512" s="1282"/>
      <c r="G512" s="1282"/>
      <c r="H512" s="1282"/>
      <c r="I512" s="1282"/>
      <c r="J512" s="1282"/>
      <c r="K512" s="1282"/>
      <c r="L512" s="1283"/>
    </row>
    <row r="513" spans="1:12">
      <c r="A513" s="1281"/>
      <c r="B513" s="1282"/>
      <c r="C513" s="1282"/>
      <c r="D513" s="1282"/>
      <c r="E513" s="1282"/>
      <c r="F513" s="1282"/>
      <c r="G513" s="1282"/>
      <c r="H513" s="1282"/>
      <c r="I513" s="1282"/>
      <c r="J513" s="1282"/>
      <c r="K513" s="1282"/>
      <c r="L513" s="1283"/>
    </row>
    <row r="514" spans="1:12">
      <c r="A514" s="1281"/>
      <c r="B514" s="1282"/>
      <c r="C514" s="1282"/>
      <c r="D514" s="1282"/>
      <c r="E514" s="1282"/>
      <c r="F514" s="1282"/>
      <c r="G514" s="1282"/>
      <c r="H514" s="1282"/>
      <c r="I514" s="1282"/>
      <c r="J514" s="1282"/>
      <c r="K514" s="1282"/>
      <c r="L514" s="1283"/>
    </row>
    <row r="515" spans="1:12">
      <c r="A515" s="1281"/>
      <c r="B515" s="1282"/>
      <c r="C515" s="1282"/>
      <c r="D515" s="1282"/>
      <c r="E515" s="1282"/>
      <c r="F515" s="1282"/>
      <c r="G515" s="1282"/>
      <c r="H515" s="1282"/>
      <c r="I515" s="1282"/>
      <c r="J515" s="1282"/>
      <c r="K515" s="1282"/>
      <c r="L515" s="1283"/>
    </row>
    <row r="516" spans="1:12">
      <c r="A516" s="1281"/>
      <c r="B516" s="1282"/>
      <c r="C516" s="1282"/>
      <c r="D516" s="1282"/>
      <c r="E516" s="1282"/>
      <c r="F516" s="1282"/>
      <c r="G516" s="1282"/>
      <c r="H516" s="1282"/>
      <c r="I516" s="1282"/>
      <c r="J516" s="1282"/>
      <c r="K516" s="1282"/>
      <c r="L516" s="1283"/>
    </row>
    <row r="517" spans="1:12">
      <c r="A517" s="1281"/>
      <c r="B517" s="1282"/>
      <c r="C517" s="1282"/>
      <c r="D517" s="1282"/>
      <c r="E517" s="1282"/>
      <c r="F517" s="1282"/>
      <c r="G517" s="1282"/>
      <c r="H517" s="1282"/>
      <c r="I517" s="1282"/>
      <c r="J517" s="1282"/>
      <c r="K517" s="1282"/>
      <c r="L517" s="1283"/>
    </row>
    <row r="518" spans="1:12">
      <c r="A518" s="1281"/>
      <c r="B518" s="1282"/>
      <c r="C518" s="1282"/>
      <c r="D518" s="1282"/>
      <c r="E518" s="1282"/>
      <c r="F518" s="1282"/>
      <c r="G518" s="1282"/>
      <c r="H518" s="1282"/>
      <c r="I518" s="1282"/>
      <c r="J518" s="1282"/>
      <c r="K518" s="1282"/>
      <c r="L518" s="1283"/>
    </row>
    <row r="519" spans="1:12">
      <c r="A519" s="1281"/>
      <c r="B519" s="1282"/>
      <c r="C519" s="1282"/>
      <c r="D519" s="1282"/>
      <c r="E519" s="1282"/>
      <c r="F519" s="1282"/>
      <c r="G519" s="1282"/>
      <c r="H519" s="1282"/>
      <c r="I519" s="1282"/>
      <c r="J519" s="1282"/>
      <c r="K519" s="1282"/>
      <c r="L519" s="1283"/>
    </row>
    <row r="520" spans="1:12">
      <c r="A520" s="1281"/>
      <c r="B520" s="1282"/>
      <c r="C520" s="1282"/>
      <c r="D520" s="1282"/>
      <c r="E520" s="1282"/>
      <c r="F520" s="1282"/>
      <c r="G520" s="1282"/>
      <c r="H520" s="1282"/>
      <c r="I520" s="1282"/>
      <c r="J520" s="1282"/>
      <c r="K520" s="1282"/>
      <c r="L520" s="1283"/>
    </row>
    <row r="521" spans="1:12">
      <c r="A521" s="1281"/>
      <c r="B521" s="1282"/>
      <c r="C521" s="1282"/>
      <c r="D521" s="1282"/>
      <c r="E521" s="1282"/>
      <c r="F521" s="1282"/>
      <c r="G521" s="1282"/>
      <c r="H521" s="1282"/>
      <c r="I521" s="1282"/>
      <c r="J521" s="1282"/>
      <c r="K521" s="1282"/>
      <c r="L521" s="1283"/>
    </row>
    <row r="522" spans="1:12">
      <c r="A522" s="1259"/>
      <c r="B522" s="1259"/>
      <c r="C522" s="1259"/>
      <c r="D522" s="1259"/>
      <c r="E522" s="1259"/>
      <c r="F522" s="1259"/>
      <c r="G522" s="1259"/>
      <c r="H522" s="1259"/>
      <c r="I522" s="1259"/>
      <c r="J522" s="1259"/>
      <c r="K522" s="1259"/>
      <c r="L522" s="1259"/>
    </row>
    <row r="523" spans="1:12">
      <c r="A523" s="1260"/>
      <c r="B523" s="1261"/>
      <c r="C523" s="1261"/>
      <c r="D523" s="1261"/>
      <c r="E523" s="1261"/>
      <c r="F523" s="1261"/>
      <c r="G523" s="1261"/>
      <c r="H523" s="1261"/>
      <c r="I523" s="1261"/>
      <c r="J523" s="1261"/>
      <c r="K523" s="1261"/>
      <c r="L523" s="1262"/>
    </row>
    <row r="524" spans="1:12">
      <c r="A524" s="1260"/>
      <c r="B524" s="1261"/>
      <c r="C524" s="1261"/>
      <c r="D524" s="1261"/>
      <c r="E524" s="1261"/>
      <c r="F524" s="1261"/>
      <c r="G524" s="1261"/>
      <c r="H524" s="1261"/>
      <c r="I524" s="1261"/>
      <c r="J524" s="1261"/>
      <c r="K524" s="1261"/>
      <c r="L524" s="1262"/>
    </row>
    <row r="525" spans="1:12">
      <c r="A525" s="1260"/>
      <c r="B525" s="1261"/>
      <c r="C525" s="1261"/>
      <c r="D525" s="1261"/>
      <c r="E525" s="1261"/>
      <c r="F525" s="1261"/>
      <c r="G525" s="1261"/>
      <c r="H525" s="1261"/>
      <c r="I525" s="1261"/>
      <c r="J525" s="1261"/>
      <c r="K525" s="1261"/>
      <c r="L525" s="1262"/>
    </row>
    <row r="526" spans="1:12">
      <c r="A526" s="1260"/>
      <c r="B526" s="1261"/>
      <c r="C526" s="1261"/>
      <c r="D526" s="1261"/>
      <c r="E526" s="1261"/>
      <c r="F526" s="1261"/>
      <c r="G526" s="1261"/>
      <c r="H526" s="1261"/>
      <c r="I526" s="1261"/>
      <c r="J526" s="1261"/>
      <c r="K526" s="1261"/>
      <c r="L526" s="1262"/>
    </row>
    <row r="527" spans="1:12">
      <c r="A527" s="1260"/>
      <c r="B527" s="1261"/>
      <c r="C527" s="1261"/>
      <c r="D527" s="1261"/>
      <c r="E527" s="1261"/>
      <c r="F527" s="1261"/>
      <c r="G527" s="1261"/>
      <c r="H527" s="1261"/>
      <c r="I527" s="1261"/>
      <c r="J527" s="1261"/>
      <c r="K527" s="1261"/>
      <c r="L527" s="1262"/>
    </row>
    <row r="528" spans="1:12">
      <c r="A528" s="1260"/>
      <c r="B528" s="1261"/>
      <c r="C528" s="1261"/>
      <c r="D528" s="1261"/>
      <c r="E528" s="1261"/>
      <c r="F528" s="1261"/>
      <c r="G528" s="1261"/>
      <c r="H528" s="1261"/>
      <c r="I528" s="1261"/>
      <c r="J528" s="1261"/>
      <c r="K528" s="1261"/>
      <c r="L528" s="1262"/>
    </row>
    <row r="529" spans="1:12">
      <c r="A529" s="1260"/>
      <c r="B529" s="1261"/>
      <c r="C529" s="1261"/>
      <c r="D529" s="1261"/>
      <c r="E529" s="1261"/>
      <c r="F529" s="1261"/>
      <c r="G529" s="1261"/>
      <c r="H529" s="1261"/>
      <c r="I529" s="1261"/>
      <c r="J529" s="1261"/>
      <c r="K529" s="1261"/>
      <c r="L529" s="1262"/>
    </row>
    <row r="530" spans="1:12">
      <c r="A530" s="1260"/>
      <c r="B530" s="1261"/>
      <c r="C530" s="1261"/>
      <c r="D530" s="1261"/>
      <c r="E530" s="1261"/>
      <c r="F530" s="1261"/>
      <c r="G530" s="1261"/>
      <c r="H530" s="1261"/>
      <c r="I530" s="1261"/>
      <c r="J530" s="1261"/>
      <c r="K530" s="1261"/>
      <c r="L530" s="1262"/>
    </row>
    <row r="531" spans="1:12">
      <c r="A531" s="1260"/>
      <c r="B531" s="1261"/>
      <c r="C531" s="1261"/>
      <c r="D531" s="1261"/>
      <c r="E531" s="1261"/>
      <c r="F531" s="1261"/>
      <c r="G531" s="1261"/>
      <c r="H531" s="1261"/>
      <c r="I531" s="1261"/>
      <c r="J531" s="1261"/>
      <c r="K531" s="1261"/>
      <c r="L531" s="1262"/>
    </row>
    <row r="532" spans="1:12">
      <c r="A532" s="1260"/>
      <c r="B532" s="1261"/>
      <c r="C532" s="1261"/>
      <c r="D532" s="1261"/>
      <c r="E532" s="1261"/>
      <c r="F532" s="1261"/>
      <c r="G532" s="1261"/>
      <c r="H532" s="1261"/>
      <c r="I532" s="1261"/>
      <c r="J532" s="1261"/>
      <c r="K532" s="1261"/>
      <c r="L532" s="1262"/>
    </row>
    <row r="533" spans="1:12">
      <c r="A533" s="1260"/>
      <c r="B533" s="1261"/>
      <c r="C533" s="1261"/>
      <c r="D533" s="1261"/>
      <c r="E533" s="1261"/>
      <c r="F533" s="1261"/>
      <c r="G533" s="1261"/>
      <c r="H533" s="1261"/>
      <c r="I533" s="1261"/>
      <c r="J533" s="1261"/>
      <c r="K533" s="1261"/>
      <c r="L533" s="1262"/>
    </row>
    <row r="534" spans="1:12">
      <c r="A534" s="1260"/>
      <c r="B534" s="1261"/>
      <c r="C534" s="1261"/>
      <c r="D534" s="1261"/>
      <c r="E534" s="1261"/>
      <c r="F534" s="1261"/>
      <c r="G534" s="1261"/>
      <c r="H534" s="1261"/>
      <c r="I534" s="1261"/>
      <c r="J534" s="1261"/>
      <c r="K534" s="1261"/>
      <c r="L534" s="1262"/>
    </row>
    <row r="535" spans="1:12">
      <c r="A535" s="1260"/>
      <c r="B535" s="1261"/>
      <c r="C535" s="1261"/>
      <c r="D535" s="1261"/>
      <c r="E535" s="1261"/>
      <c r="F535" s="1261"/>
      <c r="G535" s="1261"/>
      <c r="H535" s="1261"/>
      <c r="I535" s="1261"/>
      <c r="J535" s="1261"/>
      <c r="K535" s="1261"/>
      <c r="L535" s="1262"/>
    </row>
    <row r="536" spans="1:12">
      <c r="A536" s="1263"/>
      <c r="B536" s="1264"/>
      <c r="C536" s="1264"/>
      <c r="D536" s="1264"/>
      <c r="E536" s="1264"/>
      <c r="F536" s="1264"/>
      <c r="G536" s="1264"/>
      <c r="H536" s="1264"/>
      <c r="I536" s="1264"/>
      <c r="J536" s="1264"/>
      <c r="K536" s="1264"/>
      <c r="L536" s="1265"/>
    </row>
    <row r="537" spans="1:12">
      <c r="A537" s="1263"/>
      <c r="B537" s="1264"/>
      <c r="C537" s="1266"/>
      <c r="D537" s="1266"/>
      <c r="E537" s="1266"/>
      <c r="F537" s="1264"/>
      <c r="G537" s="1264"/>
      <c r="H537" s="1264"/>
      <c r="I537" s="1264"/>
      <c r="J537" s="1264"/>
      <c r="K537" s="1267"/>
      <c r="L537" s="1268"/>
    </row>
    <row r="538" spans="1:12" ht="15.75">
      <c r="A538" s="1269"/>
      <c r="B538" s="1264"/>
      <c r="C538" s="1264"/>
      <c r="D538" s="1264"/>
      <c r="E538" s="1264"/>
      <c r="F538" s="1270"/>
      <c r="G538" s="1264"/>
      <c r="H538" s="1264"/>
      <c r="I538" s="1264"/>
      <c r="J538" s="1264"/>
      <c r="K538" s="1264"/>
      <c r="L538" s="1265"/>
    </row>
    <row r="539" spans="1:12">
      <c r="A539" s="1263"/>
      <c r="B539" s="1264"/>
      <c r="C539" s="1264"/>
      <c r="D539" s="1264"/>
      <c r="E539" s="1271"/>
      <c r="F539" s="1264"/>
      <c r="G539" s="1264"/>
      <c r="H539" s="1264"/>
      <c r="I539" s="1264"/>
      <c r="J539" s="1264"/>
      <c r="K539" s="1267"/>
      <c r="L539" s="1268"/>
    </row>
    <row r="540" spans="1:12">
      <c r="A540" s="1263"/>
      <c r="B540" s="1264"/>
      <c r="C540" s="1264"/>
      <c r="D540" s="1271"/>
      <c r="E540" s="1264"/>
      <c r="F540" s="1264"/>
      <c r="G540" s="1264"/>
      <c r="H540" s="1264"/>
      <c r="I540" s="1264"/>
      <c r="J540" s="1264"/>
      <c r="K540" s="1264"/>
      <c r="L540" s="1265"/>
    </row>
    <row r="541" spans="1:12">
      <c r="A541" s="1272"/>
      <c r="B541" s="1272"/>
      <c r="C541" s="1272"/>
      <c r="D541" s="1272"/>
      <c r="E541" s="1272"/>
      <c r="F541" s="1272"/>
      <c r="G541" s="1272"/>
      <c r="H541" s="1272"/>
      <c r="I541" s="1272"/>
      <c r="J541" s="1272"/>
      <c r="K541" s="1273"/>
      <c r="L541" s="1274"/>
    </row>
    <row r="542" spans="1:12">
      <c r="A542" s="1275"/>
      <c r="B542" s="1276"/>
      <c r="C542" s="1276"/>
      <c r="D542" s="1276"/>
      <c r="E542" s="1276"/>
      <c r="F542" s="1276"/>
      <c r="G542" s="1276"/>
      <c r="H542" s="1276"/>
      <c r="I542" s="1276"/>
      <c r="J542" s="1276"/>
      <c r="K542" s="1276"/>
      <c r="L542" s="1262"/>
    </row>
    <row r="543" spans="1:12">
      <c r="A543" s="1277"/>
      <c r="B543" s="1277"/>
      <c r="C543" s="1277"/>
      <c r="D543" s="1277"/>
      <c r="E543" s="1277"/>
      <c r="F543" s="1277"/>
      <c r="G543" s="1277"/>
      <c r="H543" s="1277"/>
      <c r="I543" s="1277"/>
      <c r="J543" s="1277"/>
      <c r="K543" s="1256"/>
      <c r="L543" s="1278"/>
    </row>
    <row r="544" spans="1:12">
      <c r="A544" s="1275"/>
      <c r="B544" s="1276"/>
      <c r="C544" s="1276"/>
      <c r="D544" s="1276"/>
      <c r="E544" s="1276"/>
      <c r="F544" s="1276"/>
      <c r="G544" s="1276"/>
      <c r="H544" s="1276"/>
      <c r="I544" s="1276"/>
      <c r="J544" s="1276"/>
      <c r="K544" s="1276"/>
      <c r="L544" s="1279"/>
    </row>
    <row r="545" spans="1:12">
      <c r="A545" s="1275"/>
      <c r="B545" s="1276"/>
      <c r="C545" s="1276"/>
      <c r="D545" s="1276"/>
      <c r="E545" s="1280"/>
      <c r="F545" s="1276"/>
      <c r="G545" s="1276"/>
      <c r="H545" s="1276"/>
      <c r="I545" s="1276"/>
      <c r="J545" s="1276"/>
      <c r="K545" s="1276"/>
      <c r="L545" s="1279"/>
    </row>
    <row r="546" spans="1:12">
      <c r="A546" s="1275"/>
      <c r="B546" s="1276"/>
      <c r="C546" s="1276"/>
      <c r="D546" s="1276"/>
      <c r="E546" s="1280"/>
      <c r="F546" s="1276"/>
      <c r="G546" s="1276"/>
      <c r="H546" s="1276"/>
      <c r="I546" s="1276"/>
      <c r="J546" s="1276"/>
      <c r="K546" s="1276"/>
      <c r="L546" s="1279"/>
    </row>
    <row r="547" spans="1:12">
      <c r="A547" s="1275"/>
      <c r="B547" s="1276"/>
      <c r="C547" s="1276"/>
      <c r="D547" s="1280"/>
      <c r="E547" s="1276"/>
      <c r="F547" s="1276"/>
      <c r="G547" s="1276"/>
      <c r="H547" s="1276"/>
      <c r="I547" s="1276"/>
      <c r="J547" s="1276"/>
      <c r="K547" s="1276"/>
      <c r="L547" s="1279"/>
    </row>
    <row r="548" spans="1:12">
      <c r="A548" s="1281"/>
      <c r="B548" s="1282"/>
      <c r="C548" s="1282"/>
      <c r="D548" s="1282"/>
      <c r="E548" s="1282"/>
      <c r="F548" s="1282"/>
      <c r="G548" s="1282"/>
      <c r="H548" s="1282"/>
      <c r="I548" s="1282"/>
      <c r="J548" s="1282"/>
      <c r="K548" s="1282"/>
      <c r="L548" s="1283"/>
    </row>
    <row r="549" spans="1:12">
      <c r="A549" s="1275"/>
      <c r="B549" s="1276"/>
      <c r="C549" s="1276"/>
      <c r="D549" s="1276"/>
      <c r="E549" s="1276"/>
      <c r="F549" s="1276"/>
      <c r="G549" s="1276"/>
      <c r="H549" s="1276"/>
      <c r="I549" s="1276"/>
      <c r="J549" s="1276"/>
      <c r="K549" s="1276"/>
      <c r="L549" s="1279"/>
    </row>
    <row r="550" spans="1:12">
      <c r="A550" s="1281"/>
      <c r="B550" s="1282"/>
      <c r="C550" s="1282"/>
      <c r="D550" s="1282"/>
      <c r="E550" s="1282"/>
      <c r="F550" s="1282"/>
      <c r="G550" s="1282"/>
      <c r="H550" s="1282"/>
      <c r="I550" s="1282"/>
      <c r="J550" s="1282"/>
      <c r="K550" s="1282"/>
      <c r="L550" s="1283"/>
    </row>
    <row r="551" spans="1:12">
      <c r="A551" s="1275"/>
      <c r="B551" s="1276"/>
      <c r="C551" s="1276"/>
      <c r="D551" s="1280"/>
      <c r="E551" s="1276"/>
      <c r="F551" s="1276"/>
      <c r="G551" s="1276"/>
      <c r="H551" s="1276"/>
      <c r="I551" s="1276"/>
      <c r="J551" s="1276"/>
      <c r="K551" s="1276"/>
      <c r="L551" s="1279"/>
    </row>
    <row r="552" spans="1:12">
      <c r="A552" s="1281"/>
      <c r="B552" s="1282"/>
      <c r="C552" s="1282"/>
      <c r="D552" s="1282"/>
      <c r="E552" s="1282"/>
      <c r="F552" s="1282"/>
      <c r="G552" s="1282"/>
      <c r="H552" s="1282"/>
      <c r="I552" s="1282"/>
      <c r="J552" s="1282"/>
      <c r="K552" s="1282"/>
      <c r="L552" s="1283"/>
    </row>
    <row r="553" spans="1:12">
      <c r="A553" s="1281"/>
      <c r="B553" s="1282"/>
      <c r="C553" s="1282"/>
      <c r="D553" s="1282"/>
      <c r="E553" s="1282"/>
      <c r="F553" s="1282"/>
      <c r="G553" s="1282"/>
      <c r="H553" s="1282"/>
      <c r="I553" s="1282"/>
      <c r="J553" s="1282"/>
      <c r="K553" s="1282"/>
      <c r="L553" s="1283"/>
    </row>
    <row r="554" spans="1:12">
      <c r="A554" s="1281"/>
      <c r="B554" s="1282"/>
      <c r="C554" s="1282"/>
      <c r="D554" s="1282"/>
      <c r="E554" s="1282"/>
      <c r="F554" s="1282"/>
      <c r="G554" s="1282"/>
      <c r="H554" s="1282"/>
      <c r="I554" s="1282"/>
      <c r="J554" s="1282"/>
      <c r="K554" s="1282"/>
      <c r="L554" s="1283"/>
    </row>
    <row r="555" spans="1:12">
      <c r="A555" s="1281"/>
      <c r="B555" s="1282"/>
      <c r="C555" s="1282"/>
      <c r="D555" s="1282"/>
      <c r="E555" s="1282"/>
      <c r="F555" s="1282"/>
      <c r="G555" s="1282"/>
      <c r="H555" s="1282"/>
      <c r="I555" s="1282"/>
      <c r="J555" s="1282"/>
      <c r="K555" s="1282"/>
      <c r="L555" s="1283"/>
    </row>
    <row r="556" spans="1:12">
      <c r="A556" s="1281"/>
      <c r="B556" s="1282"/>
      <c r="C556" s="1282"/>
      <c r="D556" s="1282"/>
      <c r="E556" s="1282"/>
      <c r="F556" s="1282"/>
      <c r="G556" s="1282"/>
      <c r="H556" s="1282"/>
      <c r="I556" s="1282"/>
      <c r="J556" s="1282"/>
      <c r="K556" s="1282"/>
      <c r="L556" s="1283"/>
    </row>
    <row r="557" spans="1:12">
      <c r="A557" s="1281"/>
      <c r="B557" s="1282"/>
      <c r="C557" s="1282"/>
      <c r="D557" s="1282"/>
      <c r="E557" s="1282"/>
      <c r="F557" s="1282"/>
      <c r="G557" s="1282"/>
      <c r="H557" s="1282"/>
      <c r="I557" s="1282"/>
      <c r="J557" s="1282"/>
      <c r="K557" s="1282"/>
      <c r="L557" s="1283"/>
    </row>
    <row r="558" spans="1:12">
      <c r="A558" s="1281"/>
      <c r="B558" s="1282"/>
      <c r="C558" s="1282"/>
      <c r="D558" s="1282"/>
      <c r="E558" s="1282"/>
      <c r="F558" s="1282"/>
      <c r="G558" s="1282"/>
      <c r="H558" s="1282"/>
      <c r="I558" s="1282"/>
      <c r="J558" s="1282"/>
      <c r="K558" s="1282"/>
      <c r="L558" s="1283"/>
    </row>
    <row r="559" spans="1:12">
      <c r="A559" s="1281"/>
      <c r="B559" s="1282"/>
      <c r="C559" s="1282"/>
      <c r="D559" s="1282"/>
      <c r="E559" s="1282"/>
      <c r="F559" s="1282"/>
      <c r="G559" s="1282"/>
      <c r="H559" s="1282"/>
      <c r="I559" s="1282"/>
      <c r="J559" s="1282"/>
      <c r="K559" s="1282"/>
      <c r="L559" s="1283"/>
    </row>
    <row r="560" spans="1:12">
      <c r="A560" s="1281"/>
      <c r="B560" s="1282"/>
      <c r="C560" s="1282"/>
      <c r="D560" s="1282"/>
      <c r="E560" s="1282"/>
      <c r="F560" s="1282"/>
      <c r="G560" s="1282"/>
      <c r="H560" s="1282"/>
      <c r="I560" s="1282"/>
      <c r="J560" s="1282"/>
      <c r="K560" s="1282"/>
      <c r="L560" s="1283"/>
    </row>
    <row r="561" spans="1:12">
      <c r="A561" s="1281"/>
      <c r="B561" s="1282"/>
      <c r="C561" s="1282"/>
      <c r="D561" s="1282"/>
      <c r="E561" s="1282"/>
      <c r="F561" s="1282"/>
      <c r="G561" s="1282"/>
      <c r="H561" s="1282"/>
      <c r="I561" s="1282"/>
      <c r="J561" s="1282"/>
      <c r="K561" s="1282"/>
      <c r="L561" s="1283"/>
    </row>
    <row r="562" spans="1:12">
      <c r="A562" s="1281"/>
      <c r="B562" s="1282"/>
      <c r="C562" s="1282"/>
      <c r="D562" s="1282"/>
      <c r="E562" s="1282"/>
      <c r="F562" s="1282"/>
      <c r="G562" s="1282"/>
      <c r="H562" s="1282"/>
      <c r="I562" s="1282"/>
      <c r="J562" s="1282"/>
      <c r="K562" s="1282"/>
      <c r="L562" s="1283"/>
    </row>
    <row r="563" spans="1:12">
      <c r="A563" s="1281"/>
      <c r="B563" s="1282"/>
      <c r="C563" s="1282"/>
      <c r="D563" s="1282"/>
      <c r="E563" s="1282"/>
      <c r="F563" s="1282"/>
      <c r="G563" s="1282"/>
      <c r="H563" s="1282"/>
      <c r="I563" s="1282"/>
      <c r="J563" s="1282"/>
      <c r="K563" s="1282"/>
      <c r="L563" s="1283"/>
    </row>
    <row r="564" spans="1:12">
      <c r="A564" s="1281"/>
      <c r="B564" s="1282"/>
      <c r="C564" s="1282"/>
      <c r="D564" s="1282"/>
      <c r="E564" s="1282"/>
      <c r="F564" s="1282"/>
      <c r="G564" s="1282"/>
      <c r="H564" s="1282"/>
      <c r="I564" s="1282"/>
      <c r="J564" s="1282"/>
      <c r="K564" s="1282"/>
      <c r="L564" s="1283"/>
    </row>
    <row r="565" spans="1:12">
      <c r="A565" s="1281"/>
      <c r="B565" s="1282"/>
      <c r="C565" s="1282"/>
      <c r="D565" s="1282"/>
      <c r="E565" s="1282"/>
      <c r="F565" s="1282"/>
      <c r="G565" s="1282"/>
      <c r="H565" s="1282"/>
      <c r="I565" s="1282"/>
      <c r="J565" s="1282"/>
      <c r="K565" s="1282"/>
      <c r="L565" s="1283"/>
    </row>
    <row r="566" spans="1:12">
      <c r="A566" s="1281"/>
      <c r="B566" s="1282"/>
      <c r="C566" s="1282"/>
      <c r="D566" s="1282"/>
      <c r="E566" s="1282"/>
      <c r="F566" s="1282"/>
      <c r="G566" s="1282"/>
      <c r="H566" s="1282"/>
      <c r="I566" s="1282"/>
      <c r="J566" s="1282"/>
      <c r="K566" s="1282"/>
      <c r="L566" s="1283"/>
    </row>
    <row r="567" spans="1:12">
      <c r="A567" s="1281"/>
      <c r="B567" s="1282"/>
      <c r="C567" s="1282"/>
      <c r="D567" s="1282"/>
      <c r="E567" s="1282"/>
      <c r="F567" s="1282"/>
      <c r="G567" s="1282"/>
      <c r="H567" s="1282"/>
      <c r="I567" s="1282"/>
      <c r="J567" s="1282"/>
      <c r="K567" s="1282"/>
      <c r="L567" s="1283"/>
    </row>
    <row r="568" spans="1:12">
      <c r="A568" s="1281"/>
      <c r="B568" s="1282"/>
      <c r="C568" s="1282"/>
      <c r="D568" s="1282"/>
      <c r="E568" s="1282"/>
      <c r="F568" s="1282"/>
      <c r="G568" s="1282"/>
      <c r="H568" s="1282"/>
      <c r="I568" s="1282"/>
      <c r="J568" s="1282"/>
      <c r="K568" s="1282"/>
      <c r="L568" s="1283"/>
    </row>
    <row r="569" spans="1:12">
      <c r="A569" s="1281"/>
      <c r="B569" s="1282"/>
      <c r="C569" s="1282"/>
      <c r="D569" s="1282"/>
      <c r="E569" s="1282"/>
      <c r="F569" s="1282"/>
      <c r="G569" s="1282"/>
      <c r="H569" s="1282"/>
      <c r="I569" s="1282"/>
      <c r="J569" s="1282"/>
      <c r="K569" s="1282"/>
      <c r="L569" s="1283"/>
    </row>
    <row r="570" spans="1:12">
      <c r="A570" s="1281"/>
      <c r="B570" s="1282"/>
      <c r="C570" s="1282"/>
      <c r="D570" s="1282"/>
      <c r="E570" s="1282"/>
      <c r="F570" s="1282"/>
      <c r="G570" s="1282"/>
      <c r="H570" s="1282"/>
      <c r="I570" s="1282"/>
      <c r="J570" s="1282"/>
      <c r="K570" s="1282"/>
      <c r="L570" s="1283"/>
    </row>
    <row r="571" spans="1:12">
      <c r="A571" s="1281"/>
      <c r="B571" s="1282"/>
      <c r="C571" s="1282"/>
      <c r="D571" s="1282"/>
      <c r="E571" s="1282"/>
      <c r="F571" s="1282"/>
      <c r="G571" s="1282"/>
      <c r="H571" s="1282"/>
      <c r="I571" s="1282"/>
      <c r="J571" s="1282"/>
      <c r="K571" s="1282"/>
      <c r="L571" s="1283"/>
    </row>
    <row r="572" spans="1:12">
      <c r="A572" s="1281"/>
      <c r="B572" s="1282"/>
      <c r="C572" s="1282"/>
      <c r="D572" s="1282"/>
      <c r="E572" s="1282"/>
      <c r="F572" s="1282"/>
      <c r="G572" s="1282"/>
      <c r="H572" s="1282"/>
      <c r="I572" s="1282"/>
      <c r="J572" s="1282"/>
      <c r="K572" s="1282"/>
      <c r="L572" s="1283"/>
    </row>
    <row r="573" spans="1:12">
      <c r="A573" s="1281"/>
      <c r="B573" s="1282"/>
      <c r="C573" s="1282"/>
      <c r="D573" s="1282"/>
      <c r="E573" s="1282"/>
      <c r="F573" s="1282"/>
      <c r="G573" s="1282"/>
      <c r="H573" s="1282"/>
      <c r="I573" s="1282"/>
      <c r="J573" s="1282"/>
      <c r="K573" s="1282"/>
      <c r="L573" s="1283"/>
    </row>
    <row r="574" spans="1:12">
      <c r="A574" s="1281"/>
      <c r="B574" s="1282"/>
      <c r="C574" s="1282"/>
      <c r="D574" s="1282"/>
      <c r="E574" s="1282"/>
      <c r="F574" s="1282"/>
      <c r="G574" s="1282"/>
      <c r="H574" s="1282"/>
      <c r="I574" s="1282"/>
      <c r="J574" s="1282"/>
      <c r="K574" s="1282"/>
      <c r="L574" s="1283"/>
    </row>
    <row r="575" spans="1:12">
      <c r="A575" s="1281"/>
      <c r="B575" s="1282"/>
      <c r="C575" s="1282"/>
      <c r="D575" s="1282"/>
      <c r="E575" s="1282"/>
      <c r="F575" s="1282"/>
      <c r="G575" s="1282"/>
      <c r="H575" s="1282"/>
      <c r="I575" s="1282"/>
      <c r="J575" s="1282"/>
      <c r="K575" s="1282"/>
      <c r="L575" s="1283"/>
    </row>
    <row r="576" spans="1:12">
      <c r="A576" s="1281"/>
      <c r="B576" s="1282"/>
      <c r="C576" s="1282"/>
      <c r="D576" s="1282"/>
      <c r="E576" s="1282"/>
      <c r="F576" s="1282"/>
      <c r="G576" s="1282"/>
      <c r="H576" s="1282"/>
      <c r="I576" s="1282"/>
      <c r="J576" s="1282"/>
      <c r="K576" s="1282"/>
      <c r="L576" s="1283"/>
    </row>
    <row r="577" spans="1:12">
      <c r="A577" s="1281"/>
      <c r="B577" s="1282"/>
      <c r="C577" s="1282"/>
      <c r="D577" s="1282"/>
      <c r="E577" s="1282"/>
      <c r="F577" s="1282"/>
      <c r="G577" s="1282"/>
      <c r="H577" s="1282"/>
      <c r="I577" s="1282"/>
      <c r="J577" s="1282"/>
      <c r="K577" s="1282"/>
      <c r="L577" s="1283"/>
    </row>
    <row r="578" spans="1:12">
      <c r="A578" s="1281"/>
      <c r="B578" s="1282"/>
      <c r="C578" s="1282"/>
      <c r="D578" s="1282"/>
      <c r="E578" s="1282"/>
      <c r="F578" s="1282"/>
      <c r="G578" s="1282"/>
      <c r="H578" s="1282"/>
      <c r="I578" s="1282"/>
      <c r="J578" s="1282"/>
      <c r="K578" s="1282"/>
      <c r="L578" s="1283"/>
    </row>
    <row r="579" spans="1:12">
      <c r="A579" s="1281"/>
      <c r="B579" s="1282"/>
      <c r="C579" s="1282"/>
      <c r="D579" s="1282"/>
      <c r="E579" s="1282"/>
      <c r="F579" s="1282"/>
      <c r="G579" s="1282"/>
      <c r="H579" s="1282"/>
      <c r="I579" s="1282"/>
      <c r="J579" s="1282"/>
      <c r="K579" s="1282"/>
      <c r="L579" s="1283"/>
    </row>
    <row r="580" spans="1:12">
      <c r="A580" s="1281"/>
      <c r="B580" s="1282"/>
      <c r="C580" s="1282"/>
      <c r="D580" s="1282"/>
      <c r="E580" s="1282"/>
      <c r="F580" s="1282"/>
      <c r="G580" s="1282"/>
      <c r="H580" s="1282"/>
      <c r="I580" s="1282"/>
      <c r="J580" s="1282"/>
      <c r="K580" s="1282"/>
      <c r="L580" s="1283"/>
    </row>
    <row r="581" spans="1:12">
      <c r="A581" s="1281"/>
      <c r="B581" s="1282"/>
      <c r="C581" s="1282"/>
      <c r="D581" s="1282"/>
      <c r="E581" s="1282"/>
      <c r="F581" s="1282"/>
      <c r="G581" s="1282"/>
      <c r="H581" s="1282"/>
      <c r="I581" s="1282"/>
      <c r="J581" s="1282"/>
      <c r="K581" s="1282"/>
      <c r="L581" s="1283"/>
    </row>
    <row r="582" spans="1:12">
      <c r="A582" s="1281"/>
      <c r="B582" s="1282"/>
      <c r="C582" s="1282"/>
      <c r="D582" s="1282"/>
      <c r="E582" s="1282"/>
      <c r="F582" s="1282"/>
      <c r="G582" s="1282"/>
      <c r="H582" s="1282"/>
      <c r="I582" s="1282"/>
      <c r="J582" s="1282"/>
      <c r="K582" s="1282"/>
      <c r="L582" s="1283"/>
    </row>
    <row r="583" spans="1:12">
      <c r="A583" s="1281"/>
      <c r="B583" s="1282"/>
      <c r="C583" s="1282"/>
      <c r="D583" s="1282"/>
      <c r="E583" s="1282"/>
      <c r="F583" s="1282"/>
      <c r="G583" s="1282"/>
      <c r="H583" s="1282"/>
      <c r="I583" s="1282"/>
      <c r="J583" s="1282"/>
      <c r="K583" s="1282"/>
      <c r="L583" s="1283"/>
    </row>
    <row r="584" spans="1:12">
      <c r="A584" s="1281"/>
      <c r="B584" s="1282"/>
      <c r="C584" s="1282"/>
      <c r="D584" s="1282"/>
      <c r="E584" s="1282"/>
      <c r="F584" s="1282"/>
      <c r="G584" s="1282"/>
      <c r="H584" s="1282"/>
      <c r="I584" s="1282"/>
      <c r="J584" s="1282"/>
      <c r="K584" s="1282"/>
      <c r="L584" s="1283"/>
    </row>
    <row r="585" spans="1:12">
      <c r="A585" s="1281"/>
      <c r="B585" s="1282"/>
      <c r="C585" s="1282"/>
      <c r="D585" s="1282"/>
      <c r="E585" s="1282"/>
      <c r="F585" s="1282"/>
      <c r="G585" s="1282"/>
      <c r="H585" s="1282"/>
      <c r="I585" s="1282"/>
      <c r="J585" s="1282"/>
      <c r="K585" s="1282"/>
      <c r="L585" s="1283"/>
    </row>
    <row r="586" spans="1:12">
      <c r="A586" s="1281"/>
      <c r="B586" s="1282"/>
      <c r="C586" s="1282"/>
      <c r="D586" s="1282"/>
      <c r="E586" s="1282"/>
      <c r="F586" s="1282"/>
      <c r="G586" s="1282"/>
      <c r="H586" s="1282"/>
      <c r="I586" s="1282"/>
      <c r="J586" s="1282"/>
      <c r="K586" s="1282"/>
      <c r="L586" s="1283"/>
    </row>
    <row r="587" spans="1:12">
      <c r="A587" s="1259"/>
      <c r="B587" s="1259"/>
      <c r="C587" s="1259"/>
      <c r="D587" s="1259"/>
      <c r="E587" s="1259"/>
      <c r="F587" s="1259"/>
      <c r="G587" s="1259"/>
      <c r="H587" s="1259"/>
      <c r="I587" s="1259"/>
      <c r="J587" s="1259"/>
      <c r="K587" s="1259"/>
      <c r="L587" s="1259"/>
    </row>
    <row r="588" spans="1:12">
      <c r="A588" s="1260"/>
      <c r="B588" s="1261"/>
      <c r="C588" s="1261"/>
      <c r="D588" s="1261"/>
      <c r="E588" s="1261"/>
      <c r="F588" s="1261"/>
      <c r="G588" s="1261"/>
      <c r="H588" s="1261"/>
      <c r="I588" s="1261"/>
      <c r="J588" s="1261"/>
      <c r="K588" s="1261"/>
      <c r="L588" s="1262"/>
    </row>
    <row r="589" spans="1:12">
      <c r="A589" s="1260"/>
      <c r="B589" s="1261"/>
      <c r="C589" s="1261"/>
      <c r="D589" s="1261"/>
      <c r="E589" s="1261"/>
      <c r="F589" s="1261"/>
      <c r="G589" s="1261"/>
      <c r="H589" s="1261"/>
      <c r="I589" s="1261"/>
      <c r="J589" s="1261"/>
      <c r="K589" s="1261"/>
      <c r="L589" s="1262"/>
    </row>
    <row r="590" spans="1:12">
      <c r="A590" s="1260"/>
      <c r="B590" s="1261"/>
      <c r="C590" s="1261"/>
      <c r="D590" s="1261"/>
      <c r="E590" s="1261"/>
      <c r="F590" s="1261"/>
      <c r="G590" s="1261"/>
      <c r="H590" s="1261"/>
      <c r="I590" s="1261"/>
      <c r="J590" s="1261"/>
      <c r="K590" s="1261"/>
      <c r="L590" s="1262"/>
    </row>
    <row r="591" spans="1:12">
      <c r="A591" s="1260"/>
      <c r="B591" s="1261"/>
      <c r="C591" s="1261"/>
      <c r="D591" s="1261"/>
      <c r="E591" s="1261"/>
      <c r="F591" s="1261"/>
      <c r="G591" s="1261"/>
      <c r="H591" s="1261"/>
      <c r="I591" s="1261"/>
      <c r="J591" s="1261"/>
      <c r="K591" s="1261"/>
      <c r="L591" s="1262"/>
    </row>
    <row r="592" spans="1:12">
      <c r="A592" s="1260"/>
      <c r="B592" s="1261"/>
      <c r="C592" s="1261"/>
      <c r="D592" s="1261"/>
      <c r="E592" s="1261"/>
      <c r="F592" s="1261"/>
      <c r="G592" s="1261"/>
      <c r="H592" s="1261"/>
      <c r="I592" s="1261"/>
      <c r="J592" s="1261"/>
      <c r="K592" s="1261"/>
      <c r="L592" s="1262"/>
    </row>
    <row r="593" spans="1:12">
      <c r="A593" s="1260"/>
      <c r="B593" s="1261"/>
      <c r="C593" s="1261"/>
      <c r="D593" s="1261"/>
      <c r="E593" s="1261"/>
      <c r="F593" s="1261"/>
      <c r="G593" s="1261"/>
      <c r="H593" s="1261"/>
      <c r="I593" s="1261"/>
      <c r="J593" s="1261"/>
      <c r="K593" s="1261"/>
      <c r="L593" s="1262"/>
    </row>
    <row r="594" spans="1:12">
      <c r="A594" s="1260"/>
      <c r="B594" s="1261"/>
      <c r="C594" s="1261"/>
      <c r="D594" s="1261"/>
      <c r="E594" s="1261"/>
      <c r="F594" s="1261"/>
      <c r="G594" s="1261"/>
      <c r="H594" s="1261"/>
      <c r="I594" s="1261"/>
      <c r="J594" s="1261"/>
      <c r="K594" s="1261"/>
      <c r="L594" s="1262"/>
    </row>
    <row r="595" spans="1:12">
      <c r="A595" s="1260"/>
      <c r="B595" s="1261"/>
      <c r="C595" s="1261"/>
      <c r="D595" s="1261"/>
      <c r="E595" s="1261"/>
      <c r="F595" s="1261"/>
      <c r="G595" s="1261"/>
      <c r="H595" s="1261"/>
      <c r="I595" s="1261"/>
      <c r="J595" s="1261"/>
      <c r="K595" s="1261"/>
      <c r="L595" s="1262"/>
    </row>
    <row r="596" spans="1:12">
      <c r="A596" s="1260"/>
      <c r="B596" s="1261"/>
      <c r="C596" s="1261"/>
      <c r="D596" s="1261"/>
      <c r="E596" s="1261"/>
      <c r="F596" s="1261"/>
      <c r="G596" s="1261"/>
      <c r="H596" s="1261"/>
      <c r="I596" s="1261"/>
      <c r="J596" s="1261"/>
      <c r="K596" s="1261"/>
      <c r="L596" s="1262"/>
    </row>
    <row r="597" spans="1:12">
      <c r="A597" s="1260"/>
      <c r="B597" s="1261"/>
      <c r="C597" s="1261"/>
      <c r="D597" s="1261"/>
      <c r="E597" s="1261"/>
      <c r="F597" s="1261"/>
      <c r="G597" s="1261"/>
      <c r="H597" s="1261"/>
      <c r="I597" s="1261"/>
      <c r="J597" s="1261"/>
      <c r="K597" s="1261"/>
      <c r="L597" s="1262"/>
    </row>
    <row r="598" spans="1:12">
      <c r="A598" s="1260"/>
      <c r="B598" s="1261"/>
      <c r="C598" s="1261"/>
      <c r="D598" s="1261"/>
      <c r="E598" s="1261"/>
      <c r="F598" s="1261"/>
      <c r="G598" s="1261"/>
      <c r="H598" s="1261"/>
      <c r="I598" s="1261"/>
      <c r="J598" s="1261"/>
      <c r="K598" s="1261"/>
      <c r="L598" s="1262"/>
    </row>
    <row r="599" spans="1:12">
      <c r="A599" s="1260"/>
      <c r="B599" s="1261"/>
      <c r="C599" s="1261"/>
      <c r="D599" s="1261"/>
      <c r="E599" s="1261"/>
      <c r="F599" s="1261"/>
      <c r="G599" s="1261"/>
      <c r="H599" s="1261"/>
      <c r="I599" s="1261"/>
      <c r="J599" s="1261"/>
      <c r="K599" s="1261"/>
      <c r="L599" s="1262"/>
    </row>
    <row r="600" spans="1:12">
      <c r="A600" s="1260"/>
      <c r="B600" s="1261"/>
      <c r="C600" s="1261"/>
      <c r="D600" s="1261"/>
      <c r="E600" s="1261"/>
      <c r="F600" s="1261"/>
      <c r="G600" s="1261"/>
      <c r="H600" s="1261"/>
      <c r="I600" s="1261"/>
      <c r="J600" s="1261"/>
      <c r="K600" s="1261"/>
      <c r="L600" s="1262"/>
    </row>
    <row r="601" spans="1:12">
      <c r="A601" s="1263"/>
      <c r="B601" s="1264"/>
      <c r="C601" s="1264"/>
      <c r="D601" s="1264"/>
      <c r="E601" s="1264"/>
      <c r="F601" s="1264"/>
      <c r="G601" s="1264"/>
      <c r="H601" s="1264"/>
      <c r="I601" s="1264"/>
      <c r="J601" s="1264"/>
      <c r="K601" s="1264"/>
      <c r="L601" s="1265"/>
    </row>
    <row r="602" spans="1:12">
      <c r="A602" s="1263"/>
      <c r="B602" s="1264"/>
      <c r="C602" s="1266"/>
      <c r="D602" s="1266"/>
      <c r="E602" s="1266"/>
      <c r="F602" s="1264"/>
      <c r="G602" s="1264"/>
      <c r="H602" s="1264"/>
      <c r="I602" s="1264"/>
      <c r="J602" s="1264"/>
      <c r="K602" s="1267"/>
      <c r="L602" s="1268"/>
    </row>
    <row r="603" spans="1:12" ht="15.75">
      <c r="A603" s="1269"/>
      <c r="B603" s="1264"/>
      <c r="C603" s="1264"/>
      <c r="D603" s="1264"/>
      <c r="E603" s="1264"/>
      <c r="F603" s="1270"/>
      <c r="G603" s="1264"/>
      <c r="H603" s="1264"/>
      <c r="I603" s="1264"/>
      <c r="J603" s="1264"/>
      <c r="K603" s="1264"/>
      <c r="L603" s="1265"/>
    </row>
    <row r="604" spans="1:12">
      <c r="A604" s="1263"/>
      <c r="B604" s="1264"/>
      <c r="C604" s="1264"/>
      <c r="D604" s="1264"/>
      <c r="E604" s="1271"/>
      <c r="F604" s="1264"/>
      <c r="G604" s="1264"/>
      <c r="H604" s="1264"/>
      <c r="I604" s="1264"/>
      <c r="J604" s="1264"/>
      <c r="K604" s="1267"/>
      <c r="L604" s="1268"/>
    </row>
    <row r="605" spans="1:12">
      <c r="A605" s="1263"/>
      <c r="B605" s="1264"/>
      <c r="C605" s="1264"/>
      <c r="D605" s="1271"/>
      <c r="E605" s="1264"/>
      <c r="F605" s="1264"/>
      <c r="G605" s="1264"/>
      <c r="H605" s="1264"/>
      <c r="I605" s="1264"/>
      <c r="J605" s="1264"/>
      <c r="K605" s="1264"/>
      <c r="L605" s="1265"/>
    </row>
    <row r="606" spans="1:12">
      <c r="A606" s="1272"/>
      <c r="B606" s="1272"/>
      <c r="C606" s="1272"/>
      <c r="D606" s="1272"/>
      <c r="E606" s="1272"/>
      <c r="F606" s="1272"/>
      <c r="G606" s="1272"/>
      <c r="H606" s="1272"/>
      <c r="I606" s="1272"/>
      <c r="J606" s="1272"/>
      <c r="K606" s="1273"/>
      <c r="L606" s="1274"/>
    </row>
    <row r="607" spans="1:12">
      <c r="A607" s="1275"/>
      <c r="B607" s="1276"/>
      <c r="C607" s="1276"/>
      <c r="D607" s="1276"/>
      <c r="E607" s="1276"/>
      <c r="F607" s="1276"/>
      <c r="G607" s="1276"/>
      <c r="H607" s="1276"/>
      <c r="I607" s="1276"/>
      <c r="J607" s="1276"/>
      <c r="K607" s="1276"/>
      <c r="L607" s="1262"/>
    </row>
    <row r="608" spans="1:12">
      <c r="A608" s="1277"/>
      <c r="B608" s="1277"/>
      <c r="C608" s="1277"/>
      <c r="D608" s="1277"/>
      <c r="E608" s="1277"/>
      <c r="F608" s="1277"/>
      <c r="G608" s="1277"/>
      <c r="H608" s="1277"/>
      <c r="I608" s="1277"/>
      <c r="J608" s="1277"/>
      <c r="K608" s="1256"/>
      <c r="L608" s="1278"/>
    </row>
    <row r="609" spans="1:12">
      <c r="A609" s="1275"/>
      <c r="B609" s="1276"/>
      <c r="C609" s="1276"/>
      <c r="D609" s="1276"/>
      <c r="E609" s="1276"/>
      <c r="F609" s="1276"/>
      <c r="G609" s="1276"/>
      <c r="H609" s="1276"/>
      <c r="I609" s="1276"/>
      <c r="J609" s="1276"/>
      <c r="K609" s="1276"/>
      <c r="L609" s="1279"/>
    </row>
    <row r="610" spans="1:12">
      <c r="A610" s="1275"/>
      <c r="B610" s="1276"/>
      <c r="C610" s="1276"/>
      <c r="D610" s="1276"/>
      <c r="E610" s="1280"/>
      <c r="F610" s="1276"/>
      <c r="G610" s="1276"/>
      <c r="H610" s="1276"/>
      <c r="I610" s="1276"/>
      <c r="J610" s="1276"/>
      <c r="K610" s="1276"/>
      <c r="L610" s="1279"/>
    </row>
    <row r="611" spans="1:12">
      <c r="A611" s="1275"/>
      <c r="B611" s="1276"/>
      <c r="C611" s="1276"/>
      <c r="D611" s="1276"/>
      <c r="E611" s="1280"/>
      <c r="F611" s="1276"/>
      <c r="G611" s="1276"/>
      <c r="H611" s="1276"/>
      <c r="I611" s="1276"/>
      <c r="J611" s="1276"/>
      <c r="K611" s="1276"/>
      <c r="L611" s="1279"/>
    </row>
    <row r="612" spans="1:12">
      <c r="A612" s="1275"/>
      <c r="B612" s="1276"/>
      <c r="C612" s="1276"/>
      <c r="D612" s="1280"/>
      <c r="E612" s="1276"/>
      <c r="F612" s="1276"/>
      <c r="G612" s="1276"/>
      <c r="H612" s="1276"/>
      <c r="I612" s="1276"/>
      <c r="J612" s="1276"/>
      <c r="K612" s="1276"/>
      <c r="L612" s="1279"/>
    </row>
    <row r="613" spans="1:12">
      <c r="A613" s="1281"/>
      <c r="B613" s="1282"/>
      <c r="C613" s="1282"/>
      <c r="D613" s="1282"/>
      <c r="E613" s="1282"/>
      <c r="F613" s="1282"/>
      <c r="G613" s="1282"/>
      <c r="H613" s="1282"/>
      <c r="I613" s="1282"/>
      <c r="J613" s="1282"/>
      <c r="K613" s="1282"/>
      <c r="L613" s="1283"/>
    </row>
    <row r="614" spans="1:12">
      <c r="A614" s="1275"/>
      <c r="B614" s="1276"/>
      <c r="C614" s="1276"/>
      <c r="D614" s="1276"/>
      <c r="E614" s="1276"/>
      <c r="F614" s="1276"/>
      <c r="G614" s="1276"/>
      <c r="H614" s="1276"/>
      <c r="I614" s="1276"/>
      <c r="J614" s="1276"/>
      <c r="K614" s="1276"/>
      <c r="L614" s="1279"/>
    </row>
    <row r="615" spans="1:12">
      <c r="A615" s="1281"/>
      <c r="B615" s="1282"/>
      <c r="C615" s="1282"/>
      <c r="D615" s="1282"/>
      <c r="E615" s="1282"/>
      <c r="F615" s="1282"/>
      <c r="G615" s="1282"/>
      <c r="H615" s="1282"/>
      <c r="I615" s="1282"/>
      <c r="J615" s="1282"/>
      <c r="K615" s="1282"/>
      <c r="L615" s="1283"/>
    </row>
    <row r="616" spans="1:12">
      <c r="A616" s="1275"/>
      <c r="B616" s="1276"/>
      <c r="C616" s="1276"/>
      <c r="D616" s="1280"/>
      <c r="E616" s="1276"/>
      <c r="F616" s="1276"/>
      <c r="G616" s="1276"/>
      <c r="H616" s="1276"/>
      <c r="I616" s="1276"/>
      <c r="J616" s="1276"/>
      <c r="K616" s="1276"/>
      <c r="L616" s="1279"/>
    </row>
    <row r="617" spans="1:12">
      <c r="A617" s="1281"/>
      <c r="B617" s="1282"/>
      <c r="C617" s="1282"/>
      <c r="D617" s="1282"/>
      <c r="E617" s="1282"/>
      <c r="F617" s="1282"/>
      <c r="G617" s="1282"/>
      <c r="H617" s="1282"/>
      <c r="I617" s="1282"/>
      <c r="J617" s="1282"/>
      <c r="K617" s="1282"/>
      <c r="L617" s="1283"/>
    </row>
    <row r="618" spans="1:12">
      <c r="A618" s="1281"/>
      <c r="B618" s="1282"/>
      <c r="C618" s="1282"/>
      <c r="D618" s="1282"/>
      <c r="E618" s="1282"/>
      <c r="F618" s="1282"/>
      <c r="G618" s="1282"/>
      <c r="H618" s="1282"/>
      <c r="I618" s="1282"/>
      <c r="J618" s="1282"/>
      <c r="K618" s="1282"/>
      <c r="L618" s="1283"/>
    </row>
    <row r="619" spans="1:12">
      <c r="A619" s="1281"/>
      <c r="B619" s="1282"/>
      <c r="C619" s="1282"/>
      <c r="D619" s="1282"/>
      <c r="E619" s="1282"/>
      <c r="F619" s="1282"/>
      <c r="G619" s="1282"/>
      <c r="H619" s="1282"/>
      <c r="I619" s="1282"/>
      <c r="J619" s="1282"/>
      <c r="K619" s="1282"/>
      <c r="L619" s="1283"/>
    </row>
    <row r="620" spans="1:12">
      <c r="A620" s="1281"/>
      <c r="B620" s="1282"/>
      <c r="C620" s="1282"/>
      <c r="D620" s="1282"/>
      <c r="E620" s="1282"/>
      <c r="F620" s="1282"/>
      <c r="G620" s="1282"/>
      <c r="H620" s="1282"/>
      <c r="I620" s="1282"/>
      <c r="J620" s="1282"/>
      <c r="K620" s="1282"/>
      <c r="L620" s="1283"/>
    </row>
    <row r="621" spans="1:12">
      <c r="A621" s="1281"/>
      <c r="B621" s="1282"/>
      <c r="C621" s="1282"/>
      <c r="D621" s="1282"/>
      <c r="E621" s="1282"/>
      <c r="F621" s="1282"/>
      <c r="G621" s="1282"/>
      <c r="H621" s="1282"/>
      <c r="I621" s="1282"/>
      <c r="J621" s="1282"/>
      <c r="K621" s="1282"/>
      <c r="L621" s="1283"/>
    </row>
    <row r="622" spans="1:12">
      <c r="A622" s="1281"/>
      <c r="B622" s="1282"/>
      <c r="C622" s="1282"/>
      <c r="D622" s="1282"/>
      <c r="E622" s="1282"/>
      <c r="F622" s="1282"/>
      <c r="G622" s="1282"/>
      <c r="H622" s="1282"/>
      <c r="I622" s="1282"/>
      <c r="J622" s="1282"/>
      <c r="K622" s="1282"/>
      <c r="L622" s="1283"/>
    </row>
    <row r="623" spans="1:12">
      <c r="A623" s="1281"/>
      <c r="B623" s="1282"/>
      <c r="C623" s="1282"/>
      <c r="D623" s="1282"/>
      <c r="E623" s="1282"/>
      <c r="F623" s="1282"/>
      <c r="G623" s="1282"/>
      <c r="H623" s="1282"/>
      <c r="I623" s="1282"/>
      <c r="J623" s="1282"/>
      <c r="K623" s="1282"/>
      <c r="L623" s="1283"/>
    </row>
    <row r="624" spans="1:12">
      <c r="A624" s="1281"/>
      <c r="B624" s="1282"/>
      <c r="C624" s="1282"/>
      <c r="D624" s="1282"/>
      <c r="E624" s="1282"/>
      <c r="F624" s="1282"/>
      <c r="G624" s="1282"/>
      <c r="H624" s="1282"/>
      <c r="I624" s="1282"/>
      <c r="J624" s="1282"/>
      <c r="K624" s="1282"/>
      <c r="L624" s="1283"/>
    </row>
    <row r="625" spans="1:12">
      <c r="A625" s="1281"/>
      <c r="B625" s="1282"/>
      <c r="C625" s="1282"/>
      <c r="D625" s="1282"/>
      <c r="E625" s="1282"/>
      <c r="F625" s="1282"/>
      <c r="G625" s="1282"/>
      <c r="H625" s="1282"/>
      <c r="I625" s="1282"/>
      <c r="J625" s="1282"/>
      <c r="K625" s="1282"/>
      <c r="L625" s="1283"/>
    </row>
    <row r="626" spans="1:12">
      <c r="A626" s="1281"/>
      <c r="B626" s="1282"/>
      <c r="C626" s="1282"/>
      <c r="D626" s="1282"/>
      <c r="E626" s="1282"/>
      <c r="F626" s="1282"/>
      <c r="G626" s="1282"/>
      <c r="H626" s="1282"/>
      <c r="I626" s="1282"/>
      <c r="J626" s="1282"/>
      <c r="K626" s="1282"/>
      <c r="L626" s="1283"/>
    </row>
    <row r="627" spans="1:12">
      <c r="A627" s="1281"/>
      <c r="B627" s="1282"/>
      <c r="C627" s="1282"/>
      <c r="D627" s="1282"/>
      <c r="E627" s="1282"/>
      <c r="F627" s="1282"/>
      <c r="G627" s="1282"/>
      <c r="H627" s="1282"/>
      <c r="I627" s="1282"/>
      <c r="J627" s="1282"/>
      <c r="K627" s="1282"/>
      <c r="L627" s="1283"/>
    </row>
    <row r="628" spans="1:12">
      <c r="A628" s="1281"/>
      <c r="B628" s="1282"/>
      <c r="C628" s="1282"/>
      <c r="D628" s="1282"/>
      <c r="E628" s="1282"/>
      <c r="F628" s="1282"/>
      <c r="G628" s="1282"/>
      <c r="H628" s="1282"/>
      <c r="I628" s="1282"/>
      <c r="J628" s="1282"/>
      <c r="K628" s="1282"/>
      <c r="L628" s="1283"/>
    </row>
    <row r="629" spans="1:12">
      <c r="A629" s="1281"/>
      <c r="B629" s="1282"/>
      <c r="C629" s="1282"/>
      <c r="D629" s="1282"/>
      <c r="E629" s="1282"/>
      <c r="F629" s="1282"/>
      <c r="G629" s="1282"/>
      <c r="H629" s="1282"/>
      <c r="I629" s="1282"/>
      <c r="J629" s="1282"/>
      <c r="K629" s="1282"/>
      <c r="L629" s="1283"/>
    </row>
    <row r="630" spans="1:12">
      <c r="A630" s="1281"/>
      <c r="B630" s="1282"/>
      <c r="C630" s="1282"/>
      <c r="D630" s="1282"/>
      <c r="E630" s="1282"/>
      <c r="F630" s="1282"/>
      <c r="G630" s="1282"/>
      <c r="H630" s="1282"/>
      <c r="I630" s="1282"/>
      <c r="J630" s="1282"/>
      <c r="K630" s="1282"/>
      <c r="L630" s="1283"/>
    </row>
    <row r="631" spans="1:12">
      <c r="A631" s="1281"/>
      <c r="B631" s="1282"/>
      <c r="C631" s="1282"/>
      <c r="D631" s="1282"/>
      <c r="E631" s="1282"/>
      <c r="F631" s="1282"/>
      <c r="G631" s="1282"/>
      <c r="H631" s="1282"/>
      <c r="I631" s="1282"/>
      <c r="J631" s="1282"/>
      <c r="K631" s="1282"/>
      <c r="L631" s="1283"/>
    </row>
    <row r="632" spans="1:12">
      <c r="A632" s="1281"/>
      <c r="B632" s="1282"/>
      <c r="C632" s="1282"/>
      <c r="D632" s="1282"/>
      <c r="E632" s="1282"/>
      <c r="F632" s="1282"/>
      <c r="G632" s="1282"/>
      <c r="H632" s="1282"/>
      <c r="I632" s="1282"/>
      <c r="J632" s="1282"/>
      <c r="K632" s="1282"/>
      <c r="L632" s="1283"/>
    </row>
    <row r="633" spans="1:12">
      <c r="A633" s="1281"/>
      <c r="B633" s="1282"/>
      <c r="C633" s="1282"/>
      <c r="D633" s="1282"/>
      <c r="E633" s="1282"/>
      <c r="F633" s="1282"/>
      <c r="G633" s="1282"/>
      <c r="H633" s="1282"/>
      <c r="I633" s="1282"/>
      <c r="J633" s="1282"/>
      <c r="K633" s="1282"/>
      <c r="L633" s="1283"/>
    </row>
    <row r="634" spans="1:12">
      <c r="A634" s="1281"/>
      <c r="B634" s="1282"/>
      <c r="C634" s="1282"/>
      <c r="D634" s="1282"/>
      <c r="E634" s="1282"/>
      <c r="F634" s="1282"/>
      <c r="G634" s="1282"/>
      <c r="H634" s="1282"/>
      <c r="I634" s="1282"/>
      <c r="J634" s="1282"/>
      <c r="K634" s="1282"/>
      <c r="L634" s="1283"/>
    </row>
    <row r="635" spans="1:12">
      <c r="A635" s="1281"/>
      <c r="B635" s="1282"/>
      <c r="C635" s="1282"/>
      <c r="D635" s="1282"/>
      <c r="E635" s="1282"/>
      <c r="F635" s="1282"/>
      <c r="G635" s="1282"/>
      <c r="H635" s="1282"/>
      <c r="I635" s="1282"/>
      <c r="J635" s="1282"/>
      <c r="K635" s="1282"/>
      <c r="L635" s="1283"/>
    </row>
    <row r="636" spans="1:12">
      <c r="A636" s="1281"/>
      <c r="B636" s="1282"/>
      <c r="C636" s="1282"/>
      <c r="D636" s="1282"/>
      <c r="E636" s="1282"/>
      <c r="F636" s="1282"/>
      <c r="G636" s="1282"/>
      <c r="H636" s="1282"/>
      <c r="I636" s="1282"/>
      <c r="J636" s="1282"/>
      <c r="K636" s="1282"/>
      <c r="L636" s="1283"/>
    </row>
    <row r="637" spans="1:12">
      <c r="A637" s="1281"/>
      <c r="B637" s="1282"/>
      <c r="C637" s="1282"/>
      <c r="D637" s="1282"/>
      <c r="E637" s="1282"/>
      <c r="F637" s="1282"/>
      <c r="G637" s="1282"/>
      <c r="H637" s="1282"/>
      <c r="I637" s="1282"/>
      <c r="J637" s="1282"/>
      <c r="K637" s="1282"/>
      <c r="L637" s="1283"/>
    </row>
    <row r="638" spans="1:12">
      <c r="A638" s="1281"/>
      <c r="B638" s="1282"/>
      <c r="C638" s="1282"/>
      <c r="D638" s="1282"/>
      <c r="E638" s="1282"/>
      <c r="F638" s="1282"/>
      <c r="G638" s="1282"/>
      <c r="H638" s="1282"/>
      <c r="I638" s="1282"/>
      <c r="J638" s="1282"/>
      <c r="K638" s="1282"/>
      <c r="L638" s="1283"/>
    </row>
    <row r="639" spans="1:12">
      <c r="A639" s="1281"/>
      <c r="B639" s="1282"/>
      <c r="C639" s="1282"/>
      <c r="D639" s="1282"/>
      <c r="E639" s="1282"/>
      <c r="F639" s="1282"/>
      <c r="G639" s="1282"/>
      <c r="H639" s="1282"/>
      <c r="I639" s="1282"/>
      <c r="J639" s="1282"/>
      <c r="K639" s="1282"/>
      <c r="L639" s="1283"/>
    </row>
    <row r="640" spans="1:12">
      <c r="A640" s="1281"/>
      <c r="B640" s="1282"/>
      <c r="C640" s="1282"/>
      <c r="D640" s="1282"/>
      <c r="E640" s="1282"/>
      <c r="F640" s="1282"/>
      <c r="G640" s="1282"/>
      <c r="H640" s="1282"/>
      <c r="I640" s="1282"/>
      <c r="J640" s="1282"/>
      <c r="K640" s="1282"/>
      <c r="L640" s="1283"/>
    </row>
    <row r="641" spans="1:12">
      <c r="A641" s="1281"/>
      <c r="B641" s="1282"/>
      <c r="C641" s="1282"/>
      <c r="D641" s="1282"/>
      <c r="E641" s="1282"/>
      <c r="F641" s="1282"/>
      <c r="G641" s="1282"/>
      <c r="H641" s="1282"/>
      <c r="I641" s="1282"/>
      <c r="J641" s="1282"/>
      <c r="K641" s="1282"/>
      <c r="L641" s="1283"/>
    </row>
    <row r="642" spans="1:12">
      <c r="A642" s="1281"/>
      <c r="B642" s="1282"/>
      <c r="C642" s="1282"/>
      <c r="D642" s="1282"/>
      <c r="E642" s="1282"/>
      <c r="F642" s="1282"/>
      <c r="G642" s="1282"/>
      <c r="H642" s="1282"/>
      <c r="I642" s="1282"/>
      <c r="J642" s="1282"/>
      <c r="K642" s="1282"/>
      <c r="L642" s="1283"/>
    </row>
    <row r="643" spans="1:12">
      <c r="A643" s="1281"/>
      <c r="B643" s="1282"/>
      <c r="C643" s="1282"/>
      <c r="D643" s="1282"/>
      <c r="E643" s="1282"/>
      <c r="F643" s="1282"/>
      <c r="G643" s="1282"/>
      <c r="H643" s="1282"/>
      <c r="I643" s="1282"/>
      <c r="J643" s="1282"/>
      <c r="K643" s="1282"/>
      <c r="L643" s="1283"/>
    </row>
    <row r="644" spans="1:12">
      <c r="A644" s="1281"/>
      <c r="B644" s="1282"/>
      <c r="C644" s="1282"/>
      <c r="D644" s="1282"/>
      <c r="E644" s="1282"/>
      <c r="F644" s="1282"/>
      <c r="G644" s="1282"/>
      <c r="H644" s="1282"/>
      <c r="I644" s="1282"/>
      <c r="J644" s="1282"/>
      <c r="K644" s="1282"/>
      <c r="L644" s="1283"/>
    </row>
    <row r="645" spans="1:12">
      <c r="A645" s="1281"/>
      <c r="B645" s="1282"/>
      <c r="C645" s="1282"/>
      <c r="D645" s="1282"/>
      <c r="E645" s="1282"/>
      <c r="F645" s="1282"/>
      <c r="G645" s="1282"/>
      <c r="H645" s="1282"/>
      <c r="I645" s="1282"/>
      <c r="J645" s="1282"/>
      <c r="K645" s="1282"/>
      <c r="L645" s="1283"/>
    </row>
    <row r="646" spans="1:12">
      <c r="A646" s="1281"/>
      <c r="B646" s="1282"/>
      <c r="C646" s="1282"/>
      <c r="D646" s="1282"/>
      <c r="E646" s="1282"/>
      <c r="F646" s="1282"/>
      <c r="G646" s="1282"/>
      <c r="H646" s="1282"/>
      <c r="I646" s="1282"/>
      <c r="J646" s="1282"/>
      <c r="K646" s="1282"/>
      <c r="L646" s="1283"/>
    </row>
    <row r="647" spans="1:12">
      <c r="A647" s="1281"/>
      <c r="B647" s="1282"/>
      <c r="C647" s="1282"/>
      <c r="D647" s="1282"/>
      <c r="E647" s="1282"/>
      <c r="F647" s="1282"/>
      <c r="G647" s="1282"/>
      <c r="H647" s="1282"/>
      <c r="I647" s="1282"/>
      <c r="J647" s="1282"/>
      <c r="K647" s="1282"/>
      <c r="L647" s="1283"/>
    </row>
    <row r="648" spans="1:12">
      <c r="A648" s="1281"/>
      <c r="B648" s="1282"/>
      <c r="C648" s="1282"/>
      <c r="D648" s="1282"/>
      <c r="E648" s="1282"/>
      <c r="F648" s="1282"/>
      <c r="G648" s="1282"/>
      <c r="H648" s="1282"/>
      <c r="I648" s="1282"/>
      <c r="J648" s="1282"/>
      <c r="K648" s="1282"/>
      <c r="L648" s="1283"/>
    </row>
    <row r="649" spans="1:12">
      <c r="A649" s="1281"/>
      <c r="B649" s="1282"/>
      <c r="C649" s="1282"/>
      <c r="D649" s="1282"/>
      <c r="E649" s="1282"/>
      <c r="F649" s="1282"/>
      <c r="G649" s="1282"/>
      <c r="H649" s="1282"/>
      <c r="I649" s="1282"/>
      <c r="J649" s="1282"/>
      <c r="K649" s="1282"/>
      <c r="L649" s="1283"/>
    </row>
    <row r="650" spans="1:12">
      <c r="A650" s="1281"/>
      <c r="B650" s="1282"/>
      <c r="C650" s="1282"/>
      <c r="D650" s="1282"/>
      <c r="E650" s="1282"/>
      <c r="F650" s="1282"/>
      <c r="G650" s="1282"/>
      <c r="H650" s="1282"/>
      <c r="I650" s="1282"/>
      <c r="J650" s="1282"/>
      <c r="K650" s="1282"/>
      <c r="L650" s="1283"/>
    </row>
    <row r="651" spans="1:12">
      <c r="A651" s="1281"/>
      <c r="B651" s="1282"/>
      <c r="C651" s="1282"/>
      <c r="D651" s="1282"/>
      <c r="E651" s="1282"/>
      <c r="F651" s="1282"/>
      <c r="G651" s="1282"/>
      <c r="H651" s="1282"/>
      <c r="I651" s="1282"/>
      <c r="J651" s="1282"/>
      <c r="K651" s="1282"/>
      <c r="L651" s="1283"/>
    </row>
    <row r="652" spans="1:12">
      <c r="A652" s="1259"/>
      <c r="B652" s="1259"/>
      <c r="C652" s="1259"/>
      <c r="D652" s="1259"/>
      <c r="E652" s="1259"/>
      <c r="F652" s="1259"/>
      <c r="G652" s="1259"/>
      <c r="H652" s="1259"/>
      <c r="I652" s="1259"/>
      <c r="J652" s="1259"/>
      <c r="K652" s="1259"/>
      <c r="L652" s="1259"/>
    </row>
    <row r="653" spans="1:12">
      <c r="A653" s="1260"/>
      <c r="B653" s="1261"/>
      <c r="C653" s="1261"/>
      <c r="D653" s="1261"/>
      <c r="E653" s="1261"/>
      <c r="F653" s="1261"/>
      <c r="G653" s="1261"/>
      <c r="H653" s="1261"/>
      <c r="I653" s="1261"/>
      <c r="J653" s="1261"/>
      <c r="K653" s="1261"/>
      <c r="L653" s="1262"/>
    </row>
    <row r="654" spans="1:12">
      <c r="A654" s="1260"/>
      <c r="B654" s="1261"/>
      <c r="C654" s="1261"/>
      <c r="D654" s="1261"/>
      <c r="E654" s="1261"/>
      <c r="F654" s="1261"/>
      <c r="G654" s="1261"/>
      <c r="H654" s="1261"/>
      <c r="I654" s="1261"/>
      <c r="J654" s="1261"/>
      <c r="K654" s="1261"/>
      <c r="L654" s="1262"/>
    </row>
    <row r="655" spans="1:12">
      <c r="A655" s="1260"/>
      <c r="B655" s="1261"/>
      <c r="C655" s="1261"/>
      <c r="D655" s="1261"/>
      <c r="E655" s="1261"/>
      <c r="F655" s="1261"/>
      <c r="G655" s="1261"/>
      <c r="H655" s="1261"/>
      <c r="I655" s="1261"/>
      <c r="J655" s="1261"/>
      <c r="K655" s="1261"/>
      <c r="L655" s="1262"/>
    </row>
    <row r="656" spans="1:12">
      <c r="A656" s="1260"/>
      <c r="B656" s="1261"/>
      <c r="C656" s="1261"/>
      <c r="D656" s="1261"/>
      <c r="E656" s="1261"/>
      <c r="F656" s="1261"/>
      <c r="G656" s="1261"/>
      <c r="H656" s="1261"/>
      <c r="I656" s="1261"/>
      <c r="J656" s="1261"/>
      <c r="K656" s="1261"/>
      <c r="L656" s="1262"/>
    </row>
    <row r="657" spans="1:12">
      <c r="A657" s="1260"/>
      <c r="B657" s="1261"/>
      <c r="C657" s="1261"/>
      <c r="D657" s="1261"/>
      <c r="E657" s="1261"/>
      <c r="F657" s="1261"/>
      <c r="G657" s="1261"/>
      <c r="H657" s="1261"/>
      <c r="I657" s="1261"/>
      <c r="J657" s="1261"/>
      <c r="K657" s="1261"/>
      <c r="L657" s="1262"/>
    </row>
    <row r="658" spans="1:12">
      <c r="A658" s="1260"/>
      <c r="B658" s="1261"/>
      <c r="C658" s="1261"/>
      <c r="D658" s="1261"/>
      <c r="E658" s="1261"/>
      <c r="F658" s="1261"/>
      <c r="G658" s="1261"/>
      <c r="H658" s="1261"/>
      <c r="I658" s="1261"/>
      <c r="J658" s="1261"/>
      <c r="K658" s="1261"/>
      <c r="L658" s="1262"/>
    </row>
    <row r="659" spans="1:12">
      <c r="A659" s="1260"/>
      <c r="B659" s="1261"/>
      <c r="C659" s="1261"/>
      <c r="D659" s="1261"/>
      <c r="E659" s="1261"/>
      <c r="F659" s="1261"/>
      <c r="G659" s="1261"/>
      <c r="H659" s="1261"/>
      <c r="I659" s="1261"/>
      <c r="J659" s="1261"/>
      <c r="K659" s="1261"/>
      <c r="L659" s="1262"/>
    </row>
    <row r="660" spans="1:12">
      <c r="A660" s="1260"/>
      <c r="B660" s="1261"/>
      <c r="C660" s="1261"/>
      <c r="D660" s="1261"/>
      <c r="E660" s="1261"/>
      <c r="F660" s="1261"/>
      <c r="G660" s="1261"/>
      <c r="H660" s="1261"/>
      <c r="I660" s="1261"/>
      <c r="J660" s="1261"/>
      <c r="K660" s="1261"/>
      <c r="L660" s="1262"/>
    </row>
    <row r="661" spans="1:12">
      <c r="A661" s="1260"/>
      <c r="B661" s="1261"/>
      <c r="C661" s="1261"/>
      <c r="D661" s="1261"/>
      <c r="E661" s="1261"/>
      <c r="F661" s="1261"/>
      <c r="G661" s="1261"/>
      <c r="H661" s="1261"/>
      <c r="I661" s="1261"/>
      <c r="J661" s="1261"/>
      <c r="K661" s="1261"/>
      <c r="L661" s="1262"/>
    </row>
    <row r="662" spans="1:12">
      <c r="A662" s="1260"/>
      <c r="B662" s="1261"/>
      <c r="C662" s="1261"/>
      <c r="D662" s="1261"/>
      <c r="E662" s="1261"/>
      <c r="F662" s="1261"/>
      <c r="G662" s="1261"/>
      <c r="H662" s="1261"/>
      <c r="I662" s="1261"/>
      <c r="J662" s="1261"/>
      <c r="K662" s="1261"/>
      <c r="L662" s="1262"/>
    </row>
    <row r="663" spans="1:12">
      <c r="A663" s="1260"/>
      <c r="B663" s="1261"/>
      <c r="C663" s="1261"/>
      <c r="D663" s="1261"/>
      <c r="E663" s="1261"/>
      <c r="F663" s="1261"/>
      <c r="G663" s="1261"/>
      <c r="H663" s="1261"/>
      <c r="I663" s="1261"/>
      <c r="J663" s="1261"/>
      <c r="K663" s="1261"/>
      <c r="L663" s="1262"/>
    </row>
    <row r="664" spans="1:12">
      <c r="A664" s="1260"/>
      <c r="B664" s="1261"/>
      <c r="C664" s="1261"/>
      <c r="D664" s="1261"/>
      <c r="E664" s="1261"/>
      <c r="F664" s="1261"/>
      <c r="G664" s="1261"/>
      <c r="H664" s="1261"/>
      <c r="I664" s="1261"/>
      <c r="J664" s="1261"/>
      <c r="K664" s="1261"/>
      <c r="L664" s="1262"/>
    </row>
    <row r="665" spans="1:12">
      <c r="A665" s="1260"/>
      <c r="B665" s="1261"/>
      <c r="C665" s="1261"/>
      <c r="D665" s="1261"/>
      <c r="E665" s="1261"/>
      <c r="F665" s="1261"/>
      <c r="G665" s="1261"/>
      <c r="H665" s="1261"/>
      <c r="I665" s="1261"/>
      <c r="J665" s="1261"/>
      <c r="K665" s="1261"/>
      <c r="L665" s="1262"/>
    </row>
    <row r="666" spans="1:12">
      <c r="A666" s="1263"/>
      <c r="B666" s="1264"/>
      <c r="C666" s="1264"/>
      <c r="D666" s="1264"/>
      <c r="E666" s="1264"/>
      <c r="F666" s="1264"/>
      <c r="G666" s="1264"/>
      <c r="H666" s="1264"/>
      <c r="I666" s="1264"/>
      <c r="J666" s="1264"/>
      <c r="K666" s="1264"/>
      <c r="L666" s="1265"/>
    </row>
    <row r="667" spans="1:12">
      <c r="A667" s="1263"/>
      <c r="B667" s="1264"/>
      <c r="C667" s="1266"/>
      <c r="D667" s="1266"/>
      <c r="E667" s="1266"/>
      <c r="F667" s="1264"/>
      <c r="G667" s="1264"/>
      <c r="H667" s="1264"/>
      <c r="I667" s="1264"/>
      <c r="J667" s="1264"/>
      <c r="K667" s="1267"/>
      <c r="L667" s="1268"/>
    </row>
    <row r="668" spans="1:12" ht="15.75">
      <c r="A668" s="1269"/>
      <c r="B668" s="1264"/>
      <c r="C668" s="1264"/>
      <c r="D668" s="1264"/>
      <c r="E668" s="1264"/>
      <c r="F668" s="1270"/>
      <c r="G668" s="1264"/>
      <c r="H668" s="1264"/>
      <c r="I668" s="1264"/>
      <c r="J668" s="1264"/>
      <c r="K668" s="1264"/>
      <c r="L668" s="1265"/>
    </row>
    <row r="669" spans="1:12">
      <c r="A669" s="1263"/>
      <c r="B669" s="1264"/>
      <c r="C669" s="1264"/>
      <c r="D669" s="1264"/>
      <c r="E669" s="1271"/>
      <c r="F669" s="1264"/>
      <c r="G669" s="1264"/>
      <c r="H669" s="1264"/>
      <c r="I669" s="1264"/>
      <c r="J669" s="1264"/>
      <c r="K669" s="1267"/>
      <c r="L669" s="1268"/>
    </row>
    <row r="670" spans="1:12">
      <c r="A670" s="1263"/>
      <c r="B670" s="1264"/>
      <c r="C670" s="1264"/>
      <c r="D670" s="1271"/>
      <c r="E670" s="1264"/>
      <c r="F670" s="1264"/>
      <c r="G670" s="1264"/>
      <c r="H670" s="1264"/>
      <c r="I670" s="1264"/>
      <c r="J670" s="1264"/>
      <c r="K670" s="1264"/>
      <c r="L670" s="1265"/>
    </row>
    <row r="671" spans="1:12">
      <c r="A671" s="1272"/>
      <c r="B671" s="1272"/>
      <c r="C671" s="1272"/>
      <c r="D671" s="1272"/>
      <c r="E671" s="1272"/>
      <c r="F671" s="1272"/>
      <c r="G671" s="1272"/>
      <c r="H671" s="1272"/>
      <c r="I671" s="1272"/>
      <c r="J671" s="1272"/>
      <c r="K671" s="1273"/>
      <c r="L671" s="1274"/>
    </row>
    <row r="672" spans="1:12">
      <c r="A672" s="1275"/>
      <c r="B672" s="1276"/>
      <c r="C672" s="1276"/>
      <c r="D672" s="1276"/>
      <c r="E672" s="1276"/>
      <c r="F672" s="1276"/>
      <c r="G672" s="1276"/>
      <c r="H672" s="1276"/>
      <c r="I672" s="1276"/>
      <c r="J672" s="1276"/>
      <c r="K672" s="1276"/>
      <c r="L672" s="1262"/>
    </row>
    <row r="673" spans="1:12">
      <c r="A673" s="1277"/>
      <c r="B673" s="1277"/>
      <c r="C673" s="1277"/>
      <c r="D673" s="1277"/>
      <c r="E673" s="1277"/>
      <c r="F673" s="1277"/>
      <c r="G673" s="1277"/>
      <c r="H673" s="1277"/>
      <c r="I673" s="1277"/>
      <c r="J673" s="1277"/>
      <c r="K673" s="1256"/>
      <c r="L673" s="1278"/>
    </row>
    <row r="674" spans="1:12">
      <c r="A674" s="1275"/>
      <c r="B674" s="1276"/>
      <c r="C674" s="1276"/>
      <c r="D674" s="1276"/>
      <c r="E674" s="1276"/>
      <c r="F674" s="1276"/>
      <c r="G674" s="1276"/>
      <c r="H674" s="1276"/>
      <c r="I674" s="1276"/>
      <c r="J674" s="1276"/>
      <c r="K674" s="1276"/>
      <c r="L674" s="1279"/>
    </row>
    <row r="675" spans="1:12">
      <c r="A675" s="1275"/>
      <c r="B675" s="1276"/>
      <c r="C675" s="1276"/>
      <c r="D675" s="1276"/>
      <c r="E675" s="1280"/>
      <c r="F675" s="1276"/>
      <c r="G675" s="1276"/>
      <c r="H675" s="1276"/>
      <c r="I675" s="1276"/>
      <c r="J675" s="1276"/>
      <c r="K675" s="1276"/>
      <c r="L675" s="1279"/>
    </row>
    <row r="676" spans="1:12">
      <c r="A676" s="1275"/>
      <c r="B676" s="1276"/>
      <c r="C676" s="1276"/>
      <c r="D676" s="1276"/>
      <c r="E676" s="1280"/>
      <c r="F676" s="1276"/>
      <c r="G676" s="1276"/>
      <c r="H676" s="1276"/>
      <c r="I676" s="1276"/>
      <c r="J676" s="1276"/>
      <c r="K676" s="1276"/>
      <c r="L676" s="1279"/>
    </row>
    <row r="677" spans="1:12">
      <c r="A677" s="1275"/>
      <c r="B677" s="1276"/>
      <c r="C677" s="1276"/>
      <c r="D677" s="1280"/>
      <c r="E677" s="1276"/>
      <c r="F677" s="1276"/>
      <c r="G677" s="1276"/>
      <c r="H677" s="1276"/>
      <c r="I677" s="1276"/>
      <c r="J677" s="1276"/>
      <c r="K677" s="1276"/>
      <c r="L677" s="1279"/>
    </row>
    <row r="678" spans="1:12">
      <c r="A678" s="1281"/>
      <c r="B678" s="1282"/>
      <c r="C678" s="1282"/>
      <c r="D678" s="1282"/>
      <c r="E678" s="1282"/>
      <c r="F678" s="1282"/>
      <c r="G678" s="1282"/>
      <c r="H678" s="1282"/>
      <c r="I678" s="1282"/>
      <c r="J678" s="1282"/>
      <c r="K678" s="1282"/>
      <c r="L678" s="1283"/>
    </row>
    <row r="679" spans="1:12">
      <c r="A679" s="1275"/>
      <c r="B679" s="1276"/>
      <c r="C679" s="1276"/>
      <c r="D679" s="1276"/>
      <c r="E679" s="1276"/>
      <c r="F679" s="1276"/>
      <c r="G679" s="1276"/>
      <c r="H679" s="1276"/>
      <c r="I679" s="1276"/>
      <c r="J679" s="1276"/>
      <c r="K679" s="1276"/>
      <c r="L679" s="1279"/>
    </row>
    <row r="680" spans="1:12">
      <c r="A680" s="1281"/>
      <c r="B680" s="1282"/>
      <c r="C680" s="1282"/>
      <c r="D680" s="1282"/>
      <c r="E680" s="1282"/>
      <c r="F680" s="1282"/>
      <c r="G680" s="1282"/>
      <c r="H680" s="1282"/>
      <c r="I680" s="1282"/>
      <c r="J680" s="1282"/>
      <c r="K680" s="1282"/>
      <c r="L680" s="1283"/>
    </row>
    <row r="681" spans="1:12">
      <c r="A681" s="1275"/>
      <c r="B681" s="1276"/>
      <c r="C681" s="1276"/>
      <c r="D681" s="1280"/>
      <c r="E681" s="1276"/>
      <c r="F681" s="1276"/>
      <c r="G681" s="1276"/>
      <c r="H681" s="1276"/>
      <c r="I681" s="1276"/>
      <c r="J681" s="1276"/>
      <c r="K681" s="1276"/>
      <c r="L681" s="1279"/>
    </row>
    <row r="682" spans="1:12">
      <c r="A682" s="1281"/>
      <c r="B682" s="1282"/>
      <c r="C682" s="1282"/>
      <c r="D682" s="1282"/>
      <c r="E682" s="1282"/>
      <c r="F682" s="1282"/>
      <c r="G682" s="1282"/>
      <c r="H682" s="1282"/>
      <c r="I682" s="1282"/>
      <c r="J682" s="1282"/>
      <c r="K682" s="1282"/>
      <c r="L682" s="1283"/>
    </row>
    <row r="683" spans="1:12">
      <c r="A683" s="1281"/>
      <c r="B683" s="1282"/>
      <c r="C683" s="1282"/>
      <c r="D683" s="1282"/>
      <c r="E683" s="1282"/>
      <c r="F683" s="1282"/>
      <c r="G683" s="1282"/>
      <c r="H683" s="1282"/>
      <c r="I683" s="1282"/>
      <c r="J683" s="1282"/>
      <c r="K683" s="1282"/>
      <c r="L683" s="1283"/>
    </row>
    <row r="684" spans="1:12">
      <c r="A684" s="1281"/>
      <c r="B684" s="1282"/>
      <c r="C684" s="1282"/>
      <c r="D684" s="1282"/>
      <c r="E684" s="1282"/>
      <c r="F684" s="1282"/>
      <c r="G684" s="1282"/>
      <c r="H684" s="1282"/>
      <c r="I684" s="1282"/>
      <c r="J684" s="1282"/>
      <c r="K684" s="1282"/>
      <c r="L684" s="1283"/>
    </row>
    <row r="685" spans="1:12">
      <c r="A685" s="1281"/>
      <c r="B685" s="1282"/>
      <c r="C685" s="1282"/>
      <c r="D685" s="1282"/>
      <c r="E685" s="1282"/>
      <c r="F685" s="1282"/>
      <c r="G685" s="1282"/>
      <c r="H685" s="1282"/>
      <c r="I685" s="1282"/>
      <c r="J685" s="1282"/>
      <c r="K685" s="1282"/>
      <c r="L685" s="1283"/>
    </row>
    <row r="686" spans="1:12">
      <c r="A686" s="1281"/>
      <c r="B686" s="1282"/>
      <c r="C686" s="1282"/>
      <c r="D686" s="1282"/>
      <c r="E686" s="1282"/>
      <c r="F686" s="1282"/>
      <c r="G686" s="1282"/>
      <c r="H686" s="1282"/>
      <c r="I686" s="1282"/>
      <c r="J686" s="1282"/>
      <c r="K686" s="1282"/>
      <c r="L686" s="1283"/>
    </row>
    <row r="687" spans="1:12">
      <c r="A687" s="1281"/>
      <c r="B687" s="1282"/>
      <c r="C687" s="1282"/>
      <c r="D687" s="1282"/>
      <c r="E687" s="1282"/>
      <c r="F687" s="1282"/>
      <c r="G687" s="1282"/>
      <c r="H687" s="1282"/>
      <c r="I687" s="1282"/>
      <c r="J687" s="1282"/>
      <c r="K687" s="1282"/>
      <c r="L687" s="1283"/>
    </row>
    <row r="688" spans="1:12">
      <c r="A688" s="1281"/>
      <c r="B688" s="1282"/>
      <c r="C688" s="1282"/>
      <c r="D688" s="1282"/>
      <c r="E688" s="1282"/>
      <c r="F688" s="1282"/>
      <c r="G688" s="1282"/>
      <c r="H688" s="1282"/>
      <c r="I688" s="1282"/>
      <c r="J688" s="1282"/>
      <c r="K688" s="1282"/>
      <c r="L688" s="1283"/>
    </row>
    <row r="689" spans="1:12">
      <c r="A689" s="1281"/>
      <c r="B689" s="1282"/>
      <c r="C689" s="1282"/>
      <c r="D689" s="1282"/>
      <c r="E689" s="1282"/>
      <c r="F689" s="1282"/>
      <c r="G689" s="1282"/>
      <c r="H689" s="1282"/>
      <c r="I689" s="1282"/>
      <c r="J689" s="1282"/>
      <c r="K689" s="1282"/>
      <c r="L689" s="1283"/>
    </row>
    <row r="690" spans="1:12">
      <c r="A690" s="1281"/>
      <c r="B690" s="1282"/>
      <c r="C690" s="1282"/>
      <c r="D690" s="1282"/>
      <c r="E690" s="1282"/>
      <c r="F690" s="1282"/>
      <c r="G690" s="1282"/>
      <c r="H690" s="1282"/>
      <c r="I690" s="1282"/>
      <c r="J690" s="1282"/>
      <c r="K690" s="1282"/>
      <c r="L690" s="1283"/>
    </row>
    <row r="691" spans="1:12">
      <c r="A691" s="1281"/>
      <c r="B691" s="1282"/>
      <c r="C691" s="1282"/>
      <c r="D691" s="1282"/>
      <c r="E691" s="1282"/>
      <c r="F691" s="1282"/>
      <c r="G691" s="1282"/>
      <c r="H691" s="1282"/>
      <c r="I691" s="1282"/>
      <c r="J691" s="1282"/>
      <c r="K691" s="1282"/>
      <c r="L691" s="1283"/>
    </row>
    <row r="692" spans="1:12">
      <c r="A692" s="1281"/>
      <c r="B692" s="1282"/>
      <c r="C692" s="1282"/>
      <c r="D692" s="1282"/>
      <c r="E692" s="1282"/>
      <c r="F692" s="1282"/>
      <c r="G692" s="1282"/>
      <c r="H692" s="1282"/>
      <c r="I692" s="1282"/>
      <c r="J692" s="1282"/>
      <c r="K692" s="1282"/>
      <c r="L692" s="1283"/>
    </row>
    <row r="693" spans="1:12">
      <c r="A693" s="1281"/>
      <c r="B693" s="1282"/>
      <c r="C693" s="1282"/>
      <c r="D693" s="1282"/>
      <c r="E693" s="1282"/>
      <c r="F693" s="1282"/>
      <c r="G693" s="1282"/>
      <c r="H693" s="1282"/>
      <c r="I693" s="1282"/>
      <c r="J693" s="1282"/>
      <c r="K693" s="1282"/>
      <c r="L693" s="1283"/>
    </row>
    <row r="694" spans="1:12">
      <c r="A694" s="1281"/>
      <c r="B694" s="1282"/>
      <c r="C694" s="1282"/>
      <c r="D694" s="1282"/>
      <c r="E694" s="1282"/>
      <c r="F694" s="1282"/>
      <c r="G694" s="1282"/>
      <c r="H694" s="1282"/>
      <c r="I694" s="1282"/>
      <c r="J694" s="1282"/>
      <c r="K694" s="1282"/>
      <c r="L694" s="1283"/>
    </row>
    <row r="695" spans="1:12">
      <c r="A695" s="1281"/>
      <c r="B695" s="1282"/>
      <c r="C695" s="1282"/>
      <c r="D695" s="1282"/>
      <c r="E695" s="1282"/>
      <c r="F695" s="1282"/>
      <c r="G695" s="1282"/>
      <c r="H695" s="1282"/>
      <c r="I695" s="1282"/>
      <c r="J695" s="1282"/>
      <c r="K695" s="1282"/>
      <c r="L695" s="1283"/>
    </row>
    <row r="696" spans="1:12">
      <c r="A696" s="1281"/>
      <c r="B696" s="1282"/>
      <c r="C696" s="1282"/>
      <c r="D696" s="1282"/>
      <c r="E696" s="1282"/>
      <c r="F696" s="1282"/>
      <c r="G696" s="1282"/>
      <c r="H696" s="1282"/>
      <c r="I696" s="1282"/>
      <c r="J696" s="1282"/>
      <c r="K696" s="1282"/>
      <c r="L696" s="1283"/>
    </row>
    <row r="697" spans="1:12">
      <c r="A697" s="1281"/>
      <c r="B697" s="1282"/>
      <c r="C697" s="1282"/>
      <c r="D697" s="1282"/>
      <c r="E697" s="1282"/>
      <c r="F697" s="1282"/>
      <c r="G697" s="1282"/>
      <c r="H697" s="1282"/>
      <c r="I697" s="1282"/>
      <c r="J697" s="1282"/>
      <c r="K697" s="1282"/>
      <c r="L697" s="1283"/>
    </row>
    <row r="698" spans="1:12">
      <c r="A698" s="1281"/>
      <c r="B698" s="1282"/>
      <c r="C698" s="1282"/>
      <c r="D698" s="1282"/>
      <c r="E698" s="1282"/>
      <c r="F698" s="1282"/>
      <c r="G698" s="1282"/>
      <c r="H698" s="1282"/>
      <c r="I698" s="1282"/>
      <c r="J698" s="1282"/>
      <c r="K698" s="1282"/>
      <c r="L698" s="1283"/>
    </row>
    <row r="699" spans="1:12">
      <c r="A699" s="1281"/>
      <c r="B699" s="1282"/>
      <c r="C699" s="1282"/>
      <c r="D699" s="1282"/>
      <c r="E699" s="1282"/>
      <c r="F699" s="1282"/>
      <c r="G699" s="1282"/>
      <c r="H699" s="1282"/>
      <c r="I699" s="1282"/>
      <c r="J699" s="1282"/>
      <c r="K699" s="1282"/>
      <c r="L699" s="1283"/>
    </row>
    <row r="700" spans="1:12">
      <c r="A700" s="1281"/>
      <c r="B700" s="1282"/>
      <c r="C700" s="1282"/>
      <c r="D700" s="1282"/>
      <c r="E700" s="1282"/>
      <c r="F700" s="1282"/>
      <c r="G700" s="1282"/>
      <c r="H700" s="1282"/>
      <c r="I700" s="1282"/>
      <c r="J700" s="1282"/>
      <c r="K700" s="1282"/>
      <c r="L700" s="1283"/>
    </row>
    <row r="701" spans="1:12">
      <c r="A701" s="1281"/>
      <c r="B701" s="1282"/>
      <c r="C701" s="1282"/>
      <c r="D701" s="1282"/>
      <c r="E701" s="1282"/>
      <c r="F701" s="1282"/>
      <c r="G701" s="1282"/>
      <c r="H701" s="1282"/>
      <c r="I701" s="1282"/>
      <c r="J701" s="1282"/>
      <c r="K701" s="1282"/>
      <c r="L701" s="1283"/>
    </row>
    <row r="702" spans="1:12">
      <c r="A702" s="1281"/>
      <c r="B702" s="1282"/>
      <c r="C702" s="1282"/>
      <c r="D702" s="1282"/>
      <c r="E702" s="1282"/>
      <c r="F702" s="1282"/>
      <c r="G702" s="1282"/>
      <c r="H702" s="1282"/>
      <c r="I702" s="1282"/>
      <c r="J702" s="1282"/>
      <c r="K702" s="1282"/>
      <c r="L702" s="1283"/>
    </row>
    <row r="703" spans="1:12">
      <c r="A703" s="1281"/>
      <c r="B703" s="1282"/>
      <c r="C703" s="1282"/>
      <c r="D703" s="1282"/>
      <c r="E703" s="1282"/>
      <c r="F703" s="1282"/>
      <c r="G703" s="1282"/>
      <c r="H703" s="1282"/>
      <c r="I703" s="1282"/>
      <c r="J703" s="1282"/>
      <c r="K703" s="1282"/>
      <c r="L703" s="1283"/>
    </row>
    <row r="704" spans="1:12">
      <c r="A704" s="1281"/>
      <c r="B704" s="1282"/>
      <c r="C704" s="1282"/>
      <c r="D704" s="1282"/>
      <c r="E704" s="1282"/>
      <c r="F704" s="1282"/>
      <c r="G704" s="1282"/>
      <c r="H704" s="1282"/>
      <c r="I704" s="1282"/>
      <c r="J704" s="1282"/>
      <c r="K704" s="1282"/>
      <c r="L704" s="1283"/>
    </row>
    <row r="705" spans="1:12">
      <c r="A705" s="1281"/>
      <c r="B705" s="1282"/>
      <c r="C705" s="1282"/>
      <c r="D705" s="1282"/>
      <c r="E705" s="1282"/>
      <c r="F705" s="1282"/>
      <c r="G705" s="1282"/>
      <c r="H705" s="1282"/>
      <c r="I705" s="1282"/>
      <c r="J705" s="1282"/>
      <c r="K705" s="1282"/>
      <c r="L705" s="1283"/>
    </row>
    <row r="706" spans="1:12">
      <c r="A706" s="1281"/>
      <c r="B706" s="1282"/>
      <c r="C706" s="1282"/>
      <c r="D706" s="1282"/>
      <c r="E706" s="1282"/>
      <c r="F706" s="1282"/>
      <c r="G706" s="1282"/>
      <c r="H706" s="1282"/>
      <c r="I706" s="1282"/>
      <c r="J706" s="1282"/>
      <c r="K706" s="1282"/>
      <c r="L706" s="1283"/>
    </row>
    <row r="707" spans="1:12">
      <c r="A707" s="1281"/>
      <c r="B707" s="1282"/>
      <c r="C707" s="1282"/>
      <c r="D707" s="1282"/>
      <c r="E707" s="1282"/>
      <c r="F707" s="1282"/>
      <c r="G707" s="1282"/>
      <c r="H707" s="1282"/>
      <c r="I707" s="1282"/>
      <c r="J707" s="1282"/>
      <c r="K707" s="1282"/>
      <c r="L707" s="1283"/>
    </row>
    <row r="708" spans="1:12">
      <c r="A708" s="1281"/>
      <c r="B708" s="1282"/>
      <c r="C708" s="1282"/>
      <c r="D708" s="1282"/>
      <c r="E708" s="1282"/>
      <c r="F708" s="1282"/>
      <c r="G708" s="1282"/>
      <c r="H708" s="1282"/>
      <c r="I708" s="1282"/>
      <c r="J708" s="1282"/>
      <c r="K708" s="1282"/>
      <c r="L708" s="1283"/>
    </row>
    <row r="709" spans="1:12">
      <c r="A709" s="1281"/>
      <c r="B709" s="1282"/>
      <c r="C709" s="1282"/>
      <c r="D709" s="1282"/>
      <c r="E709" s="1282"/>
      <c r="F709" s="1282"/>
      <c r="G709" s="1282"/>
      <c r="H709" s="1282"/>
      <c r="I709" s="1282"/>
      <c r="J709" s="1282"/>
      <c r="K709" s="1282"/>
      <c r="L709" s="1283"/>
    </row>
    <row r="710" spans="1:12">
      <c r="A710" s="1281"/>
      <c r="B710" s="1282"/>
      <c r="C710" s="1282"/>
      <c r="D710" s="1282"/>
      <c r="E710" s="1282"/>
      <c r="F710" s="1282"/>
      <c r="G710" s="1282"/>
      <c r="H710" s="1282"/>
      <c r="I710" s="1282"/>
      <c r="J710" s="1282"/>
      <c r="K710" s="1282"/>
      <c r="L710" s="1283"/>
    </row>
    <row r="711" spans="1:12">
      <c r="A711" s="1281"/>
      <c r="B711" s="1282"/>
      <c r="C711" s="1282"/>
      <c r="D711" s="1282"/>
      <c r="E711" s="1282"/>
      <c r="F711" s="1282"/>
      <c r="G711" s="1282"/>
      <c r="H711" s="1282"/>
      <c r="I711" s="1282"/>
      <c r="J711" s="1282"/>
      <c r="K711" s="1282"/>
      <c r="L711" s="1283"/>
    </row>
    <row r="712" spans="1:12">
      <c r="A712" s="1281"/>
      <c r="B712" s="1282"/>
      <c r="C712" s="1282"/>
      <c r="D712" s="1282"/>
      <c r="E712" s="1282"/>
      <c r="F712" s="1282"/>
      <c r="G712" s="1282"/>
      <c r="H712" s="1282"/>
      <c r="I712" s="1282"/>
      <c r="J712" s="1282"/>
      <c r="K712" s="1282"/>
      <c r="L712" s="1283"/>
    </row>
    <row r="713" spans="1:12">
      <c r="A713" s="1281"/>
      <c r="B713" s="1282"/>
      <c r="C713" s="1282"/>
      <c r="D713" s="1282"/>
      <c r="E713" s="1282"/>
      <c r="F713" s="1282"/>
      <c r="G713" s="1282"/>
      <c r="H713" s="1282"/>
      <c r="I713" s="1282"/>
      <c r="J713" s="1282"/>
      <c r="K713" s="1282"/>
      <c r="L713" s="1283"/>
    </row>
    <row r="714" spans="1:12">
      <c r="A714" s="1281"/>
      <c r="B714" s="1282"/>
      <c r="C714" s="1282"/>
      <c r="D714" s="1282"/>
      <c r="E714" s="1282"/>
      <c r="F714" s="1282"/>
      <c r="G714" s="1282"/>
      <c r="H714" s="1282"/>
      <c r="I714" s="1282"/>
      <c r="J714" s="1282"/>
      <c r="K714" s="1282"/>
      <c r="L714" s="1283"/>
    </row>
    <row r="715" spans="1:12">
      <c r="A715" s="1281"/>
      <c r="B715" s="1282"/>
      <c r="C715" s="1282"/>
      <c r="D715" s="1282"/>
      <c r="E715" s="1282"/>
      <c r="F715" s="1282"/>
      <c r="G715" s="1282"/>
      <c r="H715" s="1282"/>
      <c r="I715" s="1282"/>
      <c r="J715" s="1282"/>
      <c r="K715" s="1282"/>
      <c r="L715" s="1283"/>
    </row>
    <row r="716" spans="1:12">
      <c r="A716" s="1281"/>
      <c r="B716" s="1282"/>
      <c r="C716" s="1282"/>
      <c r="D716" s="1282"/>
      <c r="E716" s="1282"/>
      <c r="F716" s="1282"/>
      <c r="G716" s="1282"/>
      <c r="H716" s="1282"/>
      <c r="I716" s="1282"/>
      <c r="J716" s="1282"/>
      <c r="K716" s="1282"/>
      <c r="L716" s="1283"/>
    </row>
  </sheetData>
  <mergeCells count="460">
    <mergeCell ref="A713:L713"/>
    <mergeCell ref="A714:L714"/>
    <mergeCell ref="A715:L715"/>
    <mergeCell ref="A716:L716"/>
    <mergeCell ref="A707:L707"/>
    <mergeCell ref="A708:L708"/>
    <mergeCell ref="A709:L709"/>
    <mergeCell ref="A710:L710"/>
    <mergeCell ref="A711:L711"/>
    <mergeCell ref="A712:L712"/>
    <mergeCell ref="A701:L701"/>
    <mergeCell ref="A702:L702"/>
    <mergeCell ref="A703:L703"/>
    <mergeCell ref="A704:L704"/>
    <mergeCell ref="A705:L705"/>
    <mergeCell ref="A706:L706"/>
    <mergeCell ref="A695:L695"/>
    <mergeCell ref="A696:L696"/>
    <mergeCell ref="A697:L697"/>
    <mergeCell ref="A698:L698"/>
    <mergeCell ref="A699:L699"/>
    <mergeCell ref="A700:L700"/>
    <mergeCell ref="A689:L689"/>
    <mergeCell ref="A690:L690"/>
    <mergeCell ref="A691:L691"/>
    <mergeCell ref="A692:L692"/>
    <mergeCell ref="A693:L693"/>
    <mergeCell ref="A694:L694"/>
    <mergeCell ref="A683:L683"/>
    <mergeCell ref="A684:L684"/>
    <mergeCell ref="A685:L685"/>
    <mergeCell ref="A686:L686"/>
    <mergeCell ref="A687:L687"/>
    <mergeCell ref="A688:L688"/>
    <mergeCell ref="C667:E667"/>
    <mergeCell ref="A671:K671"/>
    <mergeCell ref="A673:K673"/>
    <mergeCell ref="A678:L678"/>
    <mergeCell ref="A680:L680"/>
    <mergeCell ref="A682:L682"/>
    <mergeCell ref="A646:L646"/>
    <mergeCell ref="A647:L647"/>
    <mergeCell ref="A648:L648"/>
    <mergeCell ref="A649:L649"/>
    <mergeCell ref="A650:L650"/>
    <mergeCell ref="A651:L651"/>
    <mergeCell ref="A640:L640"/>
    <mergeCell ref="A641:L641"/>
    <mergeCell ref="A642:L642"/>
    <mergeCell ref="A643:L643"/>
    <mergeCell ref="A644:L644"/>
    <mergeCell ref="A645:L645"/>
    <mergeCell ref="A634:L634"/>
    <mergeCell ref="A635:L635"/>
    <mergeCell ref="A636:L636"/>
    <mergeCell ref="A637:L637"/>
    <mergeCell ref="A638:L638"/>
    <mergeCell ref="A639:L639"/>
    <mergeCell ref="A628:L628"/>
    <mergeCell ref="A629:L629"/>
    <mergeCell ref="A630:L630"/>
    <mergeCell ref="A631:L631"/>
    <mergeCell ref="A632:L632"/>
    <mergeCell ref="A633:L633"/>
    <mergeCell ref="A622:L622"/>
    <mergeCell ref="A623:L623"/>
    <mergeCell ref="A624:L624"/>
    <mergeCell ref="A625:L625"/>
    <mergeCell ref="A626:L626"/>
    <mergeCell ref="A627:L627"/>
    <mergeCell ref="A615:L615"/>
    <mergeCell ref="A617:L617"/>
    <mergeCell ref="A618:L618"/>
    <mergeCell ref="A619:L619"/>
    <mergeCell ref="A620:L620"/>
    <mergeCell ref="A621:L621"/>
    <mergeCell ref="A585:L585"/>
    <mergeCell ref="A586:L586"/>
    <mergeCell ref="C602:E602"/>
    <mergeCell ref="A606:K606"/>
    <mergeCell ref="A608:K608"/>
    <mergeCell ref="A613:L613"/>
    <mergeCell ref="A579:L579"/>
    <mergeCell ref="A580:L580"/>
    <mergeCell ref="A581:L581"/>
    <mergeCell ref="A582:L582"/>
    <mergeCell ref="A583:L583"/>
    <mergeCell ref="A584:L584"/>
    <mergeCell ref="A573:L573"/>
    <mergeCell ref="A574:L574"/>
    <mergeCell ref="A575:L575"/>
    <mergeCell ref="A576:L576"/>
    <mergeCell ref="A577:L577"/>
    <mergeCell ref="A578:L578"/>
    <mergeCell ref="A567:L567"/>
    <mergeCell ref="A568:L568"/>
    <mergeCell ref="A569:L569"/>
    <mergeCell ref="A570:L570"/>
    <mergeCell ref="A571:L571"/>
    <mergeCell ref="A572:L572"/>
    <mergeCell ref="A561:L561"/>
    <mergeCell ref="A562:L562"/>
    <mergeCell ref="A563:L563"/>
    <mergeCell ref="A564:L564"/>
    <mergeCell ref="A565:L565"/>
    <mergeCell ref="A566:L566"/>
    <mergeCell ref="A555:L555"/>
    <mergeCell ref="A556:L556"/>
    <mergeCell ref="A557:L557"/>
    <mergeCell ref="A558:L558"/>
    <mergeCell ref="A559:L559"/>
    <mergeCell ref="A560:L560"/>
    <mergeCell ref="A543:K543"/>
    <mergeCell ref="A548:L548"/>
    <mergeCell ref="A550:L550"/>
    <mergeCell ref="A552:L552"/>
    <mergeCell ref="A553:L553"/>
    <mergeCell ref="A554:L554"/>
    <mergeCell ref="A518:L518"/>
    <mergeCell ref="A519:L519"/>
    <mergeCell ref="A520:L520"/>
    <mergeCell ref="A521:L521"/>
    <mergeCell ref="C537:E537"/>
    <mergeCell ref="A541:K541"/>
    <mergeCell ref="A512:L512"/>
    <mergeCell ref="A513:L513"/>
    <mergeCell ref="A514:L514"/>
    <mergeCell ref="A515:L515"/>
    <mergeCell ref="A516:L516"/>
    <mergeCell ref="A517:L517"/>
    <mergeCell ref="A506:L506"/>
    <mergeCell ref="A507:L507"/>
    <mergeCell ref="A508:L508"/>
    <mergeCell ref="A509:L509"/>
    <mergeCell ref="A510:L510"/>
    <mergeCell ref="A511:L511"/>
    <mergeCell ref="A500:L500"/>
    <mergeCell ref="A501:L501"/>
    <mergeCell ref="A502:L502"/>
    <mergeCell ref="A503:L503"/>
    <mergeCell ref="A504:L504"/>
    <mergeCell ref="A505:L505"/>
    <mergeCell ref="A494:L494"/>
    <mergeCell ref="A495:L495"/>
    <mergeCell ref="A496:L496"/>
    <mergeCell ref="A497:L497"/>
    <mergeCell ref="A498:L498"/>
    <mergeCell ref="A499:L499"/>
    <mergeCell ref="A488:L488"/>
    <mergeCell ref="A489:L489"/>
    <mergeCell ref="A490:L490"/>
    <mergeCell ref="A491:L491"/>
    <mergeCell ref="A492:L492"/>
    <mergeCell ref="A493:L493"/>
    <mergeCell ref="C472:E472"/>
    <mergeCell ref="A476:K476"/>
    <mergeCell ref="A478:K478"/>
    <mergeCell ref="A483:L483"/>
    <mergeCell ref="A485:L485"/>
    <mergeCell ref="A487:L487"/>
    <mergeCell ref="A451:L451"/>
    <mergeCell ref="A452:L452"/>
    <mergeCell ref="A453:L453"/>
    <mergeCell ref="A454:L454"/>
    <mergeCell ref="A455:L455"/>
    <mergeCell ref="A456:L456"/>
    <mergeCell ref="A445:L445"/>
    <mergeCell ref="A446:L446"/>
    <mergeCell ref="A447:L447"/>
    <mergeCell ref="A448:L448"/>
    <mergeCell ref="A449:L449"/>
    <mergeCell ref="A450:L450"/>
    <mergeCell ref="A439:L439"/>
    <mergeCell ref="A440:L440"/>
    <mergeCell ref="A441:L441"/>
    <mergeCell ref="A442:L442"/>
    <mergeCell ref="A443:L443"/>
    <mergeCell ref="A444:L444"/>
    <mergeCell ref="A433:L433"/>
    <mergeCell ref="A434:L434"/>
    <mergeCell ref="A435:L435"/>
    <mergeCell ref="A436:L436"/>
    <mergeCell ref="A437:L437"/>
    <mergeCell ref="A438:L438"/>
    <mergeCell ref="A427:L427"/>
    <mergeCell ref="A428:L428"/>
    <mergeCell ref="A429:L429"/>
    <mergeCell ref="A430:L430"/>
    <mergeCell ref="A431:L431"/>
    <mergeCell ref="A432:L432"/>
    <mergeCell ref="A420:L420"/>
    <mergeCell ref="A422:L422"/>
    <mergeCell ref="A423:L423"/>
    <mergeCell ref="A424:L424"/>
    <mergeCell ref="A425:L425"/>
    <mergeCell ref="A426:L426"/>
    <mergeCell ref="A390:L390"/>
    <mergeCell ref="A391:L391"/>
    <mergeCell ref="C407:E407"/>
    <mergeCell ref="A411:K411"/>
    <mergeCell ref="A413:K413"/>
    <mergeCell ref="A418:L418"/>
    <mergeCell ref="A384:L384"/>
    <mergeCell ref="A385:L385"/>
    <mergeCell ref="A386:L386"/>
    <mergeCell ref="A387:L387"/>
    <mergeCell ref="A388:L388"/>
    <mergeCell ref="A389:L389"/>
    <mergeCell ref="A378:L378"/>
    <mergeCell ref="A379:L379"/>
    <mergeCell ref="A380:L380"/>
    <mergeCell ref="A381:L381"/>
    <mergeCell ref="A382:L382"/>
    <mergeCell ref="A383:L383"/>
    <mergeCell ref="A372:L372"/>
    <mergeCell ref="A373:L373"/>
    <mergeCell ref="A374:L374"/>
    <mergeCell ref="A375:L375"/>
    <mergeCell ref="A376:L376"/>
    <mergeCell ref="A377:L377"/>
    <mergeCell ref="A366:L366"/>
    <mergeCell ref="A367:L367"/>
    <mergeCell ref="A368:L368"/>
    <mergeCell ref="A369:L369"/>
    <mergeCell ref="A370:L370"/>
    <mergeCell ref="A371:L371"/>
    <mergeCell ref="A360:L360"/>
    <mergeCell ref="A361:L361"/>
    <mergeCell ref="A362:L362"/>
    <mergeCell ref="A363:L363"/>
    <mergeCell ref="A364:L364"/>
    <mergeCell ref="A365:L365"/>
    <mergeCell ref="A348:K348"/>
    <mergeCell ref="A353:L353"/>
    <mergeCell ref="A355:L355"/>
    <mergeCell ref="A357:L357"/>
    <mergeCell ref="A358:L358"/>
    <mergeCell ref="A359:L359"/>
    <mergeCell ref="A323:L323"/>
    <mergeCell ref="A324:L324"/>
    <mergeCell ref="A325:L325"/>
    <mergeCell ref="A326:L326"/>
    <mergeCell ref="C342:E342"/>
    <mergeCell ref="A346:K346"/>
    <mergeCell ref="A317:L317"/>
    <mergeCell ref="A318:L318"/>
    <mergeCell ref="A319:L319"/>
    <mergeCell ref="A320:L320"/>
    <mergeCell ref="A321:L321"/>
    <mergeCell ref="A322:L322"/>
    <mergeCell ref="A311:L311"/>
    <mergeCell ref="A312:L312"/>
    <mergeCell ref="A313:L313"/>
    <mergeCell ref="A314:L314"/>
    <mergeCell ref="A315:L315"/>
    <mergeCell ref="A316:L316"/>
    <mergeCell ref="A305:L305"/>
    <mergeCell ref="A306:L306"/>
    <mergeCell ref="A307:L307"/>
    <mergeCell ref="A308:L308"/>
    <mergeCell ref="A309:L309"/>
    <mergeCell ref="A310:L310"/>
    <mergeCell ref="A299:L299"/>
    <mergeCell ref="A300:L300"/>
    <mergeCell ref="A301:L301"/>
    <mergeCell ref="A302:L302"/>
    <mergeCell ref="A303:L303"/>
    <mergeCell ref="A304:L304"/>
    <mergeCell ref="A293:L293"/>
    <mergeCell ref="A294:L294"/>
    <mergeCell ref="A295:L295"/>
    <mergeCell ref="A296:L296"/>
    <mergeCell ref="A297:L297"/>
    <mergeCell ref="A298:L298"/>
    <mergeCell ref="C277:E277"/>
    <mergeCell ref="A281:K281"/>
    <mergeCell ref="A283:K283"/>
    <mergeCell ref="A288:L288"/>
    <mergeCell ref="A290:L290"/>
    <mergeCell ref="A292:L292"/>
    <mergeCell ref="A256:L256"/>
    <mergeCell ref="A257:L257"/>
    <mergeCell ref="A258:L258"/>
    <mergeCell ref="A259:L259"/>
    <mergeCell ref="A260:L260"/>
    <mergeCell ref="A261:L261"/>
    <mergeCell ref="A250:L250"/>
    <mergeCell ref="A251:L251"/>
    <mergeCell ref="A252:L252"/>
    <mergeCell ref="A253:L253"/>
    <mergeCell ref="A254:L254"/>
    <mergeCell ref="A255:L255"/>
    <mergeCell ref="A244:L244"/>
    <mergeCell ref="A245:L245"/>
    <mergeCell ref="A246:L246"/>
    <mergeCell ref="A247:L247"/>
    <mergeCell ref="A248:L248"/>
    <mergeCell ref="A249:L249"/>
    <mergeCell ref="A238:L238"/>
    <mergeCell ref="A239:L239"/>
    <mergeCell ref="A240:L240"/>
    <mergeCell ref="A241:L241"/>
    <mergeCell ref="A242:L242"/>
    <mergeCell ref="A243:L243"/>
    <mergeCell ref="A232:L232"/>
    <mergeCell ref="A233:L233"/>
    <mergeCell ref="A234:L234"/>
    <mergeCell ref="A235:L235"/>
    <mergeCell ref="A236:L236"/>
    <mergeCell ref="A237:L237"/>
    <mergeCell ref="A225:L225"/>
    <mergeCell ref="A227:L227"/>
    <mergeCell ref="A228:L228"/>
    <mergeCell ref="A229:L229"/>
    <mergeCell ref="A230:L230"/>
    <mergeCell ref="A231:L231"/>
    <mergeCell ref="A195:L195"/>
    <mergeCell ref="A196:L196"/>
    <mergeCell ref="C212:E212"/>
    <mergeCell ref="A216:K216"/>
    <mergeCell ref="A218:K218"/>
    <mergeCell ref="A223:L223"/>
    <mergeCell ref="A189:L189"/>
    <mergeCell ref="A190:L190"/>
    <mergeCell ref="A191:L191"/>
    <mergeCell ref="A192:L192"/>
    <mergeCell ref="A193:L193"/>
    <mergeCell ref="A194:L194"/>
    <mergeCell ref="A183:L183"/>
    <mergeCell ref="A184:L184"/>
    <mergeCell ref="A185:L185"/>
    <mergeCell ref="A186:L186"/>
    <mergeCell ref="A187:L187"/>
    <mergeCell ref="A188:L188"/>
    <mergeCell ref="A177:L177"/>
    <mergeCell ref="A178:L178"/>
    <mergeCell ref="A179:L179"/>
    <mergeCell ref="A180:L180"/>
    <mergeCell ref="A181:L181"/>
    <mergeCell ref="A182:L182"/>
    <mergeCell ref="A171:L171"/>
    <mergeCell ref="A172:L172"/>
    <mergeCell ref="A173:L173"/>
    <mergeCell ref="A174:L174"/>
    <mergeCell ref="A175:L175"/>
    <mergeCell ref="A176:L176"/>
    <mergeCell ref="A165:L165"/>
    <mergeCell ref="A166:L166"/>
    <mergeCell ref="A167:L167"/>
    <mergeCell ref="A168:L168"/>
    <mergeCell ref="A169:L169"/>
    <mergeCell ref="A170:L170"/>
    <mergeCell ref="A153:K153"/>
    <mergeCell ref="A158:L158"/>
    <mergeCell ref="A160:L160"/>
    <mergeCell ref="A162:L162"/>
    <mergeCell ref="A163:L163"/>
    <mergeCell ref="A164:L164"/>
    <mergeCell ref="A127:L127"/>
    <mergeCell ref="A128:L128"/>
    <mergeCell ref="A129:L129"/>
    <mergeCell ref="A130:L130"/>
    <mergeCell ref="C147:E147"/>
    <mergeCell ref="A151:K151"/>
    <mergeCell ref="A121:L121"/>
    <mergeCell ref="A122:L122"/>
    <mergeCell ref="A123:L123"/>
    <mergeCell ref="A124:L124"/>
    <mergeCell ref="A125:L125"/>
    <mergeCell ref="A126:L126"/>
    <mergeCell ref="A115:L115"/>
    <mergeCell ref="A116:L116"/>
    <mergeCell ref="A117:L117"/>
    <mergeCell ref="A118:L118"/>
    <mergeCell ref="A119:L119"/>
    <mergeCell ref="A120:L120"/>
    <mergeCell ref="A109:L109"/>
    <mergeCell ref="A110:L110"/>
    <mergeCell ref="A111:L111"/>
    <mergeCell ref="A112:L112"/>
    <mergeCell ref="A113:L113"/>
    <mergeCell ref="A114:L114"/>
    <mergeCell ref="A103:L103"/>
    <mergeCell ref="A104:L104"/>
    <mergeCell ref="A105:L105"/>
    <mergeCell ref="A106:L106"/>
    <mergeCell ref="A107:L107"/>
    <mergeCell ref="A108:L108"/>
    <mergeCell ref="A97:L97"/>
    <mergeCell ref="A98:L98"/>
    <mergeCell ref="A99:L99"/>
    <mergeCell ref="A100:L100"/>
    <mergeCell ref="A101:L101"/>
    <mergeCell ref="A102:L102"/>
    <mergeCell ref="C81:E81"/>
    <mergeCell ref="A85:K85"/>
    <mergeCell ref="A87:K87"/>
    <mergeCell ref="A92:L92"/>
    <mergeCell ref="A94:L94"/>
    <mergeCell ref="A96:L96"/>
    <mergeCell ref="B60:E60"/>
    <mergeCell ref="H60:K60"/>
    <mergeCell ref="B61:E61"/>
    <mergeCell ref="H61:K61"/>
    <mergeCell ref="A62:L62"/>
    <mergeCell ref="A64:L64"/>
    <mergeCell ref="A55:L55"/>
    <mergeCell ref="A56:L56"/>
    <mergeCell ref="A57:L57"/>
    <mergeCell ref="A58:L58"/>
    <mergeCell ref="B59:E59"/>
    <mergeCell ref="H59:K59"/>
    <mergeCell ref="A47:L47"/>
    <mergeCell ref="A48:L48"/>
    <mergeCell ref="A49:L49"/>
    <mergeCell ref="A50:L50"/>
    <mergeCell ref="K53:L53"/>
    <mergeCell ref="A54:L54"/>
    <mergeCell ref="A41:L41"/>
    <mergeCell ref="A42:L42"/>
    <mergeCell ref="A43:L43"/>
    <mergeCell ref="A44:L44"/>
    <mergeCell ref="A45:L45"/>
    <mergeCell ref="A46:L46"/>
    <mergeCell ref="A35:L35"/>
    <mergeCell ref="A36:L36"/>
    <mergeCell ref="A37:L37"/>
    <mergeCell ref="A38:L38"/>
    <mergeCell ref="A39:L39"/>
    <mergeCell ref="A40:L40"/>
    <mergeCell ref="A29:L29"/>
    <mergeCell ref="A30:L30"/>
    <mergeCell ref="A31:L31"/>
    <mergeCell ref="A32:L32"/>
    <mergeCell ref="A33:L33"/>
    <mergeCell ref="A34:L34"/>
    <mergeCell ref="A22:L22"/>
    <mergeCell ref="A24:L24"/>
    <mergeCell ref="A25:L25"/>
    <mergeCell ref="A26:L26"/>
    <mergeCell ref="A27:L27"/>
    <mergeCell ref="A28:L28"/>
    <mergeCell ref="A16:L16"/>
    <mergeCell ref="A17:L17"/>
    <mergeCell ref="A18:L18"/>
    <mergeCell ref="A19:L19"/>
    <mergeCell ref="A20:L20"/>
    <mergeCell ref="A21:L21"/>
    <mergeCell ref="A10:L10"/>
    <mergeCell ref="A11:L11"/>
    <mergeCell ref="A12:L12"/>
    <mergeCell ref="A13:L13"/>
    <mergeCell ref="A14:L14"/>
    <mergeCell ref="A15:L15"/>
    <mergeCell ref="E3:L3"/>
    <mergeCell ref="E4:L4"/>
    <mergeCell ref="E5:L5"/>
    <mergeCell ref="A7:L7"/>
    <mergeCell ref="A8:L8"/>
    <mergeCell ref="A9:K9"/>
  </mergeCells>
  <printOptions horizontalCentered="1"/>
  <pageMargins left="0.39370078740157483" right="0.19685039370078741" top="0.39370078740157483" bottom="0.39370078740157483" header="0" footer="0"/>
  <pageSetup paperSize="9" scale="75" fitToHeight="9" orientation="portrait" r:id="rId1"/>
  <headerFooter>
    <oddFooter>&amp;CPágina &amp;P</oddFooter>
  </headerFooter>
  <rowBreaks count="10" manualBreakCount="10">
    <brk id="65" max="11" man="1"/>
    <brk id="131" max="11" man="1"/>
    <brk id="196" max="11" man="1"/>
    <brk id="261" max="11" man="1"/>
    <brk id="326" max="11" man="1"/>
    <brk id="391" max="11" man="1"/>
    <brk id="456" max="11" man="1"/>
    <brk id="521" max="11" man="1"/>
    <brk id="586" max="11" man="1"/>
    <brk id="651" max="11" man="1"/>
  </row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8">
    <tabColor rgb="FF00B0F0"/>
    <pageSetUpPr fitToPage="1"/>
  </sheetPr>
  <dimension ref="A1:I36"/>
  <sheetViews>
    <sheetView view="pageBreakPreview" zoomScaleNormal="100" zoomScaleSheetLayoutView="100" workbookViewId="0">
      <selection activeCell="G24" sqref="G24"/>
    </sheetView>
  </sheetViews>
  <sheetFormatPr defaultColWidth="10.7109375" defaultRowHeight="0" customHeight="1" zeroHeight="1"/>
  <cols>
    <col min="1" max="1" width="5.28515625" style="51" customWidth="1"/>
    <col min="2" max="2" width="11.140625" style="51" customWidth="1"/>
    <col min="3" max="3" width="12.5703125" style="51" customWidth="1"/>
    <col min="4" max="4" width="15.85546875" style="51" customWidth="1"/>
    <col min="5" max="5" width="12.5703125" style="51" customWidth="1"/>
    <col min="6" max="6" width="14.28515625" style="51" customWidth="1"/>
    <col min="7" max="7" width="12.5703125" style="51" customWidth="1"/>
    <col min="8" max="8" width="11.140625" style="51" customWidth="1"/>
    <col min="9" max="9" width="9.85546875" style="51" customWidth="1"/>
    <col min="10" max="16384" width="10.7109375" style="51"/>
  </cols>
  <sheetData>
    <row r="1" spans="1:9" customFormat="1" ht="30" customHeight="1">
      <c r="E1" s="697" t="s">
        <v>212</v>
      </c>
      <c r="F1" s="698"/>
      <c r="G1" s="698"/>
      <c r="H1" s="698"/>
      <c r="I1" s="699"/>
    </row>
    <row r="2" spans="1:9" customFormat="1" ht="30" customHeight="1">
      <c r="E2" s="703" t="s">
        <v>21</v>
      </c>
      <c r="F2" s="704"/>
      <c r="G2" s="704"/>
      <c r="H2" s="704"/>
      <c r="I2" s="705"/>
    </row>
    <row r="3" spans="1:9" customFormat="1" ht="30" customHeight="1" thickBot="1">
      <c r="E3" s="700" t="s">
        <v>55</v>
      </c>
      <c r="F3" s="701"/>
      <c r="G3" s="701"/>
      <c r="H3" s="701"/>
      <c r="I3" s="702"/>
    </row>
    <row r="4" spans="1:9" customFormat="1" ht="18.600000000000001" customHeight="1">
      <c r="E4" s="21"/>
      <c r="F4" s="21"/>
      <c r="G4" s="21"/>
      <c r="H4" s="21"/>
    </row>
    <row r="5" spans="1:9" customFormat="1" ht="20.25" customHeight="1">
      <c r="D5" s="707" t="s">
        <v>211</v>
      </c>
      <c r="E5" s="707"/>
      <c r="F5" s="707"/>
      <c r="G5" s="707"/>
    </row>
    <row r="6" spans="1:9" customFormat="1" ht="10.5" customHeight="1"/>
    <row r="7" spans="1:9" customFormat="1" ht="15" customHeight="1">
      <c r="A7" s="51"/>
      <c r="B7" s="696"/>
      <c r="C7" s="696"/>
      <c r="D7" s="696" t="s">
        <v>827</v>
      </c>
      <c r="E7" s="696"/>
      <c r="F7" s="120" t="s">
        <v>871</v>
      </c>
      <c r="G7" s="120"/>
      <c r="H7" s="70"/>
      <c r="I7" s="70"/>
    </row>
    <row r="8" spans="1:9" customFormat="1" ht="15" customHeight="1">
      <c r="B8" s="696"/>
      <c r="C8" s="696"/>
      <c r="D8" s="696" t="s">
        <v>493</v>
      </c>
      <c r="E8" s="696"/>
      <c r="F8" s="238"/>
      <c r="G8" s="238"/>
      <c r="H8" s="70"/>
      <c r="I8" s="70"/>
    </row>
    <row r="9" spans="1:9" customFormat="1" ht="7.5" customHeight="1">
      <c r="B9" s="15"/>
      <c r="C9" s="15"/>
      <c r="D9" s="70"/>
      <c r="E9" s="70"/>
      <c r="F9" s="70"/>
      <c r="G9" s="70"/>
      <c r="H9" s="70"/>
      <c r="I9" s="70"/>
    </row>
    <row r="10" spans="1:9" customFormat="1" ht="15" customHeight="1">
      <c r="A10" s="51"/>
      <c r="B10" s="706" t="s">
        <v>491</v>
      </c>
      <c r="C10" s="706"/>
      <c r="D10" s="706"/>
      <c r="E10" s="706"/>
      <c r="F10" s="706"/>
      <c r="G10" s="706"/>
      <c r="H10" s="70"/>
      <c r="I10" s="70"/>
    </row>
    <row r="11" spans="1:9" ht="15" customHeight="1">
      <c r="B11" s="70" t="s">
        <v>826</v>
      </c>
      <c r="C11" s="70"/>
      <c r="D11" s="70"/>
      <c r="E11" s="70"/>
      <c r="F11" s="70"/>
      <c r="G11" s="70"/>
      <c r="H11" s="70"/>
      <c r="I11" s="70"/>
    </row>
    <row r="12" spans="1:9" ht="15" customHeight="1">
      <c r="B12" s="709" t="s">
        <v>825</v>
      </c>
      <c r="C12" s="709"/>
      <c r="D12" s="709"/>
      <c r="E12" s="709"/>
      <c r="F12" s="709"/>
      <c r="G12" s="709"/>
      <c r="H12" s="709"/>
      <c r="I12" s="70"/>
    </row>
    <row r="13" spans="1:9" ht="15" customHeight="1" thickBot="1">
      <c r="B13" s="175"/>
    </row>
    <row r="14" spans="1:9" s="155" customFormat="1" ht="15" customHeight="1" thickBot="1">
      <c r="A14" s="156"/>
      <c r="B14" s="237" t="s">
        <v>824</v>
      </c>
    </row>
    <row r="15" spans="1:9" s="155" customFormat="1" ht="15" customHeight="1">
      <c r="A15" s="157"/>
      <c r="B15" s="158"/>
      <c r="D15" s="159"/>
      <c r="E15" s="159"/>
      <c r="F15" s="159"/>
      <c r="G15" s="159"/>
      <c r="H15" s="159"/>
      <c r="I15" s="157"/>
    </row>
    <row r="16" spans="1:9" s="155" customFormat="1" ht="15" customHeight="1">
      <c r="A16" s="157"/>
      <c r="B16" s="158"/>
      <c r="D16" s="159"/>
      <c r="E16" s="159"/>
      <c r="F16" s="159"/>
      <c r="G16" s="159"/>
      <c r="H16" s="159"/>
      <c r="I16" s="157"/>
    </row>
    <row r="17" spans="1:9" s="155" customFormat="1" ht="15" customHeight="1">
      <c r="B17" s="160"/>
    </row>
    <row r="18" spans="1:9" s="155" customFormat="1" ht="15" customHeight="1">
      <c r="A18" s="161"/>
      <c r="B18" s="158"/>
      <c r="D18" s="162"/>
      <c r="E18" s="162"/>
      <c r="F18" s="162"/>
      <c r="G18" s="162"/>
      <c r="H18" s="162"/>
      <c r="I18" s="161"/>
    </row>
    <row r="19" spans="1:9" s="155" customFormat="1" ht="15" customHeight="1">
      <c r="A19" s="163"/>
      <c r="B19" s="160"/>
      <c r="C19" s="164"/>
      <c r="D19" s="164"/>
      <c r="E19" s="164"/>
      <c r="F19" s="164"/>
      <c r="G19" s="164"/>
      <c r="H19" s="164"/>
      <c r="I19" s="161"/>
    </row>
    <row r="20" spans="1:9" s="155" customFormat="1" ht="15" customHeight="1">
      <c r="A20" s="163"/>
      <c r="B20" s="160"/>
      <c r="C20" s="164"/>
      <c r="D20" s="164"/>
      <c r="E20" s="164"/>
      <c r="F20" s="164"/>
      <c r="G20" s="164"/>
      <c r="H20" s="164"/>
      <c r="I20" s="161"/>
    </row>
    <row r="21" spans="1:9" s="155" customFormat="1" ht="15" customHeight="1">
      <c r="A21" s="165"/>
      <c r="B21" s="166"/>
      <c r="C21" s="166"/>
      <c r="D21" s="166"/>
      <c r="E21" s="166"/>
      <c r="F21" s="166"/>
      <c r="G21" s="166"/>
      <c r="H21" s="166"/>
      <c r="I21" s="166"/>
    </row>
    <row r="22" spans="1:9" s="155" customFormat="1" ht="15" customHeight="1">
      <c r="A22" s="167"/>
      <c r="B22" s="168"/>
      <c r="C22" s="168"/>
      <c r="D22" s="168"/>
      <c r="E22" s="168"/>
      <c r="F22" s="168"/>
      <c r="G22" s="168"/>
      <c r="H22" s="168"/>
      <c r="I22" s="168"/>
    </row>
    <row r="23" spans="1:9" s="155" customFormat="1" ht="15" customHeight="1">
      <c r="A23" s="169"/>
      <c r="B23" s="170"/>
      <c r="C23" s="170"/>
      <c r="D23" s="170"/>
      <c r="E23" s="170"/>
      <c r="F23" s="170"/>
      <c r="G23" s="170"/>
      <c r="H23" s="170"/>
      <c r="I23" s="170"/>
    </row>
    <row r="24" spans="1:9" s="155" customFormat="1" ht="15" customHeight="1">
      <c r="A24" s="168"/>
      <c r="B24" s="168"/>
      <c r="C24" s="168"/>
      <c r="D24" s="168"/>
      <c r="E24" s="168"/>
      <c r="F24" s="168"/>
      <c r="G24" s="168"/>
      <c r="H24" s="168"/>
      <c r="I24" s="168"/>
    </row>
    <row r="25" spans="1:9" s="155" customFormat="1" ht="15" customHeight="1">
      <c r="A25" s="167"/>
      <c r="B25" s="168"/>
      <c r="C25" s="168"/>
      <c r="D25" s="168"/>
      <c r="E25" s="168"/>
      <c r="F25" s="168"/>
      <c r="G25" s="168"/>
      <c r="H25" s="168"/>
      <c r="I25" s="168"/>
    </row>
    <row r="26" spans="1:9" s="155" customFormat="1" ht="15" customHeight="1">
      <c r="A26" s="168"/>
      <c r="B26" s="168"/>
      <c r="C26" s="168"/>
      <c r="D26" s="168"/>
      <c r="E26" s="168"/>
      <c r="F26" s="168"/>
      <c r="G26" s="168"/>
      <c r="H26" s="168"/>
      <c r="I26" s="168"/>
    </row>
    <row r="27" spans="1:9" s="155" customFormat="1" ht="15" customHeight="1">
      <c r="A27" s="168"/>
      <c r="B27" s="168"/>
      <c r="C27" s="168"/>
      <c r="D27" s="168"/>
      <c r="E27" s="168"/>
      <c r="F27" s="168"/>
      <c r="G27" s="168"/>
      <c r="H27" s="168"/>
      <c r="I27" s="168"/>
    </row>
    <row r="28" spans="1:9" s="155" customFormat="1" ht="15" customHeight="1">
      <c r="A28" s="168"/>
      <c r="B28" s="168"/>
      <c r="C28" s="168"/>
      <c r="D28" s="168"/>
      <c r="E28" s="168"/>
      <c r="F28" s="168"/>
      <c r="G28" s="168"/>
      <c r="H28" s="168"/>
      <c r="I28" s="168"/>
    </row>
    <row r="29" spans="1:9" s="155" customFormat="1" ht="15" customHeight="1">
      <c r="A29" s="171"/>
      <c r="B29" s="171"/>
      <c r="C29" s="171"/>
      <c r="D29" s="171"/>
      <c r="E29" s="171"/>
      <c r="F29" s="171"/>
      <c r="G29" s="171"/>
      <c r="H29" s="171"/>
      <c r="I29" s="171"/>
    </row>
    <row r="30" spans="1:9" s="155" customFormat="1" ht="15" customHeight="1">
      <c r="A30" s="163"/>
      <c r="B30" s="160"/>
      <c r="C30" s="164"/>
      <c r="D30" s="164"/>
      <c r="E30" s="164"/>
      <c r="F30" s="164"/>
      <c r="G30" s="164"/>
      <c r="H30" s="164"/>
      <c r="I30" s="161"/>
    </row>
    <row r="31" spans="1:9" s="155" customFormat="1" ht="15" customHeight="1">
      <c r="A31" s="164"/>
      <c r="B31" s="172"/>
      <c r="C31" s="164"/>
      <c r="D31" s="173"/>
    </row>
    <row r="32" spans="1:9" s="155" customFormat="1" ht="15" customHeight="1">
      <c r="A32" s="164"/>
      <c r="B32" s="164"/>
      <c r="C32" s="164"/>
      <c r="D32" s="173"/>
    </row>
    <row r="33" spans="1:9" ht="28.5" customHeight="1">
      <c r="A33" s="710" t="s">
        <v>834</v>
      </c>
      <c r="B33" s="710"/>
      <c r="C33" s="710"/>
      <c r="D33" s="710"/>
      <c r="E33" s="710"/>
      <c r="F33" s="710"/>
      <c r="G33" s="710"/>
      <c r="H33" s="710"/>
      <c r="I33" s="710"/>
    </row>
    <row r="34" spans="1:9" ht="61.5" customHeight="1" thickBot="1">
      <c r="A34" s="711" t="str">
        <f>_xlfn.CONCAT(DATOS!D5," ",DATOS!D6)</f>
        <v>- -</v>
      </c>
      <c r="B34" s="711"/>
      <c r="C34" s="711"/>
      <c r="D34" s="711"/>
      <c r="E34" s="99" t="s">
        <v>639</v>
      </c>
      <c r="F34" s="135" t="str">
        <f>DATOS!D7</f>
        <v>-</v>
      </c>
      <c r="G34" s="305"/>
      <c r="H34" s="305"/>
      <c r="I34" s="305"/>
    </row>
    <row r="35" spans="1:9" ht="61.5" customHeight="1" thickBot="1">
      <c r="A35" s="708"/>
      <c r="B35" s="708"/>
      <c r="C35" s="708"/>
      <c r="D35" s="708"/>
      <c r="E35" s="99" t="s">
        <v>639</v>
      </c>
      <c r="F35" s="135"/>
      <c r="G35" s="305"/>
      <c r="H35" s="305"/>
      <c r="I35" s="305"/>
    </row>
    <row r="36" spans="1:9" ht="61.5" customHeight="1" thickBot="1">
      <c r="A36" s="708"/>
      <c r="B36" s="708"/>
      <c r="C36" s="708"/>
      <c r="D36" s="708"/>
      <c r="E36" s="99" t="s">
        <v>639</v>
      </c>
      <c r="F36" s="135"/>
      <c r="G36" s="305"/>
      <c r="H36" s="305"/>
      <c r="I36" s="305"/>
    </row>
  </sheetData>
  <protectedRanges>
    <protectedRange sqref="B55:F55 H55:K55 B74:F74 H74:K74 B92:F92 H92:K92" name="I15"/>
    <protectedRange sqref="G9:J9 B10:C10 D9:E9" name="I15_1"/>
    <protectedRange sqref="J15:J16" name="I15_2"/>
    <protectedRange sqref="G18:I18 D18:E18 B17 A18" name="I15_3"/>
  </protectedRanges>
  <mergeCells count="14">
    <mergeCell ref="A36:D36"/>
    <mergeCell ref="B8:C8"/>
    <mergeCell ref="B12:H12"/>
    <mergeCell ref="A33:I33"/>
    <mergeCell ref="A35:D35"/>
    <mergeCell ref="A34:D34"/>
    <mergeCell ref="D7:E7"/>
    <mergeCell ref="E1:I1"/>
    <mergeCell ref="E3:I3"/>
    <mergeCell ref="E2:I2"/>
    <mergeCell ref="B10:G10"/>
    <mergeCell ref="D5:G5"/>
    <mergeCell ref="B7:C7"/>
    <mergeCell ref="D8:E8"/>
  </mergeCells>
  <phoneticPr fontId="34" type="noConversion"/>
  <pageMargins left="0.59055118110236227" right="0.39370078740157483" top="0.39370078740157483" bottom="0.39370078740157483" header="0.31496062992125984" footer="0.31496062992125984"/>
  <pageSetup paperSize="9" scale="88" fitToHeight="0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5E15E-9F28-4EAB-BC3E-4DEBF07A5EAD}">
  <sheetPr>
    <tabColor rgb="FF00B0F0"/>
  </sheetPr>
  <dimension ref="A2:J94"/>
  <sheetViews>
    <sheetView view="pageBreakPreview" zoomScaleNormal="100" zoomScaleSheetLayoutView="100" workbookViewId="0">
      <selection activeCell="A16" sqref="A16:G16"/>
    </sheetView>
  </sheetViews>
  <sheetFormatPr defaultColWidth="9.140625" defaultRowHeight="15"/>
  <sheetData>
    <row r="2" spans="1:10" ht="21">
      <c r="D2" s="1095" t="s">
        <v>986</v>
      </c>
      <c r="E2" s="1095"/>
      <c r="F2" s="1095"/>
      <c r="G2" s="1095"/>
      <c r="H2" s="1095"/>
      <c r="I2" s="1095"/>
      <c r="J2" s="1095"/>
    </row>
    <row r="3" spans="1:10" ht="21">
      <c r="D3" s="1095" t="s">
        <v>987</v>
      </c>
      <c r="E3" s="1095"/>
      <c r="F3" s="1095"/>
      <c r="G3" s="1095"/>
      <c r="H3" s="1095"/>
      <c r="I3" s="1095"/>
      <c r="J3" s="1095"/>
    </row>
    <row r="4" spans="1:10" ht="21">
      <c r="D4" s="1096" t="s">
        <v>988</v>
      </c>
      <c r="E4" s="1096"/>
      <c r="F4" s="1096"/>
      <c r="G4" s="1096"/>
      <c r="H4" s="1096"/>
      <c r="I4" s="1096"/>
      <c r="J4" s="1096"/>
    </row>
    <row r="6" spans="1:10">
      <c r="A6" s="450" t="s">
        <v>124</v>
      </c>
      <c r="B6" s="450"/>
      <c r="C6" s="450"/>
      <c r="D6" s="450"/>
      <c r="E6" s="450"/>
      <c r="F6" s="450"/>
      <c r="G6" s="565"/>
      <c r="H6" s="450" t="s">
        <v>125</v>
      </c>
      <c r="I6" s="450"/>
      <c r="J6" s="450"/>
    </row>
    <row r="7" spans="1:10" ht="50.1" customHeight="1">
      <c r="A7" s="1097"/>
      <c r="B7" s="1097"/>
      <c r="C7" s="1097"/>
      <c r="D7" s="1097"/>
      <c r="E7" s="1097"/>
      <c r="F7" s="1097"/>
      <c r="G7" s="1097"/>
      <c r="H7" s="1097"/>
      <c r="I7" s="1098"/>
      <c r="J7" s="1098"/>
    </row>
    <row r="8" spans="1:10" ht="50.1" customHeight="1">
      <c r="A8" s="1099"/>
      <c r="B8" s="1100"/>
      <c r="C8" s="1100"/>
      <c r="D8" s="1100"/>
      <c r="E8" s="1100"/>
      <c r="F8" s="1100"/>
      <c r="G8" s="1101"/>
      <c r="H8" s="1097"/>
      <c r="I8" s="1098"/>
      <c r="J8" s="1098"/>
    </row>
    <row r="9" spans="1:10" ht="50.1" customHeight="1">
      <c r="A9" s="1099"/>
      <c r="B9" s="1100"/>
      <c r="C9" s="1100"/>
      <c r="D9" s="1100"/>
      <c r="E9" s="1100"/>
      <c r="F9" s="1100"/>
      <c r="G9" s="1101"/>
      <c r="H9" s="1097"/>
      <c r="I9" s="1098"/>
      <c r="J9" s="1098"/>
    </row>
    <row r="10" spans="1:10" ht="50.1" customHeight="1">
      <c r="A10" s="1097"/>
      <c r="B10" s="1097"/>
      <c r="C10" s="1097"/>
      <c r="D10" s="1097"/>
      <c r="E10" s="1097"/>
      <c r="F10" s="1097"/>
      <c r="G10" s="1097"/>
      <c r="H10" s="1097"/>
      <c r="I10" s="1098"/>
      <c r="J10" s="1098"/>
    </row>
    <row r="11" spans="1:10" ht="50.1" customHeight="1">
      <c r="A11" s="1097"/>
      <c r="B11" s="1097"/>
      <c r="C11" s="1097"/>
      <c r="D11" s="1097"/>
      <c r="E11" s="1097"/>
      <c r="F11" s="1097"/>
      <c r="G11" s="1097"/>
      <c r="H11" s="1097"/>
      <c r="I11" s="1098"/>
      <c r="J11" s="1098"/>
    </row>
    <row r="12" spans="1:10" ht="50.1" customHeight="1">
      <c r="A12" s="1097"/>
      <c r="B12" s="1097"/>
      <c r="C12" s="1097"/>
      <c r="D12" s="1097"/>
      <c r="E12" s="1097"/>
      <c r="F12" s="1097"/>
      <c r="G12" s="1097"/>
      <c r="H12" s="1097"/>
      <c r="I12" s="1098"/>
      <c r="J12" s="1098"/>
    </row>
    <row r="13" spans="1:10" ht="50.1" customHeight="1">
      <c r="A13" s="1097"/>
      <c r="B13" s="1097"/>
      <c r="C13" s="1097"/>
      <c r="D13" s="1097"/>
      <c r="E13" s="1097"/>
      <c r="F13" s="1097"/>
      <c r="G13" s="1097"/>
      <c r="H13" s="1097"/>
      <c r="I13" s="1098"/>
      <c r="J13" s="1098"/>
    </row>
    <row r="14" spans="1:10" ht="50.1" customHeight="1">
      <c r="A14" s="1097"/>
      <c r="B14" s="1097"/>
      <c r="C14" s="1097"/>
      <c r="D14" s="1097"/>
      <c r="E14" s="1097"/>
      <c r="F14" s="1097"/>
      <c r="G14" s="1097"/>
      <c r="H14" s="1097"/>
      <c r="I14" s="1098"/>
      <c r="J14" s="1098"/>
    </row>
    <row r="15" spans="1:10" ht="50.1" customHeight="1">
      <c r="A15" s="1097"/>
      <c r="B15" s="1097"/>
      <c r="C15" s="1097"/>
      <c r="D15" s="1097"/>
      <c r="E15" s="1097"/>
      <c r="F15" s="1097"/>
      <c r="G15" s="1097"/>
      <c r="H15" s="1097"/>
      <c r="I15" s="1098"/>
      <c r="J15" s="1098"/>
    </row>
    <row r="16" spans="1:10" ht="50.1" customHeight="1">
      <c r="A16" s="1097"/>
      <c r="B16" s="1097"/>
      <c r="C16" s="1097"/>
      <c r="D16" s="1097"/>
      <c r="E16" s="1097"/>
      <c r="F16" s="1097"/>
      <c r="G16" s="1097"/>
      <c r="H16" s="1097"/>
      <c r="I16" s="1098"/>
      <c r="J16" s="1098"/>
    </row>
    <row r="17" spans="1:10" ht="50.1" customHeight="1">
      <c r="A17" s="1097"/>
      <c r="B17" s="1097"/>
      <c r="C17" s="1097"/>
      <c r="D17" s="1097"/>
      <c r="E17" s="1097"/>
      <c r="F17" s="1097"/>
      <c r="G17" s="1097"/>
      <c r="H17" s="1097"/>
      <c r="I17" s="1098"/>
      <c r="J17" s="1098"/>
    </row>
    <row r="18" spans="1:10" ht="50.1" customHeight="1">
      <c r="A18" s="1097"/>
      <c r="B18" s="1097"/>
      <c r="C18" s="1097"/>
      <c r="D18" s="1097"/>
      <c r="E18" s="1097"/>
      <c r="F18" s="1097"/>
      <c r="G18" s="1097"/>
      <c r="H18" s="1097"/>
      <c r="I18" s="1098"/>
      <c r="J18" s="1098"/>
    </row>
    <row r="19" spans="1:10" ht="11.25" customHeight="1"/>
    <row r="20" spans="1:10" ht="15" customHeight="1">
      <c r="A20" s="450" t="s">
        <v>124</v>
      </c>
      <c r="B20" s="450"/>
      <c r="C20" s="450"/>
      <c r="D20" s="450"/>
      <c r="E20" s="450"/>
      <c r="F20" s="450"/>
      <c r="G20" s="565"/>
      <c r="H20" s="450" t="s">
        <v>125</v>
      </c>
      <c r="I20" s="450"/>
      <c r="J20" s="450"/>
    </row>
    <row r="21" spans="1:10" ht="50.1" customHeight="1">
      <c r="A21" s="1097"/>
      <c r="B21" s="1097"/>
      <c r="C21" s="1097"/>
      <c r="D21" s="1097"/>
      <c r="E21" s="1097"/>
      <c r="F21" s="1097"/>
      <c r="G21" s="1097"/>
      <c r="H21" s="1097"/>
      <c r="I21" s="1097"/>
      <c r="J21" s="1097"/>
    </row>
    <row r="22" spans="1:10" ht="50.1" customHeight="1">
      <c r="A22" s="1097"/>
      <c r="B22" s="1097"/>
      <c r="C22" s="1097"/>
      <c r="D22" s="1097"/>
      <c r="E22" s="1097"/>
      <c r="F22" s="1097"/>
      <c r="G22" s="1097"/>
      <c r="H22" s="1097"/>
      <c r="I22" s="1097"/>
      <c r="J22" s="1097"/>
    </row>
    <row r="23" spans="1:10" ht="50.1" customHeight="1">
      <c r="A23" s="1097"/>
      <c r="B23" s="1097"/>
      <c r="C23" s="1097"/>
      <c r="D23" s="1097"/>
      <c r="E23" s="1097"/>
      <c r="F23" s="1097"/>
      <c r="G23" s="1097"/>
      <c r="H23" s="1097"/>
      <c r="I23" s="1097"/>
      <c r="J23" s="1097"/>
    </row>
    <row r="24" spans="1:10" ht="50.1" customHeight="1">
      <c r="A24" s="1097"/>
      <c r="B24" s="1097"/>
      <c r="C24" s="1097"/>
      <c r="D24" s="1097"/>
      <c r="E24" s="1097"/>
      <c r="F24" s="1097"/>
      <c r="G24" s="1097"/>
      <c r="H24" s="1097"/>
      <c r="I24" s="1097"/>
      <c r="J24" s="1097"/>
    </row>
    <row r="25" spans="1:10" ht="50.1" customHeight="1">
      <c r="A25" s="1097"/>
      <c r="B25" s="1097"/>
      <c r="C25" s="1097"/>
      <c r="D25" s="1097"/>
      <c r="E25" s="1097"/>
      <c r="F25" s="1097"/>
      <c r="G25" s="1097"/>
      <c r="H25" s="1097"/>
      <c r="I25" s="1097"/>
      <c r="J25" s="1097"/>
    </row>
    <row r="26" spans="1:10" ht="50.1" customHeight="1">
      <c r="A26" s="1097"/>
      <c r="B26" s="1097"/>
      <c r="C26" s="1097"/>
      <c r="D26" s="1097"/>
      <c r="E26" s="1097"/>
      <c r="F26" s="1097"/>
      <c r="G26" s="1097"/>
      <c r="H26" s="1097"/>
      <c r="I26" s="1097"/>
      <c r="J26" s="1097"/>
    </row>
    <row r="27" spans="1:10" ht="50.1" customHeight="1">
      <c r="A27" s="1097"/>
      <c r="B27" s="1097"/>
      <c r="C27" s="1097"/>
      <c r="D27" s="1097"/>
      <c r="E27" s="1097"/>
      <c r="F27" s="1097"/>
      <c r="G27" s="1097"/>
      <c r="H27" s="1097"/>
      <c r="I27" s="1097"/>
      <c r="J27" s="1097"/>
    </row>
    <row r="28" spans="1:10" ht="50.1" customHeight="1">
      <c r="A28" s="1097"/>
      <c r="B28" s="1097"/>
      <c r="C28" s="1097"/>
      <c r="D28" s="1097"/>
      <c r="E28" s="1097"/>
      <c r="F28" s="1097"/>
      <c r="G28" s="1097"/>
      <c r="H28" s="1097"/>
      <c r="I28" s="1097"/>
      <c r="J28" s="1097"/>
    </row>
    <row r="29" spans="1:10" ht="50.1" customHeight="1">
      <c r="A29" s="1097"/>
      <c r="B29" s="1097"/>
      <c r="C29" s="1097"/>
      <c r="D29" s="1097"/>
      <c r="E29" s="1097"/>
      <c r="F29" s="1097"/>
      <c r="G29" s="1097"/>
      <c r="H29" s="1097"/>
      <c r="I29" s="1097"/>
      <c r="J29" s="1097"/>
    </row>
    <row r="30" spans="1:10" ht="50.1" customHeight="1">
      <c r="A30" s="1099"/>
      <c r="B30" s="1100"/>
      <c r="C30" s="1100"/>
      <c r="D30" s="1100"/>
      <c r="E30" s="1100"/>
      <c r="F30" s="1100"/>
      <c r="G30" s="1101"/>
      <c r="H30" s="1099"/>
      <c r="I30" s="1100"/>
      <c r="J30" s="1101"/>
    </row>
    <row r="31" spans="1:10" ht="50.1" customHeight="1">
      <c r="A31" s="1099"/>
      <c r="B31" s="1100"/>
      <c r="C31" s="1100"/>
      <c r="D31" s="1100"/>
      <c r="E31" s="1100"/>
      <c r="F31" s="1100"/>
      <c r="G31" s="1101"/>
      <c r="H31" s="1099"/>
      <c r="I31" s="1100"/>
      <c r="J31" s="1101"/>
    </row>
    <row r="32" spans="1:10" ht="50.1" customHeight="1">
      <c r="A32" s="1097"/>
      <c r="B32" s="1097"/>
      <c r="C32" s="1097"/>
      <c r="D32" s="1097"/>
      <c r="E32" s="1097"/>
      <c r="F32" s="1097"/>
      <c r="G32" s="1097"/>
      <c r="H32" s="1097"/>
      <c r="I32" s="1097"/>
      <c r="J32" s="1097"/>
    </row>
    <row r="33" spans="1:10" ht="50.1" customHeight="1">
      <c r="A33" s="474"/>
      <c r="B33" s="474"/>
      <c r="C33" s="474"/>
      <c r="D33" s="474"/>
      <c r="E33" s="474"/>
      <c r="F33" s="474"/>
      <c r="G33" s="474"/>
      <c r="H33" s="474"/>
      <c r="I33" s="474"/>
      <c r="J33" s="474"/>
    </row>
    <row r="34" spans="1:10" ht="11.25" customHeight="1"/>
    <row r="35" spans="1:10" ht="15" customHeight="1">
      <c r="A35" s="450" t="s">
        <v>124</v>
      </c>
      <c r="B35" s="450"/>
      <c r="C35" s="450"/>
      <c r="D35" s="450"/>
      <c r="E35" s="450"/>
      <c r="F35" s="450"/>
      <c r="G35" s="565"/>
      <c r="H35" s="450" t="s">
        <v>125</v>
      </c>
      <c r="I35" s="450"/>
      <c r="J35" s="450"/>
    </row>
    <row r="36" spans="1:10" ht="50.1" customHeight="1">
      <c r="A36" s="1097"/>
      <c r="B36" s="1097"/>
      <c r="C36" s="1097"/>
      <c r="D36" s="1097"/>
      <c r="E36" s="1097"/>
      <c r="F36" s="1097"/>
      <c r="G36" s="1097"/>
      <c r="H36" s="1097"/>
      <c r="I36" s="1097"/>
      <c r="J36" s="1097"/>
    </row>
    <row r="37" spans="1:10" ht="50.1" customHeight="1">
      <c r="A37" s="1097"/>
      <c r="B37" s="1097"/>
      <c r="C37" s="1097"/>
      <c r="D37" s="1097"/>
      <c r="E37" s="1097"/>
      <c r="F37" s="1097"/>
      <c r="G37" s="1097"/>
      <c r="H37" s="1097"/>
      <c r="I37" s="1097"/>
      <c r="J37" s="1097"/>
    </row>
    <row r="38" spans="1:10" ht="50.1" customHeight="1">
      <c r="A38" s="1097"/>
      <c r="B38" s="1097"/>
      <c r="C38" s="1097"/>
      <c r="D38" s="1097"/>
      <c r="E38" s="1097"/>
      <c r="F38" s="1097"/>
      <c r="G38" s="1097"/>
      <c r="H38" s="1097"/>
      <c r="I38" s="1097"/>
      <c r="J38" s="1097"/>
    </row>
    <row r="39" spans="1:10" ht="50.1" customHeight="1">
      <c r="A39" s="1097"/>
      <c r="B39" s="1097"/>
      <c r="C39" s="1097"/>
      <c r="D39" s="1097"/>
      <c r="E39" s="1097"/>
      <c r="F39" s="1097"/>
      <c r="G39" s="1097"/>
      <c r="H39" s="1097"/>
      <c r="I39" s="1097"/>
      <c r="J39" s="1097"/>
    </row>
    <row r="40" spans="1:10" ht="50.1" customHeight="1">
      <c r="A40" s="1097"/>
      <c r="B40" s="1097"/>
      <c r="C40" s="1097"/>
      <c r="D40" s="1097"/>
      <c r="E40" s="1097"/>
      <c r="F40" s="1097"/>
      <c r="G40" s="1097"/>
      <c r="H40" s="1097"/>
      <c r="I40" s="1097"/>
      <c r="J40" s="1097"/>
    </row>
    <row r="41" spans="1:10" ht="50.1" customHeight="1">
      <c r="A41" s="1097"/>
      <c r="B41" s="1097"/>
      <c r="C41" s="1097"/>
      <c r="D41" s="1097"/>
      <c r="E41" s="1097"/>
      <c r="F41" s="1097"/>
      <c r="G41" s="1097"/>
      <c r="H41" s="1097"/>
      <c r="I41" s="1097"/>
      <c r="J41" s="1097"/>
    </row>
    <row r="42" spans="1:10" ht="50.1" customHeight="1">
      <c r="A42" s="1097"/>
      <c r="B42" s="1097"/>
      <c r="C42" s="1097"/>
      <c r="D42" s="1097"/>
      <c r="E42" s="1097"/>
      <c r="F42" s="1097"/>
      <c r="G42" s="1097"/>
      <c r="H42" s="1097"/>
      <c r="I42" s="1097"/>
      <c r="J42" s="1097"/>
    </row>
    <row r="43" spans="1:10" ht="50.1" customHeight="1">
      <c r="A43" s="1097"/>
      <c r="B43" s="1097"/>
      <c r="C43" s="1097"/>
      <c r="D43" s="1097"/>
      <c r="E43" s="1097"/>
      <c r="F43" s="1097"/>
      <c r="G43" s="1097"/>
      <c r="H43" s="1097"/>
      <c r="I43" s="1097"/>
      <c r="J43" s="1097"/>
    </row>
    <row r="44" spans="1:10" ht="50.1" customHeight="1">
      <c r="A44" s="1097"/>
      <c r="B44" s="1097"/>
      <c r="C44" s="1097"/>
      <c r="D44" s="1097"/>
      <c r="E44" s="1097"/>
      <c r="F44" s="1097"/>
      <c r="G44" s="1097"/>
      <c r="H44" s="1097"/>
      <c r="I44" s="1097"/>
      <c r="J44" s="1097"/>
    </row>
    <row r="45" spans="1:10" ht="50.1" customHeight="1">
      <c r="A45" s="1097"/>
      <c r="B45" s="1097"/>
      <c r="C45" s="1097"/>
      <c r="D45" s="1097"/>
      <c r="E45" s="1097"/>
      <c r="F45" s="1097"/>
      <c r="G45" s="1097"/>
      <c r="H45" s="1097"/>
      <c r="I45" s="1097"/>
      <c r="J45" s="1097"/>
    </row>
    <row r="46" spans="1:10" ht="50.1" customHeight="1">
      <c r="A46" s="1099"/>
      <c r="B46" s="1100"/>
      <c r="C46" s="1100"/>
      <c r="D46" s="1100"/>
      <c r="E46" s="1100"/>
      <c r="F46" s="1100"/>
      <c r="G46" s="1101"/>
      <c r="H46" s="1099"/>
      <c r="I46" s="1100"/>
      <c r="J46" s="1101"/>
    </row>
    <row r="47" spans="1:10" ht="50.1" customHeight="1">
      <c r="A47" s="1097"/>
      <c r="B47" s="1097"/>
      <c r="C47" s="1097"/>
      <c r="D47" s="1097"/>
      <c r="E47" s="1097"/>
      <c r="F47" s="1097"/>
      <c r="G47" s="1097"/>
      <c r="H47" s="1097"/>
      <c r="I47" s="1097"/>
      <c r="J47" s="1097"/>
    </row>
    <row r="48" spans="1:10" ht="50.1" customHeight="1">
      <c r="A48" s="474"/>
      <c r="B48" s="474"/>
      <c r="C48" s="474"/>
      <c r="D48" s="474"/>
      <c r="E48" s="474"/>
      <c r="F48" s="474"/>
      <c r="G48" s="474"/>
      <c r="H48" s="474"/>
      <c r="I48" s="474"/>
      <c r="J48" s="474"/>
    </row>
    <row r="49" ht="50.1" customHeight="1"/>
    <row r="50" ht="50.1" customHeight="1"/>
    <row r="51" ht="50.1" customHeight="1"/>
    <row r="52" ht="50.1" customHeight="1"/>
    <row r="53" ht="50.1" customHeight="1"/>
    <row r="54" ht="50.1" customHeight="1"/>
    <row r="55" ht="50.1" customHeight="1"/>
    <row r="56" ht="50.1" customHeight="1"/>
    <row r="57" ht="50.1" customHeight="1"/>
    <row r="58" ht="50.1" customHeight="1"/>
    <row r="59" ht="50.1" customHeight="1"/>
    <row r="60" ht="50.1" customHeight="1"/>
    <row r="61" ht="50.1" customHeight="1"/>
    <row r="62" ht="50.1" customHeight="1"/>
    <row r="63" ht="50.1" customHeight="1"/>
    <row r="64" ht="50.1" customHeight="1"/>
    <row r="65" ht="50.1" customHeight="1"/>
    <row r="66" ht="50.1" customHeight="1"/>
    <row r="67" ht="50.1" customHeight="1"/>
    <row r="68" ht="50.1" customHeight="1"/>
    <row r="69" ht="50.1" customHeight="1"/>
    <row r="70" ht="50.1" customHeight="1"/>
    <row r="71" ht="50.1" customHeight="1"/>
    <row r="72" ht="50.1" customHeight="1"/>
    <row r="73" ht="50.1" customHeight="1"/>
    <row r="74" ht="50.1" customHeight="1"/>
    <row r="75" ht="50.1" customHeight="1"/>
    <row r="76" ht="50.1" customHeight="1"/>
    <row r="77" ht="50.1" customHeight="1"/>
    <row r="78" ht="50.1" customHeight="1"/>
    <row r="79" ht="50.1" customHeight="1"/>
    <row r="80" ht="50.1" customHeight="1"/>
    <row r="81" ht="50.1" customHeight="1"/>
    <row r="82" ht="50.1" customHeight="1"/>
    <row r="83" ht="50.1" customHeight="1"/>
    <row r="84" ht="50.1" customHeight="1"/>
    <row r="85" ht="50.1" customHeight="1"/>
    <row r="86" ht="50.1" customHeight="1"/>
    <row r="87" ht="50.1" customHeight="1"/>
    <row r="88" ht="50.1" customHeight="1"/>
    <row r="89" ht="50.1" customHeight="1"/>
    <row r="90" ht="50.1" customHeight="1"/>
    <row r="91" ht="50.1" customHeight="1"/>
    <row r="92" ht="50.1" customHeight="1"/>
    <row r="93" ht="50.1" customHeight="1"/>
    <row r="94" ht="50.1" customHeight="1"/>
  </sheetData>
  <mergeCells count="85">
    <mergeCell ref="A46:G46"/>
    <mergeCell ref="H46:J46"/>
    <mergeCell ref="A47:G47"/>
    <mergeCell ref="H47:J47"/>
    <mergeCell ref="A48:G48"/>
    <mergeCell ref="H48:J48"/>
    <mergeCell ref="A43:G43"/>
    <mergeCell ref="H43:J43"/>
    <mergeCell ref="A44:G44"/>
    <mergeCell ref="H44:J44"/>
    <mergeCell ref="A45:G45"/>
    <mergeCell ref="H45:J45"/>
    <mergeCell ref="A40:G40"/>
    <mergeCell ref="H40:J40"/>
    <mergeCell ref="A41:G41"/>
    <mergeCell ref="H41:J41"/>
    <mergeCell ref="A42:G42"/>
    <mergeCell ref="H42:J42"/>
    <mergeCell ref="A37:G37"/>
    <mergeCell ref="H37:J37"/>
    <mergeCell ref="A38:G38"/>
    <mergeCell ref="H38:J38"/>
    <mergeCell ref="A39:G39"/>
    <mergeCell ref="H39:J39"/>
    <mergeCell ref="A33:G33"/>
    <mergeCell ref="H33:J33"/>
    <mergeCell ref="A35:G35"/>
    <mergeCell ref="H35:J35"/>
    <mergeCell ref="A36:G36"/>
    <mergeCell ref="H36:J36"/>
    <mergeCell ref="A30:G30"/>
    <mergeCell ref="H30:J30"/>
    <mergeCell ref="A31:G31"/>
    <mergeCell ref="H31:J31"/>
    <mergeCell ref="A32:G32"/>
    <mergeCell ref="H32:J32"/>
    <mergeCell ref="A27:G27"/>
    <mergeCell ref="H27:J27"/>
    <mergeCell ref="A28:G28"/>
    <mergeCell ref="H28:J28"/>
    <mergeCell ref="A29:G29"/>
    <mergeCell ref="H29:J29"/>
    <mergeCell ref="A24:G24"/>
    <mergeCell ref="H24:J24"/>
    <mergeCell ref="A25:G25"/>
    <mergeCell ref="H25:J25"/>
    <mergeCell ref="A26:G26"/>
    <mergeCell ref="H26:J26"/>
    <mergeCell ref="A21:G21"/>
    <mergeCell ref="H21:J21"/>
    <mergeCell ref="A22:G22"/>
    <mergeCell ref="H22:J22"/>
    <mergeCell ref="A23:G23"/>
    <mergeCell ref="H23:J23"/>
    <mergeCell ref="A17:G17"/>
    <mergeCell ref="H17:J17"/>
    <mergeCell ref="A18:G18"/>
    <mergeCell ref="H18:J18"/>
    <mergeCell ref="A20:G20"/>
    <mergeCell ref="H20:J20"/>
    <mergeCell ref="A14:G14"/>
    <mergeCell ref="H14:J14"/>
    <mergeCell ref="A15:G15"/>
    <mergeCell ref="H15:J15"/>
    <mergeCell ref="A16:G16"/>
    <mergeCell ref="H16:J16"/>
    <mergeCell ref="A11:G11"/>
    <mergeCell ref="H11:J11"/>
    <mergeCell ref="A12:G12"/>
    <mergeCell ref="H12:J12"/>
    <mergeCell ref="A13:G13"/>
    <mergeCell ref="H13:J13"/>
    <mergeCell ref="A8:G8"/>
    <mergeCell ref="H8:J8"/>
    <mergeCell ref="A9:G9"/>
    <mergeCell ref="H9:J9"/>
    <mergeCell ref="A10:G10"/>
    <mergeCell ref="H10:J10"/>
    <mergeCell ref="D2:J2"/>
    <mergeCell ref="D3:J3"/>
    <mergeCell ref="D4:J4"/>
    <mergeCell ref="A6:G6"/>
    <mergeCell ref="H6:J6"/>
    <mergeCell ref="A7:G7"/>
    <mergeCell ref="H7:J7"/>
  </mergeCells>
  <pageMargins left="0.70866141732283472" right="0.39370078740157483" top="0.39370078740157483" bottom="0.74803149606299213" header="0" footer="0.31496062992125984"/>
  <pageSetup orientation="portrait" horizontalDpi="360" verticalDpi="360" r:id="rId1"/>
  <rowBreaks count="2" manualBreakCount="2">
    <brk id="18" max="9" man="1"/>
    <brk id="33" max="9" man="1"/>
  </rowBreak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4">
    <tabColor theme="1"/>
    <pageSetUpPr fitToPage="1"/>
  </sheetPr>
  <dimension ref="A1:J315"/>
  <sheetViews>
    <sheetView view="pageBreakPreview" topLeftCell="A6" zoomScaleNormal="130" zoomScaleSheetLayoutView="100" workbookViewId="0">
      <selection activeCell="F19" sqref="F19:H19"/>
    </sheetView>
  </sheetViews>
  <sheetFormatPr defaultColWidth="10.7109375" defaultRowHeight="0" customHeight="1" zeroHeight="1"/>
  <cols>
    <col min="1" max="1" width="4.85546875" style="51" customWidth="1"/>
    <col min="2" max="2" width="11.7109375" style="51" customWidth="1"/>
    <col min="3" max="3" width="13" style="51" customWidth="1"/>
    <col min="4" max="4" width="18.140625" style="51" customWidth="1"/>
    <col min="5" max="5" width="15.42578125" style="51" customWidth="1"/>
    <col min="6" max="6" width="15.28515625" style="51" customWidth="1"/>
    <col min="7" max="7" width="12.5703125" style="51" customWidth="1"/>
    <col min="8" max="8" width="11.140625" style="51" customWidth="1"/>
    <col min="9" max="9" width="14.5703125" style="51" customWidth="1"/>
    <col min="10" max="10" width="3" style="51" customWidth="1"/>
    <col min="11" max="11" width="4.140625" style="51" customWidth="1"/>
    <col min="12" max="12" width="3.5703125" style="51" customWidth="1"/>
    <col min="13" max="13" width="2.85546875" style="51" customWidth="1"/>
    <col min="14" max="14" width="6.5703125" style="51" customWidth="1"/>
    <col min="15" max="16384" width="10.7109375" style="51"/>
  </cols>
  <sheetData>
    <row r="1" spans="2:9" ht="21.75" customHeight="1">
      <c r="C1" s="772" t="s">
        <v>220</v>
      </c>
      <c r="D1" s="773"/>
      <c r="E1" s="773"/>
      <c r="F1" s="773"/>
      <c r="G1" s="773"/>
      <c r="H1" s="773"/>
      <c r="I1" s="196" t="str">
        <f>_xlfn.CONCAT(DATOS!D1," ",DATOS!D2)</f>
        <v xml:space="preserve"> KTN</v>
      </c>
    </row>
    <row r="2" spans="2:9" ht="9.75" customHeight="1">
      <c r="B2" s="774" t="s">
        <v>221</v>
      </c>
      <c r="C2" s="774"/>
      <c r="D2" s="774"/>
      <c r="E2" s="774"/>
      <c r="F2" s="774"/>
      <c r="G2" s="774"/>
      <c r="H2" s="774"/>
      <c r="I2" s="774"/>
    </row>
    <row r="3" spans="2:9" ht="18" customHeight="1">
      <c r="B3" s="774"/>
      <c r="C3" s="774"/>
      <c r="D3" s="774"/>
      <c r="E3" s="774"/>
      <c r="F3" s="774"/>
      <c r="G3" s="774"/>
      <c r="H3" s="774"/>
      <c r="I3" s="774"/>
    </row>
    <row r="4" spans="2:9" ht="17.25" customHeight="1">
      <c r="D4" s="775" t="s">
        <v>222</v>
      </c>
      <c r="E4" s="775"/>
      <c r="F4" s="775"/>
      <c r="G4" s="775"/>
    </row>
    <row r="5" spans="2:9" ht="9" customHeight="1">
      <c r="D5" s="188"/>
      <c r="E5" s="188"/>
      <c r="F5" s="188"/>
      <c r="G5" s="188"/>
    </row>
    <row r="6" spans="2:9" s="191" customFormat="1" ht="15" customHeight="1">
      <c r="B6" s="776" t="s">
        <v>223</v>
      </c>
      <c r="C6" s="777"/>
      <c r="D6" s="777"/>
      <c r="E6" s="777"/>
      <c r="F6" s="777"/>
      <c r="G6" s="777"/>
      <c r="H6" s="777"/>
      <c r="I6" s="777"/>
    </row>
    <row r="7" spans="2:9" s="191" customFormat="1" ht="15" customHeight="1">
      <c r="B7" s="762" t="s">
        <v>708</v>
      </c>
      <c r="C7" s="762"/>
      <c r="D7" s="762"/>
      <c r="E7" s="762"/>
      <c r="F7" s="762"/>
      <c r="G7" s="762"/>
      <c r="H7" s="762"/>
      <c r="I7" s="762"/>
    </row>
    <row r="8" spans="2:9" s="191" customFormat="1" ht="15" customHeight="1">
      <c r="B8" s="762" t="s">
        <v>709</v>
      </c>
      <c r="C8" s="762"/>
      <c r="D8" s="762"/>
      <c r="E8" s="762"/>
      <c r="F8" s="762"/>
      <c r="G8" s="762"/>
      <c r="H8" s="762"/>
      <c r="I8" s="762"/>
    </row>
    <row r="9" spans="2:9" s="191" customFormat="1" ht="15" customHeight="1">
      <c r="B9" s="762" t="s">
        <v>710</v>
      </c>
      <c r="C9" s="762"/>
      <c r="D9" s="762"/>
      <c r="E9" s="762"/>
      <c r="F9" s="762"/>
      <c r="G9" s="762"/>
      <c r="H9" s="762"/>
      <c r="I9" s="762"/>
    </row>
    <row r="10" spans="2:9" s="191" customFormat="1" ht="15" customHeight="1">
      <c r="B10" s="762" t="s">
        <v>711</v>
      </c>
      <c r="C10" s="762"/>
      <c r="D10" s="762"/>
      <c r="E10" s="762"/>
      <c r="F10" s="762"/>
      <c r="G10" s="762"/>
      <c r="H10" s="762"/>
      <c r="I10" s="762"/>
    </row>
    <row r="11" spans="2:9" s="191" customFormat="1" ht="15" customHeight="1">
      <c r="B11" s="763" t="s">
        <v>224</v>
      </c>
      <c r="C11" s="762"/>
      <c r="D11" s="762"/>
      <c r="E11" s="762"/>
      <c r="F11" s="762"/>
      <c r="G11" s="762"/>
      <c r="H11" s="762"/>
      <c r="I11" s="762"/>
    </row>
    <row r="12" spans="2:9" s="191" customFormat="1" ht="9" customHeight="1">
      <c r="B12" s="187"/>
      <c r="C12" s="186"/>
      <c r="D12" s="186"/>
      <c r="E12" s="186"/>
      <c r="F12" s="186"/>
      <c r="G12" s="186"/>
      <c r="H12" s="186"/>
      <c r="I12" s="186"/>
    </row>
    <row r="13" spans="2:9" s="191" customFormat="1" ht="15" customHeight="1">
      <c r="B13" s="177" t="s">
        <v>670</v>
      </c>
    </row>
    <row r="14" spans="2:9" s="191" customFormat="1" ht="15" customHeight="1">
      <c r="C14" s="714" t="s">
        <v>176</v>
      </c>
      <c r="D14" s="714"/>
      <c r="E14" s="714"/>
      <c r="F14" s="714"/>
      <c r="G14" s="714"/>
    </row>
    <row r="15" spans="2:9" s="191" customFormat="1" ht="15" customHeight="1">
      <c r="C15" s="714" t="s">
        <v>177</v>
      </c>
      <c r="D15" s="714"/>
    </row>
    <row r="16" spans="2:9" s="191" customFormat="1" ht="15.75" customHeight="1">
      <c r="D16" s="714" t="s">
        <v>87</v>
      </c>
      <c r="E16" s="714"/>
      <c r="F16" s="766" t="s">
        <v>201</v>
      </c>
      <c r="G16" s="766"/>
      <c r="H16" s="94"/>
    </row>
    <row r="17" spans="2:9" s="191" customFormat="1" ht="15.75" customHeight="1">
      <c r="D17" s="714" t="s">
        <v>701</v>
      </c>
      <c r="E17" s="714"/>
      <c r="F17" s="767" t="s">
        <v>201</v>
      </c>
      <c r="G17" s="767"/>
      <c r="H17" s="94"/>
    </row>
    <row r="18" spans="2:9" s="191" customFormat="1" ht="15.75" customHeight="1">
      <c r="D18" s="714" t="s">
        <v>702</v>
      </c>
      <c r="E18" s="714"/>
      <c r="F18" s="768" t="str">
        <f>DATOS!D19</f>
        <v>-</v>
      </c>
      <c r="G18" s="768"/>
      <c r="H18" s="252"/>
    </row>
    <row r="19" spans="2:9" s="191" customFormat="1" ht="41.25" customHeight="1">
      <c r="D19" s="769" t="s">
        <v>840</v>
      </c>
      <c r="E19" s="769"/>
      <c r="F19" s="770" t="str">
        <f>DATOS!D20</f>
        <v>-</v>
      </c>
      <c r="G19" s="770"/>
      <c r="H19" s="770"/>
      <c r="I19" s="197"/>
    </row>
    <row r="20" spans="2:9" s="191" customFormat="1" ht="15.75" customHeight="1">
      <c r="D20" s="714" t="s">
        <v>704</v>
      </c>
      <c r="E20" s="714"/>
      <c r="F20" s="771" t="str">
        <f>DATOS!D21</f>
        <v>-</v>
      </c>
      <c r="G20" s="771"/>
      <c r="H20" s="771"/>
    </row>
    <row r="21" spans="2:9" s="191" customFormat="1" ht="15.75" customHeight="1">
      <c r="D21" s="714" t="s">
        <v>705</v>
      </c>
      <c r="E21" s="714"/>
      <c r="F21" s="771" t="s">
        <v>49</v>
      </c>
      <c r="G21" s="771"/>
      <c r="H21" s="771"/>
    </row>
    <row r="22" spans="2:9" s="191" customFormat="1" ht="15.75" customHeight="1">
      <c r="D22" s="185"/>
      <c r="E22" s="185"/>
      <c r="F22" s="186"/>
      <c r="G22" s="186"/>
      <c r="H22" s="186"/>
    </row>
    <row r="23" spans="2:9" s="191" customFormat="1" ht="17.25" customHeight="1">
      <c r="B23" s="762" t="s">
        <v>707</v>
      </c>
      <c r="C23" s="762"/>
      <c r="D23" s="762"/>
      <c r="E23" s="762"/>
      <c r="F23" s="198" t="str">
        <f>DATOS!D14</f>
        <v>-</v>
      </c>
      <c r="G23" s="762" t="s">
        <v>199</v>
      </c>
      <c r="H23" s="762"/>
      <c r="I23" s="762"/>
    </row>
    <row r="24" spans="2:9" s="191" customFormat="1" ht="17.25" customHeight="1">
      <c r="B24" s="762" t="s">
        <v>857</v>
      </c>
      <c r="C24" s="762"/>
      <c r="D24" s="762"/>
      <c r="E24" s="762"/>
      <c r="F24" s="762"/>
      <c r="G24" s="762"/>
      <c r="H24" s="762"/>
      <c r="I24" s="762"/>
    </row>
    <row r="25" spans="2:9" s="191" customFormat="1" ht="17.25" customHeight="1">
      <c r="B25" s="762" t="s">
        <v>178</v>
      </c>
      <c r="C25" s="762"/>
      <c r="D25" s="762"/>
      <c r="E25" s="762"/>
      <c r="F25" s="762"/>
      <c r="G25" s="762"/>
      <c r="H25" s="762"/>
      <c r="I25" s="762"/>
    </row>
    <row r="26" spans="2:9" s="191" customFormat="1" ht="9" customHeight="1"/>
    <row r="27" spans="2:9" s="191" customFormat="1" ht="15" customHeight="1">
      <c r="B27" s="61" t="s">
        <v>179</v>
      </c>
      <c r="C27" s="61"/>
      <c r="D27" s="61"/>
      <c r="E27" s="61"/>
      <c r="F27" s="61"/>
    </row>
    <row r="28" spans="2:9" s="191" customFormat="1" ht="15" customHeight="1">
      <c r="B28" s="61" t="s">
        <v>180</v>
      </c>
      <c r="C28" s="61"/>
      <c r="D28" s="61"/>
      <c r="E28" s="61"/>
      <c r="F28" s="61"/>
      <c r="G28" s="61"/>
      <c r="H28" s="61"/>
    </row>
    <row r="29" spans="2:9" s="60" customFormat="1" ht="9" customHeight="1" thickBot="1">
      <c r="B29" s="61"/>
    </row>
    <row r="30" spans="2:9" s="60" customFormat="1" ht="15.75" customHeight="1">
      <c r="B30" s="720" t="s">
        <v>205</v>
      </c>
      <c r="C30" s="721"/>
      <c r="D30" s="721" t="s">
        <v>494</v>
      </c>
      <c r="E30" s="731" t="s">
        <v>712</v>
      </c>
      <c r="F30" s="733" t="s">
        <v>713</v>
      </c>
      <c r="G30" s="717" t="s">
        <v>181</v>
      </c>
      <c r="H30" s="717"/>
      <c r="I30" s="743" t="s">
        <v>202</v>
      </c>
    </row>
    <row r="31" spans="2:9" s="60" customFormat="1" ht="15.75" customHeight="1" thickBot="1">
      <c r="B31" s="722"/>
      <c r="C31" s="723"/>
      <c r="D31" s="723"/>
      <c r="E31" s="732"/>
      <c r="F31" s="734"/>
      <c r="G31" s="718"/>
      <c r="H31" s="718"/>
      <c r="I31" s="744"/>
    </row>
    <row r="32" spans="2:9" s="191" customFormat="1" ht="16.5" customHeight="1" thickBot="1">
      <c r="B32" s="724" t="s">
        <v>830</v>
      </c>
      <c r="C32" s="719"/>
      <c r="D32" s="247" t="s">
        <v>832</v>
      </c>
      <c r="E32" s="248" t="e">
        <f>#REF!+#REF!+#REF!+#REF!</f>
        <v>#REF!</v>
      </c>
      <c r="F32" s="248" t="e">
        <f>#REF!+#REF!+#REF!+#REF!</f>
        <v>#REF!</v>
      </c>
      <c r="G32" s="719" t="s">
        <v>844</v>
      </c>
      <c r="H32" s="719"/>
      <c r="I32" s="270" t="s">
        <v>858</v>
      </c>
    </row>
    <row r="33" spans="2:10" s="191" customFormat="1" ht="16.5" customHeight="1">
      <c r="B33" s="724" t="s">
        <v>831</v>
      </c>
      <c r="C33" s="719"/>
      <c r="D33" s="247" t="s">
        <v>833</v>
      </c>
      <c r="E33" s="248" t="e">
        <f>#REF!</f>
        <v>#REF!</v>
      </c>
      <c r="F33" s="248" t="e">
        <f>#REF!</f>
        <v>#REF!</v>
      </c>
      <c r="G33" s="719" t="s">
        <v>646</v>
      </c>
      <c r="H33" s="719"/>
      <c r="I33" s="249" t="s">
        <v>829</v>
      </c>
    </row>
    <row r="34" spans="2:10" s="191" customFormat="1" ht="13.5" customHeight="1" thickBot="1">
      <c r="E34" s="200" t="e">
        <f>SUM(E32:E33)</f>
        <v>#REF!</v>
      </c>
      <c r="F34" s="200" t="e">
        <f>SUM(F32:F33)</f>
        <v>#REF!</v>
      </c>
      <c r="G34" s="201"/>
      <c r="H34" s="201"/>
      <c r="I34" s="201"/>
      <c r="J34" s="201"/>
    </row>
    <row r="35" spans="2:10" s="191" customFormat="1" ht="9" customHeight="1"/>
    <row r="36" spans="2:10" s="60" customFormat="1" ht="15" customHeight="1">
      <c r="B36" s="713" t="s">
        <v>182</v>
      </c>
      <c r="C36" s="713"/>
      <c r="D36" s="713"/>
      <c r="E36" s="713"/>
    </row>
    <row r="37" spans="2:10" s="60" customFormat="1" ht="15" customHeight="1">
      <c r="B37" s="714" t="s">
        <v>190</v>
      </c>
      <c r="C37" s="714"/>
      <c r="D37" s="714"/>
      <c r="E37" s="714"/>
      <c r="F37" s="714"/>
      <c r="G37" s="714"/>
      <c r="H37" s="714"/>
      <c r="I37" s="714"/>
    </row>
    <row r="38" spans="2:10" s="60" customFormat="1" ht="15" customHeight="1">
      <c r="B38" s="714" t="s">
        <v>191</v>
      </c>
      <c r="C38" s="714"/>
      <c r="D38" s="714"/>
      <c r="E38" s="714"/>
      <c r="F38" s="714"/>
      <c r="G38" s="714"/>
      <c r="H38" s="714"/>
      <c r="I38" s="714"/>
    </row>
    <row r="39" spans="2:10" s="60" customFormat="1" ht="15" customHeight="1">
      <c r="B39" s="714" t="s">
        <v>183</v>
      </c>
      <c r="C39" s="714"/>
      <c r="D39" s="714"/>
      <c r="E39" s="714"/>
      <c r="F39" s="714"/>
      <c r="G39" s="714"/>
      <c r="H39" s="714"/>
      <c r="I39" s="714"/>
    </row>
    <row r="40" spans="2:10" s="60" customFormat="1" ht="4.5" customHeight="1" thickBot="1">
      <c r="C40" s="50"/>
    </row>
    <row r="41" spans="2:10" s="60" customFormat="1" ht="12" customHeight="1">
      <c r="B41" s="735" t="s">
        <v>184</v>
      </c>
      <c r="C41" s="736"/>
      <c r="D41" s="736"/>
      <c r="E41" s="725" t="s">
        <v>186</v>
      </c>
      <c r="F41" s="736" t="s">
        <v>185</v>
      </c>
      <c r="G41" s="736"/>
      <c r="H41" s="736"/>
      <c r="I41" s="745" t="s">
        <v>202</v>
      </c>
    </row>
    <row r="42" spans="2:10" s="60" customFormat="1" ht="15" customHeight="1" thickBot="1">
      <c r="B42" s="737"/>
      <c r="C42" s="738"/>
      <c r="D42" s="738"/>
      <c r="E42" s="726"/>
      <c r="F42" s="738"/>
      <c r="G42" s="738"/>
      <c r="H42" s="738"/>
      <c r="I42" s="746"/>
    </row>
    <row r="43" spans="2:10" s="191" customFormat="1" ht="15" customHeight="1">
      <c r="B43" s="741" t="s">
        <v>662</v>
      </c>
      <c r="C43" s="742"/>
      <c r="D43" s="742"/>
      <c r="E43" s="244" t="e">
        <f>#REF!</f>
        <v>#REF!</v>
      </c>
      <c r="F43" s="716" t="e">
        <f>#REF!</f>
        <v>#REF!</v>
      </c>
      <c r="G43" s="716"/>
      <c r="H43" s="716"/>
      <c r="I43" s="250" t="s">
        <v>203</v>
      </c>
    </row>
    <row r="44" spans="2:10" s="191" customFormat="1" ht="15" customHeight="1">
      <c r="B44" s="739" t="s">
        <v>656</v>
      </c>
      <c r="C44" s="740"/>
      <c r="D44" s="740"/>
      <c r="E44" s="240" t="e">
        <f>#REF!</f>
        <v>#REF!</v>
      </c>
      <c r="F44" s="715" t="e">
        <f>#REF!</f>
        <v>#REF!</v>
      </c>
      <c r="G44" s="715"/>
      <c r="H44" s="715"/>
      <c r="I44" s="251" t="s">
        <v>204</v>
      </c>
    </row>
    <row r="45" spans="2:10" s="191" customFormat="1" ht="15" customHeight="1">
      <c r="B45" s="739" t="s">
        <v>661</v>
      </c>
      <c r="C45" s="740"/>
      <c r="D45" s="740"/>
      <c r="E45" s="240" t="e">
        <f>#REF!</f>
        <v>#REF!</v>
      </c>
      <c r="F45" s="715" t="e">
        <f>#REF!</f>
        <v>#REF!</v>
      </c>
      <c r="G45" s="715"/>
      <c r="H45" s="715"/>
      <c r="I45" s="273" t="s">
        <v>859</v>
      </c>
    </row>
    <row r="46" spans="2:10" s="191" customFormat="1" ht="15" customHeight="1">
      <c r="B46" s="739" t="s">
        <v>658</v>
      </c>
      <c r="C46" s="740"/>
      <c r="D46" s="740"/>
      <c r="E46" s="240" t="e">
        <f>#REF!</f>
        <v>#REF!</v>
      </c>
      <c r="F46" s="715" t="e">
        <f>#REF!</f>
        <v>#REF!</v>
      </c>
      <c r="G46" s="715"/>
      <c r="H46" s="715"/>
      <c r="I46" s="251" t="s">
        <v>829</v>
      </c>
    </row>
    <row r="47" spans="2:10" s="191" customFormat="1" ht="15" customHeight="1">
      <c r="B47" s="739" t="s">
        <v>657</v>
      </c>
      <c r="C47" s="740"/>
      <c r="D47" s="740"/>
      <c r="E47" s="240" t="e">
        <f>#REF!</f>
        <v>#REF!</v>
      </c>
      <c r="F47" s="715" t="e">
        <f>#REF!</f>
        <v>#REF!</v>
      </c>
      <c r="G47" s="715"/>
      <c r="H47" s="715"/>
      <c r="I47" s="251" t="s">
        <v>851</v>
      </c>
    </row>
    <row r="48" spans="2:10" s="191" customFormat="1" ht="15" customHeight="1">
      <c r="B48" s="739" t="s">
        <v>860</v>
      </c>
      <c r="C48" s="740"/>
      <c r="D48" s="740"/>
      <c r="E48" s="240">
        <v>5.7</v>
      </c>
      <c r="F48" s="715" t="s">
        <v>660</v>
      </c>
      <c r="G48" s="715"/>
      <c r="H48" s="715"/>
      <c r="I48" s="251" t="s">
        <v>861</v>
      </c>
    </row>
    <row r="49" spans="1:10" s="191" customFormat="1" ht="6.75" customHeight="1">
      <c r="B49" s="241"/>
      <c r="C49" s="241"/>
      <c r="D49" s="241"/>
      <c r="E49" s="243"/>
      <c r="F49" s="242"/>
      <c r="G49" s="242"/>
      <c r="H49" s="242"/>
      <c r="I49" s="242"/>
    </row>
    <row r="50" spans="1:10" s="191" customFormat="1" ht="15" customHeight="1">
      <c r="B50" s="713" t="s">
        <v>187</v>
      </c>
      <c r="C50" s="713"/>
      <c r="D50" s="713"/>
    </row>
    <row r="51" spans="1:10" s="191" customFormat="1" ht="15" customHeight="1">
      <c r="B51" s="714" t="s">
        <v>188</v>
      </c>
      <c r="C51" s="714"/>
      <c r="D51" s="714"/>
      <c r="E51" s="714"/>
      <c r="F51" s="714"/>
      <c r="G51" s="714"/>
      <c r="H51" s="714"/>
      <c r="I51" s="714"/>
    </row>
    <row r="52" spans="1:10" s="191" customFormat="1" ht="15" customHeight="1">
      <c r="A52" s="199"/>
      <c r="B52" s="714" t="s">
        <v>714</v>
      </c>
      <c r="C52" s="714"/>
      <c r="D52" s="714"/>
      <c r="E52" s="714"/>
      <c r="F52" s="714"/>
      <c r="G52" s="714"/>
      <c r="H52" s="714"/>
      <c r="I52" s="714"/>
    </row>
    <row r="53" spans="1:10" s="191" customFormat="1" ht="15" customHeight="1">
      <c r="A53" s="199"/>
      <c r="B53" s="714" t="s">
        <v>716</v>
      </c>
      <c r="C53" s="714"/>
      <c r="D53" s="714"/>
      <c r="E53" s="714"/>
      <c r="F53" s="714"/>
      <c r="G53" s="714"/>
      <c r="H53" s="714"/>
      <c r="I53" s="714"/>
    </row>
    <row r="54" spans="1:10" s="191" customFormat="1" ht="15" customHeight="1">
      <c r="A54" s="199"/>
      <c r="B54" s="714" t="s">
        <v>715</v>
      </c>
      <c r="C54" s="714"/>
      <c r="D54" s="714"/>
      <c r="E54" s="714"/>
      <c r="F54" s="714"/>
      <c r="G54" s="714"/>
      <c r="H54" s="714"/>
      <c r="I54" s="714"/>
    </row>
    <row r="55" spans="1:10" s="191" customFormat="1" ht="15" customHeight="1">
      <c r="A55" s="199"/>
      <c r="B55" s="714" t="s">
        <v>439</v>
      </c>
      <c r="C55" s="714"/>
      <c r="D55" s="714"/>
      <c r="E55" s="714"/>
      <c r="F55" s="714"/>
      <c r="G55" s="714"/>
      <c r="H55" s="714"/>
      <c r="I55" s="714"/>
    </row>
    <row r="56" spans="1:10" s="191" customFormat="1" ht="15" customHeight="1">
      <c r="A56" s="199"/>
      <c r="B56" s="714" t="s">
        <v>440</v>
      </c>
      <c r="C56" s="714"/>
      <c r="D56" s="714"/>
      <c r="E56" s="714"/>
      <c r="F56" s="714"/>
      <c r="G56" s="714"/>
      <c r="H56" s="714"/>
      <c r="I56" s="714"/>
    </row>
    <row r="57" spans="1:10" s="191" customFormat="1" ht="15" customHeight="1">
      <c r="A57" s="199"/>
      <c r="B57" s="714" t="s">
        <v>441</v>
      </c>
      <c r="C57" s="714"/>
      <c r="D57" s="714"/>
      <c r="E57" s="714"/>
      <c r="F57" s="714"/>
      <c r="G57" s="714"/>
      <c r="H57" s="714"/>
      <c r="I57" s="714"/>
    </row>
    <row r="58" spans="1:10" s="59" customFormat="1" ht="4.5" customHeight="1">
      <c r="A58" s="199"/>
      <c r="B58" s="185"/>
      <c r="C58" s="185"/>
      <c r="D58" s="185"/>
      <c r="E58" s="185"/>
      <c r="F58" s="185"/>
      <c r="G58" s="185"/>
      <c r="H58" s="185"/>
      <c r="I58" s="185"/>
    </row>
    <row r="59" spans="1:10" s="59" customFormat="1" ht="15" customHeight="1">
      <c r="B59" s="713" t="s">
        <v>189</v>
      </c>
      <c r="C59" s="713"/>
      <c r="D59" s="713"/>
      <c r="E59" s="713"/>
      <c r="F59" s="713"/>
      <c r="G59" s="713"/>
      <c r="H59" s="50"/>
      <c r="I59" s="50"/>
      <c r="J59" s="50"/>
    </row>
    <row r="60" spans="1:10" s="59" customFormat="1" ht="15" customHeight="1">
      <c r="B60" s="714" t="s">
        <v>192</v>
      </c>
      <c r="C60" s="714"/>
      <c r="D60" s="714"/>
      <c r="E60" s="714"/>
      <c r="F60" s="714"/>
      <c r="G60" s="714"/>
      <c r="H60" s="714"/>
      <c r="I60" s="714"/>
      <c r="J60" s="50"/>
    </row>
    <row r="61" spans="1:10" s="59" customFormat="1" ht="15" customHeight="1">
      <c r="B61" s="714" t="s">
        <v>193</v>
      </c>
      <c r="C61" s="714"/>
      <c r="D61" s="714"/>
      <c r="E61" s="714"/>
      <c r="F61" s="714"/>
      <c r="G61" s="714"/>
      <c r="H61" s="714"/>
      <c r="I61" s="714"/>
      <c r="J61" s="50"/>
    </row>
    <row r="62" spans="1:10" s="59" customFormat="1" ht="15" customHeight="1">
      <c r="B62" s="714" t="s">
        <v>194</v>
      </c>
      <c r="C62" s="714"/>
      <c r="D62" s="714"/>
      <c r="E62" s="714"/>
      <c r="F62" s="714"/>
      <c r="G62" s="714"/>
      <c r="H62" s="714"/>
      <c r="I62" s="714"/>
      <c r="J62" s="50"/>
    </row>
    <row r="63" spans="1:10" s="59" customFormat="1" ht="15" customHeight="1">
      <c r="B63" s="714" t="s">
        <v>195</v>
      </c>
      <c r="C63" s="714"/>
      <c r="D63" s="714"/>
      <c r="E63" s="714"/>
      <c r="F63" s="714"/>
      <c r="G63" s="714"/>
      <c r="H63" s="714"/>
      <c r="I63" s="714"/>
    </row>
    <row r="64" spans="1:10" s="59" customFormat="1" ht="15" customHeight="1">
      <c r="B64" s="714" t="s">
        <v>196</v>
      </c>
      <c r="C64" s="714"/>
      <c r="D64" s="714"/>
      <c r="E64" s="714"/>
      <c r="F64" s="714"/>
      <c r="G64" s="714"/>
      <c r="H64" s="714"/>
      <c r="I64" s="714"/>
    </row>
    <row r="65" spans="2:9" s="59" customFormat="1" ht="15.75" customHeight="1" thickBot="1">
      <c r="B65" s="185"/>
      <c r="C65" s="185"/>
      <c r="D65" s="185"/>
      <c r="E65" s="185"/>
      <c r="F65" s="185"/>
      <c r="G65" s="185"/>
      <c r="H65" s="185"/>
      <c r="I65" s="185"/>
    </row>
    <row r="66" spans="2:9" ht="15" customHeight="1">
      <c r="D66" s="754" t="s">
        <v>197</v>
      </c>
      <c r="E66" s="755"/>
      <c r="F66" s="786" t="s">
        <v>717</v>
      </c>
      <c r="G66" s="787"/>
    </row>
    <row r="67" spans="2:9" ht="15" customHeight="1" thickBot="1">
      <c r="D67" s="756"/>
      <c r="E67" s="757"/>
      <c r="F67" s="788"/>
      <c r="G67" s="789"/>
    </row>
    <row r="68" spans="2:9" s="59" customFormat="1" ht="15" customHeight="1">
      <c r="D68" s="797" t="str">
        <f>D32</f>
        <v>UI-1</v>
      </c>
      <c r="E68" s="798"/>
      <c r="F68" s="729" t="e">
        <f>ROUND(E32/$E$34*100,2)</f>
        <v>#REF!</v>
      </c>
      <c r="G68" s="730"/>
    </row>
    <row r="69" spans="2:9" ht="15" customHeight="1" thickBot="1">
      <c r="D69" s="795" t="str">
        <f>D33</f>
        <v>UI-2</v>
      </c>
      <c r="E69" s="796"/>
      <c r="F69" s="729" t="e">
        <f>ROUND(E33/$E$34*100,2)</f>
        <v>#REF!</v>
      </c>
      <c r="G69" s="730"/>
    </row>
    <row r="70" spans="2:9" ht="15" customHeight="1" thickBot="1">
      <c r="D70" s="793" t="s">
        <v>60</v>
      </c>
      <c r="E70" s="794"/>
      <c r="F70" s="727" t="e">
        <f>SUM(F68:G69)</f>
        <v>#REF!</v>
      </c>
      <c r="G70" s="728"/>
    </row>
    <row r="71" spans="2:9" ht="25.5" customHeight="1">
      <c r="D71" s="68"/>
      <c r="E71" s="69"/>
    </row>
    <row r="72" spans="2:9" s="59" customFormat="1" ht="15" customHeight="1">
      <c r="B72" s="776" t="s">
        <v>216</v>
      </c>
      <c r="C72" s="777"/>
      <c r="D72" s="777"/>
      <c r="E72" s="777"/>
      <c r="F72" s="777"/>
      <c r="G72" s="777"/>
      <c r="H72" s="777"/>
      <c r="I72" s="777"/>
    </row>
    <row r="73" spans="2:9" s="59" customFormat="1" ht="15" customHeight="1">
      <c r="B73" s="762" t="s">
        <v>192</v>
      </c>
      <c r="C73" s="762"/>
      <c r="D73" s="762"/>
      <c r="E73" s="762"/>
      <c r="F73" s="762"/>
      <c r="G73" s="762"/>
      <c r="H73" s="762"/>
      <c r="I73" s="762"/>
    </row>
    <row r="74" spans="2:9" s="59" customFormat="1" ht="15" customHeight="1">
      <c r="B74" s="762" t="s">
        <v>217</v>
      </c>
      <c r="C74" s="762"/>
      <c r="D74" s="762"/>
      <c r="E74" s="762"/>
      <c r="F74" s="762"/>
      <c r="G74" s="762"/>
      <c r="H74" s="762"/>
      <c r="I74" s="762"/>
    </row>
    <row r="75" spans="2:9" s="59" customFormat="1" ht="15" customHeight="1">
      <c r="B75" s="762" t="s">
        <v>218</v>
      </c>
      <c r="C75" s="762"/>
      <c r="D75" s="762"/>
      <c r="E75" s="762"/>
      <c r="F75" s="762"/>
      <c r="G75" s="762"/>
      <c r="H75" s="762"/>
      <c r="I75" s="762"/>
    </row>
    <row r="76" spans="2:9" s="59" customFormat="1" ht="15" customHeight="1">
      <c r="B76" s="763" t="s">
        <v>219</v>
      </c>
      <c r="C76" s="762"/>
      <c r="D76" s="762"/>
      <c r="E76" s="762"/>
      <c r="F76" s="762"/>
      <c r="G76" s="762"/>
      <c r="H76" s="762"/>
      <c r="I76" s="762"/>
    </row>
    <row r="77" spans="2:9" s="59" customFormat="1" ht="15" customHeight="1">
      <c r="B77" s="762" t="s">
        <v>442</v>
      </c>
      <c r="C77" s="762"/>
      <c r="D77" s="762"/>
      <c r="E77" s="762"/>
      <c r="F77" s="762"/>
      <c r="G77" s="762"/>
      <c r="H77" s="762"/>
      <c r="I77" s="762"/>
    </row>
    <row r="78" spans="2:9" s="59" customFormat="1" ht="15" customHeight="1">
      <c r="B78" s="762" t="s">
        <v>443</v>
      </c>
      <c r="C78" s="762"/>
      <c r="D78" s="762"/>
      <c r="E78" s="762"/>
      <c r="F78" s="762"/>
      <c r="G78" s="762"/>
      <c r="H78" s="762"/>
      <c r="I78" s="762"/>
    </row>
    <row r="79" spans="2:9" s="59" customFormat="1" ht="23.25" customHeight="1" thickBot="1">
      <c r="B79" s="186"/>
      <c r="C79" s="186"/>
      <c r="D79" s="186"/>
      <c r="E79" s="186"/>
      <c r="F79" s="186"/>
      <c r="G79" s="186"/>
      <c r="H79" s="186"/>
      <c r="I79" s="186"/>
    </row>
    <row r="80" spans="2:9" ht="15.75" customHeight="1">
      <c r="D80" s="754" t="s">
        <v>197</v>
      </c>
      <c r="E80" s="755"/>
      <c r="F80" s="755" t="s">
        <v>717</v>
      </c>
      <c r="G80" s="764"/>
    </row>
    <row r="81" spans="1:10" ht="15.75" customHeight="1" thickBot="1">
      <c r="D81" s="756"/>
      <c r="E81" s="757"/>
      <c r="F81" s="757"/>
      <c r="G81" s="765"/>
    </row>
    <row r="82" spans="1:10" s="59" customFormat="1" ht="15" customHeight="1">
      <c r="D82" s="748" t="str">
        <f>D68</f>
        <v>UI-1</v>
      </c>
      <c r="E82" s="749"/>
      <c r="F82" s="729" t="e">
        <f>F68</f>
        <v>#REF!</v>
      </c>
      <c r="G82" s="730"/>
    </row>
    <row r="83" spans="1:10" s="59" customFormat="1" ht="15" customHeight="1" thickBot="1">
      <c r="D83" s="760" t="str">
        <f>D69</f>
        <v>UI-2</v>
      </c>
      <c r="E83" s="761"/>
      <c r="F83" s="752" t="e">
        <f>F69</f>
        <v>#REF!</v>
      </c>
      <c r="G83" s="753"/>
    </row>
    <row r="84" spans="1:10" s="59" customFormat="1" ht="15" customHeight="1" thickBot="1">
      <c r="D84" s="758" t="s">
        <v>60</v>
      </c>
      <c r="E84" s="759"/>
      <c r="F84" s="750" t="e">
        <f t="shared" ref="F84" si="0">F70</f>
        <v>#REF!</v>
      </c>
      <c r="G84" s="751"/>
    </row>
    <row r="85" spans="1:10" ht="28.5" customHeight="1">
      <c r="D85" s="138"/>
      <c r="E85" s="138"/>
    </row>
    <row r="86" spans="1:10" s="94" customFormat="1" ht="15" customHeight="1">
      <c r="A86" s="59"/>
      <c r="B86" s="713" t="s">
        <v>225</v>
      </c>
      <c r="C86" s="713"/>
      <c r="D86" s="713"/>
      <c r="E86" s="713"/>
      <c r="F86" s="713"/>
      <c r="G86" s="713"/>
      <c r="H86" s="191"/>
      <c r="I86" s="191"/>
    </row>
    <row r="87" spans="1:10" s="94" customFormat="1" ht="15" customHeight="1">
      <c r="A87" s="59"/>
      <c r="B87" s="714" t="s">
        <v>226</v>
      </c>
      <c r="C87" s="714"/>
      <c r="D87" s="714"/>
      <c r="E87" s="714"/>
      <c r="F87" s="714"/>
      <c r="G87" s="714"/>
      <c r="H87" s="714"/>
      <c r="I87" s="714"/>
      <c r="J87" s="93"/>
    </row>
    <row r="88" spans="1:10" s="94" customFormat="1" ht="15" customHeight="1">
      <c r="A88" s="59"/>
      <c r="B88" s="714" t="s">
        <v>322</v>
      </c>
      <c r="C88" s="714"/>
      <c r="D88" s="714"/>
      <c r="E88" s="714"/>
      <c r="F88" s="714"/>
      <c r="G88" s="714"/>
      <c r="H88" s="714"/>
      <c r="I88" s="714"/>
      <c r="J88" s="93"/>
    </row>
    <row r="89" spans="1:10" s="94" customFormat="1" ht="15" customHeight="1">
      <c r="A89" s="59"/>
      <c r="B89" s="714" t="s">
        <v>323</v>
      </c>
      <c r="C89" s="714"/>
      <c r="D89" s="714"/>
      <c r="E89" s="714"/>
      <c r="F89" s="714"/>
      <c r="G89" s="714"/>
      <c r="H89" s="714"/>
      <c r="I89" s="714"/>
      <c r="J89" s="93"/>
    </row>
    <row r="90" spans="1:10" s="94" customFormat="1" ht="15" customHeight="1">
      <c r="A90" s="59"/>
      <c r="B90" s="714" t="s">
        <v>227</v>
      </c>
      <c r="C90" s="714"/>
      <c r="D90" s="714"/>
      <c r="E90" s="714"/>
      <c r="F90" s="714"/>
      <c r="G90" s="714"/>
      <c r="H90" s="714"/>
      <c r="I90" s="714"/>
      <c r="J90" s="93"/>
    </row>
    <row r="91" spans="1:10" s="94" customFormat="1" ht="15" customHeight="1">
      <c r="A91" s="59"/>
      <c r="B91" s="714" t="s">
        <v>324</v>
      </c>
      <c r="C91" s="714"/>
      <c r="D91" s="714"/>
      <c r="E91" s="714"/>
      <c r="F91" s="714"/>
      <c r="G91" s="714"/>
      <c r="H91" s="714"/>
      <c r="I91" s="714"/>
      <c r="J91" s="93"/>
    </row>
    <row r="92" spans="1:10" s="94" customFormat="1" ht="15" customHeight="1">
      <c r="A92" s="59"/>
      <c r="B92" s="714" t="s">
        <v>325</v>
      </c>
      <c r="C92" s="714"/>
      <c r="D92" s="714"/>
      <c r="E92" s="714"/>
      <c r="F92" s="714"/>
      <c r="G92" s="714"/>
      <c r="H92" s="714"/>
      <c r="I92" s="714"/>
      <c r="J92" s="93"/>
    </row>
    <row r="93" spans="1:10" s="94" customFormat="1" ht="15" customHeight="1">
      <c r="A93" s="59"/>
      <c r="B93" s="714" t="s">
        <v>228</v>
      </c>
      <c r="C93" s="714"/>
      <c r="D93" s="714"/>
      <c r="E93" s="714"/>
      <c r="F93" s="714"/>
      <c r="G93" s="714"/>
      <c r="H93" s="714"/>
      <c r="I93" s="714"/>
      <c r="J93" s="93"/>
    </row>
    <row r="94" spans="1:10" s="94" customFormat="1" ht="15" customHeight="1">
      <c r="A94" s="59"/>
      <c r="B94" s="714" t="s">
        <v>327</v>
      </c>
      <c r="C94" s="714"/>
      <c r="D94" s="714"/>
      <c r="E94" s="714"/>
      <c r="F94" s="714"/>
      <c r="G94" s="714"/>
      <c r="H94" s="714"/>
      <c r="I94" s="714"/>
      <c r="J94" s="93"/>
    </row>
    <row r="95" spans="1:10" s="94" customFormat="1" ht="15" customHeight="1">
      <c r="A95" s="59"/>
      <c r="B95" s="714" t="s">
        <v>326</v>
      </c>
      <c r="C95" s="714"/>
      <c r="D95" s="714"/>
      <c r="E95" s="714"/>
      <c r="F95" s="714"/>
      <c r="G95" s="714"/>
      <c r="H95" s="714"/>
      <c r="I95" s="714"/>
    </row>
    <row r="96" spans="1:10" s="94" customFormat="1" ht="4.5" customHeight="1">
      <c r="A96" s="59"/>
      <c r="B96" s="185"/>
      <c r="C96" s="185"/>
      <c r="D96" s="185"/>
      <c r="E96" s="185"/>
      <c r="F96" s="185"/>
      <c r="G96" s="185"/>
      <c r="H96" s="185"/>
      <c r="I96" s="185"/>
    </row>
    <row r="97" spans="1:10" s="94" customFormat="1" ht="14.25" customHeight="1">
      <c r="A97" s="59"/>
      <c r="C97" s="56"/>
      <c r="D97" s="747" t="s">
        <v>229</v>
      </c>
      <c r="E97" s="747"/>
      <c r="F97" s="747"/>
      <c r="G97" s="747"/>
    </row>
    <row r="98" spans="1:10" s="94" customFormat="1" ht="14.25" customHeight="1">
      <c r="A98" s="59"/>
      <c r="C98" s="59"/>
      <c r="D98" s="792" t="s">
        <v>230</v>
      </c>
      <c r="E98" s="792"/>
      <c r="F98" s="792"/>
      <c r="G98" s="792"/>
      <c r="H98" s="92"/>
      <c r="I98" s="92"/>
      <c r="J98" s="92"/>
    </row>
    <row r="99" spans="1:10" s="94" customFormat="1" ht="4.5" customHeight="1">
      <c r="A99" s="59"/>
      <c r="C99" s="57"/>
      <c r="D99" s="57"/>
      <c r="E99" s="57"/>
      <c r="F99" s="57"/>
      <c r="G99" s="57"/>
      <c r="H99" s="57"/>
      <c r="I99" s="57"/>
      <c r="J99" s="57"/>
    </row>
    <row r="100" spans="1:10" s="94" customFormat="1" ht="15" customHeight="1">
      <c r="A100" s="59"/>
      <c r="B100" s="713" t="s">
        <v>231</v>
      </c>
      <c r="C100" s="713"/>
      <c r="D100" s="713"/>
      <c r="E100" s="713"/>
      <c r="F100" s="191"/>
      <c r="G100" s="191"/>
      <c r="H100" s="191"/>
      <c r="I100" s="191"/>
      <c r="J100" s="59"/>
    </row>
    <row r="101" spans="1:10" s="94" customFormat="1" ht="15" customHeight="1">
      <c r="A101" s="59"/>
      <c r="B101" s="714" t="s">
        <v>232</v>
      </c>
      <c r="C101" s="714"/>
      <c r="D101" s="714"/>
      <c r="E101" s="714"/>
      <c r="F101" s="50"/>
      <c r="G101" s="50"/>
      <c r="H101" s="50"/>
      <c r="I101" s="50"/>
      <c r="J101" s="59"/>
    </row>
    <row r="102" spans="1:10" s="94" customFormat="1" ht="15" customHeight="1">
      <c r="A102" s="59"/>
      <c r="B102" s="714" t="s">
        <v>233</v>
      </c>
      <c r="C102" s="714"/>
      <c r="D102" s="714"/>
      <c r="E102" s="714"/>
      <c r="F102" s="714"/>
      <c r="G102" s="50"/>
      <c r="H102" s="50"/>
      <c r="I102" s="50"/>
      <c r="J102" s="59"/>
    </row>
    <row r="103" spans="1:10" s="94" customFormat="1" ht="15" customHeight="1">
      <c r="A103" s="59"/>
      <c r="B103" s="714" t="s">
        <v>328</v>
      </c>
      <c r="C103" s="714"/>
      <c r="D103" s="714"/>
      <c r="E103" s="714"/>
      <c r="F103" s="714"/>
      <c r="G103" s="714"/>
      <c r="H103" s="714"/>
      <c r="I103" s="714"/>
      <c r="J103" s="59"/>
    </row>
    <row r="104" spans="1:10" s="94" customFormat="1" ht="15" customHeight="1">
      <c r="A104" s="59"/>
      <c r="B104" s="714" t="s">
        <v>329</v>
      </c>
      <c r="C104" s="714"/>
      <c r="D104" s="714"/>
      <c r="E104" s="714"/>
      <c r="F104" s="714"/>
      <c r="G104" s="714"/>
      <c r="H104" s="714"/>
      <c r="I104" s="714"/>
      <c r="J104" s="59"/>
    </row>
    <row r="105" spans="1:10" s="94" customFormat="1" ht="15" customHeight="1">
      <c r="A105" s="59"/>
      <c r="B105" s="714" t="s">
        <v>330</v>
      </c>
      <c r="C105" s="714"/>
      <c r="D105" s="714"/>
      <c r="E105" s="714"/>
      <c r="F105" s="714"/>
      <c r="G105" s="714"/>
      <c r="H105" s="714"/>
      <c r="I105" s="714"/>
      <c r="J105" s="59"/>
    </row>
    <row r="106" spans="1:10" s="94" customFormat="1" ht="15" customHeight="1">
      <c r="A106" s="59"/>
      <c r="B106" s="714" t="s">
        <v>331</v>
      </c>
      <c r="C106" s="714"/>
      <c r="D106" s="714"/>
      <c r="E106" s="714"/>
      <c r="F106" s="714"/>
      <c r="G106" s="714"/>
      <c r="H106" s="714"/>
      <c r="I106" s="714"/>
      <c r="J106" s="59"/>
    </row>
    <row r="107" spans="1:10" s="94" customFormat="1" ht="15" customHeight="1">
      <c r="A107" s="59"/>
      <c r="B107" s="714" t="s">
        <v>332</v>
      </c>
      <c r="C107" s="714"/>
      <c r="D107" s="714"/>
      <c r="E107" s="714"/>
      <c r="F107" s="714"/>
      <c r="G107" s="714"/>
      <c r="H107" s="714"/>
      <c r="I107" s="714"/>
      <c r="J107" s="59"/>
    </row>
    <row r="108" spans="1:10" s="94" customFormat="1" ht="15" customHeight="1">
      <c r="A108" s="59"/>
      <c r="B108" s="714" t="s">
        <v>333</v>
      </c>
      <c r="C108" s="714"/>
      <c r="D108" s="714"/>
      <c r="E108" s="714"/>
      <c r="F108" s="714"/>
      <c r="G108" s="714"/>
      <c r="H108" s="714"/>
      <c r="I108" s="714"/>
      <c r="J108" s="93"/>
    </row>
    <row r="109" spans="1:10" s="94" customFormat="1" ht="15" customHeight="1">
      <c r="A109" s="59"/>
      <c r="B109" s="714" t="s">
        <v>334</v>
      </c>
      <c r="C109" s="714"/>
      <c r="D109" s="714"/>
      <c r="E109" s="714"/>
      <c r="F109" s="714"/>
      <c r="G109" s="714"/>
      <c r="H109" s="714"/>
      <c r="I109" s="714"/>
      <c r="J109" s="93"/>
    </row>
    <row r="110" spans="1:10" s="94" customFormat="1" ht="15" customHeight="1">
      <c r="A110" s="59"/>
      <c r="B110" s="714" t="s">
        <v>335</v>
      </c>
      <c r="C110" s="714"/>
      <c r="D110" s="714"/>
      <c r="E110" s="714"/>
      <c r="F110" s="714"/>
      <c r="G110" s="714"/>
      <c r="H110" s="714"/>
      <c r="I110" s="714"/>
      <c r="J110" s="93"/>
    </row>
    <row r="111" spans="1:10" s="94" customFormat="1" ht="15" customHeight="1">
      <c r="A111" s="59"/>
      <c r="B111" s="714" t="s">
        <v>336</v>
      </c>
      <c r="C111" s="714"/>
      <c r="D111" s="714"/>
      <c r="E111" s="714"/>
      <c r="F111" s="714"/>
      <c r="G111" s="714"/>
      <c r="H111" s="714"/>
      <c r="I111" s="714"/>
      <c r="J111" s="93"/>
    </row>
    <row r="112" spans="1:10" s="94" customFormat="1" ht="15" customHeight="1">
      <c r="A112" s="59"/>
      <c r="B112" s="714" t="s">
        <v>337</v>
      </c>
      <c r="C112" s="714"/>
      <c r="D112" s="714"/>
      <c r="E112" s="714"/>
      <c r="F112" s="714"/>
      <c r="G112" s="714"/>
      <c r="H112" s="714"/>
      <c r="I112" s="714"/>
      <c r="J112" s="93"/>
    </row>
    <row r="113" spans="1:10" s="94" customFormat="1" ht="15" customHeight="1">
      <c r="A113" s="59"/>
      <c r="B113" s="714" t="s">
        <v>338</v>
      </c>
      <c r="C113" s="714"/>
      <c r="D113" s="714"/>
      <c r="E113" s="714"/>
      <c r="F113" s="714"/>
      <c r="G113" s="714"/>
      <c r="H113" s="714"/>
      <c r="I113" s="714"/>
      <c r="J113" s="93"/>
    </row>
    <row r="114" spans="1:10" s="94" customFormat="1" ht="15" customHeight="1">
      <c r="A114" s="59"/>
      <c r="B114" s="714" t="s">
        <v>234</v>
      </c>
      <c r="C114" s="714"/>
      <c r="D114" s="714"/>
      <c r="E114" s="714"/>
      <c r="F114" s="714"/>
      <c r="G114" s="714"/>
      <c r="H114" s="714"/>
      <c r="I114" s="714"/>
      <c r="J114" s="93"/>
    </row>
    <row r="115" spans="1:10" s="94" customFormat="1" ht="15" customHeight="1">
      <c r="A115" s="59"/>
      <c r="B115" s="762" t="s">
        <v>235</v>
      </c>
      <c r="C115" s="762"/>
      <c r="D115" s="762"/>
      <c r="E115" s="762"/>
      <c r="F115" s="762"/>
      <c r="G115" s="762"/>
      <c r="H115" s="762"/>
      <c r="I115" s="762"/>
    </row>
    <row r="116" spans="1:10" s="94" customFormat="1" ht="15" customHeight="1">
      <c r="A116" s="59"/>
      <c r="B116" s="762" t="s">
        <v>339</v>
      </c>
      <c r="C116" s="762"/>
      <c r="D116" s="762"/>
      <c r="E116" s="762"/>
      <c r="F116" s="762"/>
      <c r="G116" s="762"/>
      <c r="H116" s="762"/>
      <c r="I116" s="762"/>
    </row>
    <row r="117" spans="1:10" s="94" customFormat="1" ht="15" customHeight="1">
      <c r="A117" s="59"/>
      <c r="B117" s="714" t="s">
        <v>340</v>
      </c>
      <c r="C117" s="714"/>
      <c r="D117" s="714"/>
      <c r="E117" s="714"/>
      <c r="F117" s="714"/>
      <c r="G117" s="714"/>
      <c r="H117" s="714"/>
      <c r="I117" s="714"/>
      <c r="J117" s="93"/>
    </row>
    <row r="118" spans="1:10" s="94" customFormat="1" ht="15" customHeight="1">
      <c r="A118" s="59"/>
      <c r="B118" s="762" t="s">
        <v>341</v>
      </c>
      <c r="C118" s="762"/>
      <c r="D118" s="762"/>
      <c r="E118" s="762"/>
      <c r="F118" s="762"/>
      <c r="G118" s="762"/>
      <c r="H118" s="762"/>
      <c r="I118" s="762"/>
    </row>
    <row r="119" spans="1:10" s="94" customFormat="1" ht="15" customHeight="1">
      <c r="A119" s="59"/>
      <c r="B119" s="762" t="s">
        <v>342</v>
      </c>
      <c r="C119" s="762"/>
      <c r="D119" s="762"/>
      <c r="E119" s="762"/>
      <c r="F119" s="762"/>
      <c r="G119" s="762"/>
      <c r="H119" s="762"/>
      <c r="I119" s="762"/>
      <c r="J119" s="59"/>
    </row>
    <row r="120" spans="1:10" s="94" customFormat="1" ht="15" customHeight="1">
      <c r="A120" s="59"/>
      <c r="B120" s="762" t="s">
        <v>343</v>
      </c>
      <c r="C120" s="762"/>
      <c r="D120" s="762"/>
      <c r="E120" s="762"/>
      <c r="F120" s="762"/>
      <c r="G120" s="762"/>
      <c r="H120" s="762"/>
      <c r="I120" s="762"/>
      <c r="J120" s="59"/>
    </row>
    <row r="121" spans="1:10" s="94" customFormat="1" ht="15" customHeight="1">
      <c r="A121" s="59"/>
      <c r="B121" s="714" t="s">
        <v>344</v>
      </c>
      <c r="C121" s="714"/>
      <c r="D121" s="714"/>
      <c r="E121" s="714"/>
      <c r="F121" s="714"/>
      <c r="G121" s="714"/>
      <c r="H121" s="714"/>
      <c r="I121" s="714"/>
      <c r="J121" s="59"/>
    </row>
    <row r="122" spans="1:10" s="94" customFormat="1" ht="15" customHeight="1">
      <c r="A122" s="59"/>
      <c r="B122" s="762" t="s">
        <v>345</v>
      </c>
      <c r="C122" s="762"/>
      <c r="D122" s="762"/>
      <c r="E122" s="762"/>
      <c r="F122" s="762"/>
      <c r="G122" s="762"/>
      <c r="H122" s="762"/>
      <c r="I122" s="762"/>
      <c r="J122" s="59"/>
    </row>
    <row r="123" spans="1:10" s="94" customFormat="1" ht="15" customHeight="1">
      <c r="A123" s="59"/>
      <c r="B123" s="762" t="s">
        <v>346</v>
      </c>
      <c r="C123" s="762"/>
      <c r="D123" s="762"/>
      <c r="E123" s="762"/>
      <c r="F123" s="762"/>
      <c r="G123" s="762"/>
      <c r="H123" s="762"/>
      <c r="I123" s="762"/>
      <c r="J123" s="59"/>
    </row>
    <row r="124" spans="1:10" s="94" customFormat="1" ht="15" customHeight="1">
      <c r="A124" s="59"/>
      <c r="B124" s="762" t="s">
        <v>347</v>
      </c>
      <c r="C124" s="762"/>
      <c r="D124" s="762"/>
      <c r="E124" s="762"/>
      <c r="F124" s="762"/>
      <c r="G124" s="762"/>
      <c r="H124" s="762"/>
      <c r="I124" s="762"/>
      <c r="J124" s="59"/>
    </row>
    <row r="125" spans="1:10" s="94" customFormat="1" ht="15" customHeight="1">
      <c r="A125" s="59"/>
      <c r="B125" s="762" t="s">
        <v>348</v>
      </c>
      <c r="C125" s="762"/>
      <c r="D125" s="762"/>
      <c r="E125" s="762"/>
      <c r="F125" s="762"/>
      <c r="G125" s="762"/>
      <c r="H125" s="762"/>
      <c r="I125" s="762"/>
      <c r="J125" s="59"/>
    </row>
    <row r="126" spans="1:10" s="94" customFormat="1" ht="4.5" customHeight="1">
      <c r="A126" s="59"/>
      <c r="B126" s="186"/>
      <c r="C126" s="186"/>
      <c r="D126" s="186"/>
      <c r="E126" s="186"/>
      <c r="F126" s="186"/>
      <c r="G126" s="186"/>
      <c r="H126" s="186"/>
      <c r="I126" s="186"/>
      <c r="J126" s="59"/>
    </row>
    <row r="127" spans="1:10" s="94" customFormat="1" ht="15" customHeight="1">
      <c r="A127" s="59"/>
      <c r="B127" s="713" t="s">
        <v>236</v>
      </c>
      <c r="C127" s="713"/>
      <c r="D127" s="713"/>
      <c r="E127" s="713"/>
      <c r="F127" s="713"/>
      <c r="G127" s="713"/>
      <c r="H127" s="713"/>
      <c r="I127" s="713"/>
      <c r="J127" s="59"/>
    </row>
    <row r="128" spans="1:10" s="94" customFormat="1" ht="15" customHeight="1">
      <c r="A128" s="59"/>
      <c r="B128" s="714" t="s">
        <v>237</v>
      </c>
      <c r="C128" s="714"/>
      <c r="D128" s="714"/>
      <c r="E128" s="714"/>
      <c r="F128" s="714"/>
      <c r="G128" s="714"/>
      <c r="H128" s="714"/>
      <c r="I128" s="714"/>
      <c r="J128" s="59"/>
    </row>
    <row r="129" spans="1:10" s="94" customFormat="1" ht="15" customHeight="1">
      <c r="A129" s="59"/>
      <c r="B129" s="714" t="s">
        <v>238</v>
      </c>
      <c r="C129" s="714"/>
      <c r="D129" s="714"/>
      <c r="E129" s="714"/>
      <c r="F129" s="714"/>
      <c r="G129" s="714"/>
      <c r="H129" s="714"/>
      <c r="I129" s="714"/>
      <c r="J129" s="59"/>
    </row>
    <row r="130" spans="1:10" s="94" customFormat="1" ht="15" customHeight="1">
      <c r="A130" s="59"/>
      <c r="B130" s="714" t="s">
        <v>349</v>
      </c>
      <c r="C130" s="714"/>
      <c r="D130" s="714"/>
      <c r="E130" s="714"/>
      <c r="F130" s="714"/>
      <c r="G130" s="714"/>
      <c r="H130" s="714"/>
      <c r="I130" s="714"/>
      <c r="J130" s="59"/>
    </row>
    <row r="131" spans="1:10" s="94" customFormat="1" ht="15" customHeight="1">
      <c r="A131" s="59"/>
      <c r="B131" s="714" t="s">
        <v>350</v>
      </c>
      <c r="C131" s="714"/>
      <c r="D131" s="714"/>
      <c r="E131" s="714"/>
      <c r="F131" s="714"/>
      <c r="G131" s="714"/>
      <c r="H131" s="714"/>
      <c r="I131" s="714"/>
      <c r="J131" s="59"/>
    </row>
    <row r="132" spans="1:10" s="94" customFormat="1" ht="15" customHeight="1">
      <c r="A132" s="59"/>
      <c r="B132" s="714" t="s">
        <v>351</v>
      </c>
      <c r="C132" s="714"/>
      <c r="D132" s="714"/>
      <c r="E132" s="714"/>
      <c r="F132" s="714"/>
      <c r="G132" s="714"/>
      <c r="H132" s="714"/>
      <c r="I132" s="714"/>
      <c r="J132" s="59"/>
    </row>
    <row r="133" spans="1:10" s="94" customFormat="1" ht="15" customHeight="1">
      <c r="A133" s="59"/>
      <c r="B133" s="762" t="s">
        <v>352</v>
      </c>
      <c r="C133" s="762"/>
      <c r="D133" s="762"/>
      <c r="E133" s="762"/>
      <c r="F133" s="762"/>
      <c r="G133" s="762"/>
      <c r="H133" s="762"/>
      <c r="I133" s="762"/>
      <c r="J133" s="59"/>
    </row>
    <row r="134" spans="1:10" s="94" customFormat="1" ht="15" customHeight="1">
      <c r="A134" s="59"/>
      <c r="B134" s="762" t="s">
        <v>353</v>
      </c>
      <c r="C134" s="762"/>
      <c r="D134" s="762"/>
      <c r="E134" s="762"/>
      <c r="F134" s="762"/>
      <c r="G134" s="762"/>
      <c r="H134" s="762"/>
      <c r="I134" s="762"/>
      <c r="J134" s="59"/>
    </row>
    <row r="135" spans="1:10" s="94" customFormat="1" ht="15" customHeight="1">
      <c r="A135" s="59"/>
      <c r="B135" s="714" t="s">
        <v>239</v>
      </c>
      <c r="C135" s="714"/>
      <c r="D135" s="714"/>
      <c r="E135" s="714"/>
      <c r="F135" s="714"/>
      <c r="G135" s="714"/>
      <c r="H135" s="714"/>
      <c r="I135" s="714"/>
      <c r="J135" s="59"/>
    </row>
    <row r="136" spans="1:10" s="94" customFormat="1" ht="15" customHeight="1">
      <c r="A136" s="59"/>
      <c r="B136" s="714" t="s">
        <v>354</v>
      </c>
      <c r="C136" s="714"/>
      <c r="D136" s="714"/>
      <c r="E136" s="714"/>
      <c r="F136" s="714"/>
      <c r="G136" s="714"/>
      <c r="H136" s="714"/>
      <c r="I136" s="714"/>
      <c r="J136" s="59"/>
    </row>
    <row r="137" spans="1:10" s="94" customFormat="1" ht="15" customHeight="1">
      <c r="A137" s="59"/>
      <c r="B137" s="714" t="s">
        <v>355</v>
      </c>
      <c r="C137" s="714"/>
      <c r="D137" s="714"/>
      <c r="E137" s="714"/>
      <c r="F137" s="714"/>
      <c r="G137" s="714"/>
      <c r="H137" s="714"/>
      <c r="I137" s="714"/>
      <c r="J137" s="59"/>
    </row>
    <row r="138" spans="1:10" s="94" customFormat="1" ht="15" customHeight="1">
      <c r="A138" s="59"/>
      <c r="B138" s="714" t="s">
        <v>356</v>
      </c>
      <c r="C138" s="714"/>
      <c r="D138" s="714"/>
      <c r="E138" s="714"/>
      <c r="F138" s="714"/>
      <c r="G138" s="714"/>
      <c r="H138" s="714"/>
      <c r="I138" s="714"/>
      <c r="J138" s="59"/>
    </row>
    <row r="139" spans="1:10" s="94" customFormat="1" ht="15" customHeight="1">
      <c r="A139" s="59"/>
      <c r="B139" s="714" t="s">
        <v>240</v>
      </c>
      <c r="C139" s="714"/>
      <c r="D139" s="714"/>
      <c r="E139" s="714"/>
      <c r="F139" s="714"/>
      <c r="G139" s="714"/>
      <c r="H139" s="714"/>
      <c r="I139" s="714"/>
      <c r="J139" s="59"/>
    </row>
    <row r="140" spans="1:10" s="94" customFormat="1" ht="15" customHeight="1">
      <c r="A140" s="59"/>
      <c r="B140" s="714" t="s">
        <v>241</v>
      </c>
      <c r="C140" s="714"/>
      <c r="D140" s="714"/>
      <c r="E140" s="714"/>
      <c r="F140" s="714"/>
      <c r="G140" s="714"/>
      <c r="H140" s="714"/>
      <c r="I140" s="714"/>
      <c r="J140" s="59"/>
    </row>
    <row r="141" spans="1:10" s="94" customFormat="1" ht="15" customHeight="1">
      <c r="A141" s="59"/>
      <c r="B141" s="714" t="s">
        <v>357</v>
      </c>
      <c r="C141" s="714"/>
      <c r="D141" s="714"/>
      <c r="E141" s="714"/>
      <c r="F141" s="714"/>
      <c r="G141" s="714"/>
      <c r="H141" s="714"/>
      <c r="I141" s="714"/>
      <c r="J141" s="59"/>
    </row>
    <row r="142" spans="1:10" s="94" customFormat="1" ht="15" customHeight="1">
      <c r="A142" s="59"/>
      <c r="B142" s="714" t="s">
        <v>358</v>
      </c>
      <c r="C142" s="714"/>
      <c r="D142" s="714"/>
      <c r="E142" s="714"/>
      <c r="F142" s="714"/>
      <c r="G142" s="714"/>
      <c r="H142" s="714"/>
      <c r="I142" s="714"/>
      <c r="J142" s="59"/>
    </row>
    <row r="143" spans="1:10" s="94" customFormat="1" ht="15" customHeight="1">
      <c r="A143" s="59"/>
      <c r="B143" s="714" t="s">
        <v>242</v>
      </c>
      <c r="C143" s="714"/>
      <c r="D143" s="714"/>
      <c r="E143" s="714"/>
      <c r="F143" s="714"/>
      <c r="G143" s="714"/>
      <c r="H143" s="714"/>
      <c r="I143" s="714"/>
      <c r="J143" s="59"/>
    </row>
    <row r="144" spans="1:10" s="94" customFormat="1" ht="15" customHeight="1">
      <c r="A144" s="59"/>
      <c r="B144" s="714" t="s">
        <v>359</v>
      </c>
      <c r="C144" s="714"/>
      <c r="D144" s="714"/>
      <c r="E144" s="714"/>
      <c r="F144" s="714"/>
      <c r="G144" s="714"/>
      <c r="H144" s="714"/>
      <c r="I144" s="714"/>
      <c r="J144" s="59"/>
    </row>
    <row r="145" spans="1:10" s="94" customFormat="1" ht="15" customHeight="1">
      <c r="A145" s="59"/>
      <c r="B145" s="714" t="s">
        <v>360</v>
      </c>
      <c r="C145" s="714"/>
      <c r="D145" s="714"/>
      <c r="E145" s="714"/>
      <c r="F145" s="714"/>
      <c r="G145" s="714"/>
      <c r="H145" s="714"/>
      <c r="I145" s="714"/>
      <c r="J145" s="59"/>
    </row>
    <row r="146" spans="1:10" s="94" customFormat="1" ht="15" customHeight="1">
      <c r="A146" s="59"/>
      <c r="B146" s="714" t="s">
        <v>361</v>
      </c>
      <c r="C146" s="714"/>
      <c r="D146" s="714"/>
      <c r="E146" s="714"/>
      <c r="F146" s="714"/>
      <c r="G146" s="714"/>
      <c r="H146" s="714"/>
      <c r="I146" s="714"/>
      <c r="J146" s="59"/>
    </row>
    <row r="147" spans="1:10" s="94" customFormat="1" ht="15" customHeight="1">
      <c r="A147" s="59"/>
      <c r="B147" s="714" t="s">
        <v>362</v>
      </c>
      <c r="C147" s="714"/>
      <c r="D147" s="714"/>
      <c r="E147" s="714"/>
      <c r="F147" s="714"/>
      <c r="G147" s="714"/>
      <c r="H147" s="714"/>
      <c r="I147" s="714"/>
      <c r="J147" s="59"/>
    </row>
    <row r="148" spans="1:10" s="94" customFormat="1" ht="15" customHeight="1">
      <c r="A148" s="59"/>
      <c r="B148" s="714" t="s">
        <v>363</v>
      </c>
      <c r="C148" s="714"/>
      <c r="D148" s="714"/>
      <c r="E148" s="714"/>
      <c r="F148" s="714"/>
      <c r="G148" s="714"/>
      <c r="H148" s="714"/>
      <c r="I148" s="714"/>
      <c r="J148" s="59"/>
    </row>
    <row r="149" spans="1:10" s="94" customFormat="1" ht="15" customHeight="1">
      <c r="A149" s="59"/>
      <c r="B149" s="714" t="s">
        <v>243</v>
      </c>
      <c r="C149" s="714"/>
      <c r="D149" s="714"/>
      <c r="E149" s="714"/>
      <c r="F149" s="714"/>
      <c r="G149" s="714"/>
      <c r="H149" s="714"/>
      <c r="I149" s="714"/>
      <c r="J149" s="59"/>
    </row>
    <row r="150" spans="1:10" s="94" customFormat="1" ht="15" customHeight="1">
      <c r="A150" s="59"/>
      <c r="B150" s="714" t="s">
        <v>244</v>
      </c>
      <c r="C150" s="714"/>
      <c r="D150" s="714"/>
      <c r="E150" s="714"/>
      <c r="F150" s="714"/>
      <c r="G150" s="714"/>
      <c r="H150" s="714"/>
      <c r="I150" s="714"/>
      <c r="J150" s="59"/>
    </row>
    <row r="151" spans="1:10" s="94" customFormat="1" ht="15" customHeight="1">
      <c r="A151" s="59"/>
      <c r="B151" s="714" t="s">
        <v>245</v>
      </c>
      <c r="C151" s="714"/>
      <c r="D151" s="714"/>
      <c r="E151" s="714"/>
      <c r="F151" s="714"/>
      <c r="G151" s="714"/>
      <c r="H151" s="714"/>
      <c r="I151" s="714"/>
      <c r="J151" s="59"/>
    </row>
    <row r="152" spans="1:10" s="94" customFormat="1" ht="15" customHeight="1">
      <c r="A152" s="59"/>
      <c r="B152" s="762" t="s">
        <v>246</v>
      </c>
      <c r="C152" s="762"/>
      <c r="D152" s="762"/>
      <c r="E152" s="762"/>
      <c r="F152" s="762"/>
      <c r="G152" s="762"/>
      <c r="H152" s="762"/>
      <c r="I152" s="762"/>
      <c r="J152" s="59"/>
    </row>
    <row r="153" spans="1:10" s="94" customFormat="1" ht="15" customHeight="1">
      <c r="A153" s="59"/>
      <c r="B153" s="762" t="s">
        <v>247</v>
      </c>
      <c r="C153" s="762"/>
      <c r="D153" s="762"/>
      <c r="E153" s="762"/>
      <c r="F153" s="762"/>
      <c r="G153" s="762"/>
      <c r="H153" s="762"/>
      <c r="I153" s="762"/>
      <c r="J153" s="59"/>
    </row>
    <row r="154" spans="1:10" s="94" customFormat="1" ht="15" customHeight="1">
      <c r="A154" s="59"/>
      <c r="B154" s="762" t="s">
        <v>248</v>
      </c>
      <c r="C154" s="762"/>
      <c r="D154" s="762"/>
      <c r="E154" s="762"/>
      <c r="F154" s="762"/>
      <c r="G154" s="762"/>
      <c r="H154" s="762"/>
      <c r="I154" s="762"/>
      <c r="J154" s="59"/>
    </row>
    <row r="155" spans="1:10" s="94" customFormat="1" ht="4.5" customHeight="1">
      <c r="A155" s="59"/>
      <c r="B155" s="186"/>
      <c r="C155" s="186"/>
      <c r="D155" s="186"/>
      <c r="E155" s="186"/>
      <c r="F155" s="186"/>
      <c r="G155" s="186"/>
      <c r="H155" s="186"/>
      <c r="I155" s="186"/>
      <c r="J155" s="59"/>
    </row>
    <row r="156" spans="1:10" s="94" customFormat="1" ht="15" customHeight="1">
      <c r="A156" s="59"/>
      <c r="B156" s="713" t="s">
        <v>249</v>
      </c>
      <c r="C156" s="713"/>
      <c r="D156" s="713"/>
      <c r="E156" s="713"/>
      <c r="F156" s="713"/>
      <c r="G156" s="713"/>
      <c r="H156" s="713"/>
      <c r="I156" s="713"/>
      <c r="J156" s="192"/>
    </row>
    <row r="157" spans="1:10" s="94" customFormat="1" ht="15" customHeight="1">
      <c r="A157" s="59"/>
      <c r="B157" s="714" t="s">
        <v>250</v>
      </c>
      <c r="C157" s="714"/>
      <c r="D157" s="714"/>
      <c r="E157" s="714"/>
      <c r="F157" s="714"/>
      <c r="G157" s="714"/>
      <c r="H157" s="714"/>
      <c r="I157" s="714"/>
      <c r="J157" s="59"/>
    </row>
    <row r="158" spans="1:10" s="94" customFormat="1" ht="15" customHeight="1">
      <c r="A158" s="59"/>
      <c r="B158" s="714" t="s">
        <v>364</v>
      </c>
      <c r="C158" s="714"/>
      <c r="D158" s="714"/>
      <c r="E158" s="714"/>
      <c r="F158" s="714"/>
      <c r="G158" s="714"/>
      <c r="H158" s="714"/>
      <c r="I158" s="714"/>
      <c r="J158" s="59"/>
    </row>
    <row r="159" spans="1:10" s="94" customFormat="1" ht="15" customHeight="1">
      <c r="A159" s="59"/>
      <c r="B159" s="714" t="s">
        <v>365</v>
      </c>
      <c r="C159" s="714"/>
      <c r="D159" s="714"/>
      <c r="E159" s="714"/>
      <c r="F159" s="714"/>
      <c r="G159" s="714"/>
      <c r="H159" s="714"/>
      <c r="I159" s="714"/>
      <c r="J159" s="59"/>
    </row>
    <row r="160" spans="1:10" s="94" customFormat="1" ht="15" customHeight="1">
      <c r="A160" s="59"/>
      <c r="B160" s="714" t="s">
        <v>251</v>
      </c>
      <c r="C160" s="714"/>
      <c r="D160" s="714"/>
      <c r="E160" s="714"/>
      <c r="F160" s="714"/>
      <c r="G160" s="714"/>
      <c r="H160" s="714"/>
      <c r="I160" s="714"/>
      <c r="J160" s="59"/>
    </row>
    <row r="161" spans="1:10" s="94" customFormat="1" ht="15" customHeight="1">
      <c r="A161" s="59"/>
      <c r="B161" s="714" t="s">
        <v>366</v>
      </c>
      <c r="C161" s="714"/>
      <c r="D161" s="714"/>
      <c r="E161" s="714"/>
      <c r="F161" s="714"/>
      <c r="G161" s="714"/>
      <c r="H161" s="714"/>
      <c r="I161" s="714"/>
      <c r="J161" s="59"/>
    </row>
    <row r="162" spans="1:10" s="94" customFormat="1" ht="24" customHeight="1">
      <c r="A162" s="59"/>
      <c r="B162" s="59"/>
      <c r="C162" s="58"/>
      <c r="D162" s="778" t="s">
        <v>252</v>
      </c>
      <c r="E162" s="778"/>
      <c r="F162" s="778"/>
      <c r="G162" s="778"/>
      <c r="H162" s="58"/>
      <c r="I162" s="58"/>
      <c r="J162" s="58"/>
    </row>
    <row r="163" spans="1:10" s="94" customFormat="1" ht="15" customHeight="1">
      <c r="A163" s="59"/>
      <c r="B163" s="59"/>
      <c r="C163" s="58"/>
      <c r="D163" s="779" t="s">
        <v>253</v>
      </c>
      <c r="E163" s="779"/>
      <c r="F163" s="779"/>
      <c r="G163" s="779"/>
      <c r="H163" s="58"/>
      <c r="I163" s="58"/>
      <c r="J163" s="58"/>
    </row>
    <row r="164" spans="1:10" s="94" customFormat="1" ht="9" customHeight="1">
      <c r="A164" s="59"/>
      <c r="B164" s="59"/>
      <c r="C164" s="58"/>
      <c r="D164" s="189"/>
      <c r="E164" s="189"/>
      <c r="F164" s="189"/>
      <c r="G164" s="189"/>
      <c r="H164" s="58"/>
      <c r="I164" s="58"/>
      <c r="J164" s="58"/>
    </row>
    <row r="165" spans="1:10" s="94" customFormat="1" ht="15" customHeight="1">
      <c r="A165" s="59"/>
      <c r="B165" s="713" t="s">
        <v>254</v>
      </c>
      <c r="C165" s="713"/>
      <c r="D165" s="713"/>
      <c r="E165" s="713"/>
      <c r="F165" s="713"/>
      <c r="G165" s="713"/>
      <c r="H165" s="713"/>
      <c r="I165" s="713"/>
      <c r="J165" s="59"/>
    </row>
    <row r="166" spans="1:10" s="94" customFormat="1" ht="15" customHeight="1">
      <c r="A166" s="59"/>
      <c r="B166" s="714" t="s">
        <v>255</v>
      </c>
      <c r="C166" s="714"/>
      <c r="D166" s="714"/>
      <c r="E166" s="714"/>
      <c r="F166" s="714"/>
      <c r="G166" s="714"/>
      <c r="H166" s="714"/>
      <c r="I166" s="714"/>
      <c r="J166" s="59"/>
    </row>
    <row r="167" spans="1:10" s="94" customFormat="1" ht="15" customHeight="1">
      <c r="A167" s="59"/>
      <c r="B167" s="714" t="s">
        <v>367</v>
      </c>
      <c r="C167" s="714"/>
      <c r="D167" s="714"/>
      <c r="E167" s="714"/>
      <c r="F167" s="714"/>
      <c r="G167" s="714"/>
      <c r="H167" s="714"/>
      <c r="I167" s="714"/>
      <c r="J167" s="59"/>
    </row>
    <row r="168" spans="1:10" s="94" customFormat="1" ht="15" customHeight="1">
      <c r="A168" s="59"/>
      <c r="B168" s="714" t="s">
        <v>368</v>
      </c>
      <c r="C168" s="714"/>
      <c r="D168" s="714"/>
      <c r="E168" s="714"/>
      <c r="F168" s="714"/>
      <c r="G168" s="714"/>
      <c r="H168" s="714"/>
      <c r="I168" s="714"/>
      <c r="J168" s="59"/>
    </row>
    <row r="169" spans="1:10" s="94" customFormat="1" ht="15" customHeight="1">
      <c r="A169" s="59"/>
      <c r="B169" s="713" t="s">
        <v>256</v>
      </c>
      <c r="C169" s="713"/>
      <c r="D169" s="713"/>
      <c r="E169" s="713"/>
      <c r="F169" s="713"/>
      <c r="G169" s="713"/>
      <c r="H169" s="713"/>
      <c r="I169" s="713"/>
      <c r="J169" s="59"/>
    </row>
    <row r="170" spans="1:10" s="94" customFormat="1" ht="15" customHeight="1">
      <c r="A170" s="59"/>
      <c r="B170" s="714" t="s">
        <v>257</v>
      </c>
      <c r="C170" s="714"/>
      <c r="D170" s="714"/>
      <c r="E170" s="714"/>
      <c r="F170" s="714"/>
      <c r="G170" s="714"/>
      <c r="H170" s="714"/>
      <c r="I170" s="714"/>
      <c r="J170" s="59"/>
    </row>
    <row r="171" spans="1:10" s="94" customFormat="1" ht="15" customHeight="1">
      <c r="A171" s="59"/>
      <c r="B171" s="714" t="s">
        <v>258</v>
      </c>
      <c r="C171" s="714"/>
      <c r="D171" s="714"/>
      <c r="E171" s="714"/>
      <c r="F171" s="714"/>
      <c r="G171" s="714"/>
      <c r="H171" s="714"/>
      <c r="I171" s="714"/>
      <c r="J171" s="59"/>
    </row>
    <row r="172" spans="1:10" s="94" customFormat="1" ht="15" customHeight="1">
      <c r="A172" s="59"/>
      <c r="B172" s="762" t="s">
        <v>259</v>
      </c>
      <c r="C172" s="762"/>
      <c r="D172" s="762"/>
      <c r="E172" s="762"/>
      <c r="F172" s="762"/>
      <c r="G172" s="762"/>
      <c r="H172" s="762"/>
      <c r="I172" s="762"/>
      <c r="J172" s="59"/>
    </row>
    <row r="173" spans="1:10" s="94" customFormat="1" ht="15" customHeight="1">
      <c r="A173" s="59"/>
      <c r="B173" s="762" t="s">
        <v>260</v>
      </c>
      <c r="C173" s="762"/>
      <c r="D173" s="762"/>
      <c r="E173" s="762"/>
      <c r="F173" s="762"/>
      <c r="G173" s="762"/>
      <c r="H173" s="762"/>
      <c r="I173" s="762"/>
      <c r="J173" s="59"/>
    </row>
    <row r="174" spans="1:10" s="94" customFormat="1" ht="15" customHeight="1">
      <c r="A174" s="59"/>
      <c r="B174" s="714" t="s">
        <v>261</v>
      </c>
      <c r="C174" s="714"/>
      <c r="D174" s="714"/>
      <c r="E174" s="714"/>
      <c r="F174" s="714"/>
      <c r="G174" s="714"/>
      <c r="H174" s="714"/>
      <c r="I174" s="714"/>
      <c r="J174" s="59"/>
    </row>
    <row r="175" spans="1:10" s="94" customFormat="1" ht="15" customHeight="1">
      <c r="A175" s="59"/>
      <c r="B175" s="714" t="s">
        <v>262</v>
      </c>
      <c r="C175" s="714"/>
      <c r="D175" s="714"/>
      <c r="E175" s="714"/>
      <c r="F175" s="714"/>
      <c r="G175" s="714"/>
      <c r="H175" s="714"/>
      <c r="I175" s="714"/>
      <c r="J175" s="59"/>
    </row>
    <row r="176" spans="1:10" s="94" customFormat="1" ht="15" customHeight="1">
      <c r="A176" s="59"/>
      <c r="B176" s="762" t="s">
        <v>369</v>
      </c>
      <c r="C176" s="762"/>
      <c r="D176" s="762"/>
      <c r="E176" s="762"/>
      <c r="F176" s="762"/>
      <c r="G176" s="762"/>
      <c r="H176" s="762"/>
      <c r="I176" s="762"/>
      <c r="J176" s="59"/>
    </row>
    <row r="177" spans="1:10" s="94" customFormat="1" ht="15" customHeight="1">
      <c r="A177" s="59"/>
      <c r="B177" s="762" t="s">
        <v>370</v>
      </c>
      <c r="C177" s="762"/>
      <c r="D177" s="762"/>
      <c r="E177" s="762"/>
      <c r="F177" s="762"/>
      <c r="G177" s="762"/>
      <c r="H177" s="762"/>
      <c r="I177" s="762"/>
      <c r="J177" s="192"/>
    </row>
    <row r="178" spans="1:10" s="104" customFormat="1" ht="15" customHeight="1">
      <c r="B178" s="762" t="s">
        <v>371</v>
      </c>
      <c r="C178" s="762"/>
      <c r="D178" s="762"/>
      <c r="E178" s="762"/>
      <c r="F178" s="762"/>
      <c r="G178" s="762"/>
      <c r="H178" s="762"/>
      <c r="I178" s="762"/>
      <c r="J178" s="192"/>
    </row>
    <row r="179" spans="1:10" s="59" customFormat="1" ht="15" customHeight="1">
      <c r="B179" s="762" t="s">
        <v>372</v>
      </c>
      <c r="C179" s="762"/>
      <c r="D179" s="762"/>
      <c r="E179" s="762"/>
      <c r="F179" s="762"/>
      <c r="G179" s="762"/>
      <c r="H179" s="762"/>
      <c r="I179" s="762"/>
      <c r="J179" s="94"/>
    </row>
    <row r="180" spans="1:10" s="59" customFormat="1" ht="15" customHeight="1">
      <c r="B180" s="714" t="s">
        <v>263</v>
      </c>
      <c r="C180" s="714"/>
      <c r="D180" s="714"/>
      <c r="E180" s="714"/>
      <c r="F180" s="714"/>
      <c r="G180" s="714"/>
      <c r="H180" s="714"/>
      <c r="I180" s="714"/>
      <c r="J180" s="94"/>
    </row>
    <row r="181" spans="1:10" s="59" customFormat="1" ht="15" customHeight="1">
      <c r="B181" s="714" t="s">
        <v>375</v>
      </c>
      <c r="C181" s="714"/>
      <c r="D181" s="714"/>
      <c r="E181" s="714"/>
      <c r="F181" s="714"/>
      <c r="G181" s="714"/>
      <c r="H181" s="714"/>
      <c r="I181" s="714"/>
      <c r="J181" s="94"/>
    </row>
    <row r="182" spans="1:10" s="59" customFormat="1" ht="15" customHeight="1">
      <c r="B182" s="762" t="s">
        <v>376</v>
      </c>
      <c r="C182" s="762"/>
      <c r="D182" s="762"/>
      <c r="E182" s="762"/>
      <c r="F182" s="762"/>
      <c r="G182" s="762"/>
      <c r="H182" s="762"/>
      <c r="I182" s="762"/>
      <c r="J182" s="94"/>
    </row>
    <row r="183" spans="1:10" s="59" customFormat="1" ht="15" customHeight="1">
      <c r="B183" s="762" t="s">
        <v>373</v>
      </c>
      <c r="C183" s="762"/>
      <c r="D183" s="762"/>
      <c r="E183" s="762"/>
      <c r="F183" s="762"/>
      <c r="G183" s="762"/>
      <c r="H183" s="762"/>
      <c r="I183" s="762"/>
      <c r="J183" s="94"/>
    </row>
    <row r="184" spans="1:10" s="59" customFormat="1" ht="15" customHeight="1">
      <c r="B184" s="762" t="s">
        <v>374</v>
      </c>
      <c r="C184" s="762"/>
      <c r="D184" s="762"/>
      <c r="E184" s="762"/>
      <c r="F184" s="762"/>
      <c r="G184" s="762"/>
      <c r="H184" s="762"/>
      <c r="I184" s="762"/>
      <c r="J184" s="94"/>
    </row>
    <row r="185" spans="1:10" s="59" customFormat="1" ht="15" customHeight="1">
      <c r="B185" s="714" t="s">
        <v>264</v>
      </c>
      <c r="C185" s="714"/>
      <c r="D185" s="714"/>
      <c r="E185" s="714"/>
      <c r="F185" s="714"/>
      <c r="G185" s="714"/>
      <c r="H185" s="714"/>
      <c r="I185" s="714"/>
      <c r="J185" s="93"/>
    </row>
    <row r="186" spans="1:10" s="59" customFormat="1" ht="15" customHeight="1">
      <c r="B186" s="762" t="s">
        <v>265</v>
      </c>
      <c r="C186" s="762"/>
      <c r="D186" s="762"/>
      <c r="E186" s="762"/>
      <c r="F186" s="762"/>
      <c r="G186" s="762"/>
      <c r="H186" s="762"/>
      <c r="I186" s="762"/>
      <c r="J186" s="94"/>
    </row>
    <row r="187" spans="1:10" s="59" customFormat="1" ht="15" customHeight="1">
      <c r="B187" s="714" t="s">
        <v>377</v>
      </c>
      <c r="C187" s="714"/>
      <c r="D187" s="714"/>
      <c r="E187" s="714"/>
      <c r="F187" s="714"/>
      <c r="G187" s="714"/>
      <c r="H187" s="714"/>
      <c r="I187" s="714"/>
      <c r="J187" s="94"/>
    </row>
    <row r="188" spans="1:10" s="59" customFormat="1" ht="15" customHeight="1">
      <c r="B188" s="762" t="s">
        <v>378</v>
      </c>
      <c r="C188" s="762"/>
      <c r="D188" s="762"/>
      <c r="E188" s="762"/>
      <c r="F188" s="762"/>
      <c r="G188" s="762"/>
      <c r="H188" s="762"/>
      <c r="I188" s="762"/>
      <c r="J188" s="94"/>
    </row>
    <row r="189" spans="1:10" s="94" customFormat="1" ht="15" customHeight="1">
      <c r="A189" s="59"/>
      <c r="B189" s="714" t="s">
        <v>266</v>
      </c>
      <c r="C189" s="714"/>
      <c r="D189" s="714"/>
      <c r="E189" s="714"/>
      <c r="F189" s="714"/>
      <c r="G189" s="714"/>
      <c r="H189" s="714"/>
      <c r="I189" s="714"/>
      <c r="J189" s="59"/>
    </row>
    <row r="190" spans="1:10" s="94" customFormat="1" ht="15" customHeight="1">
      <c r="A190" s="59"/>
      <c r="B190" s="762" t="s">
        <v>267</v>
      </c>
      <c r="C190" s="762"/>
      <c r="D190" s="762"/>
      <c r="E190" s="762"/>
      <c r="F190" s="762"/>
      <c r="G190" s="762"/>
      <c r="H190" s="762"/>
      <c r="I190" s="762"/>
      <c r="J190" s="59"/>
    </row>
    <row r="191" spans="1:10" s="94" customFormat="1" ht="15" customHeight="1">
      <c r="A191" s="59"/>
      <c r="B191" s="714" t="s">
        <v>268</v>
      </c>
      <c r="C191" s="714"/>
      <c r="D191" s="714"/>
      <c r="E191" s="714"/>
      <c r="F191" s="714"/>
      <c r="G191" s="714"/>
      <c r="H191" s="714"/>
      <c r="I191" s="714"/>
      <c r="J191" s="59"/>
    </row>
    <row r="192" spans="1:10" s="94" customFormat="1" ht="15" customHeight="1">
      <c r="A192" s="59"/>
      <c r="B192" s="714" t="s">
        <v>379</v>
      </c>
      <c r="C192" s="714"/>
      <c r="D192" s="714"/>
      <c r="E192" s="714"/>
      <c r="F192" s="714"/>
      <c r="G192" s="714"/>
      <c r="H192" s="714"/>
      <c r="I192" s="714"/>
      <c r="J192" s="59"/>
    </row>
    <row r="193" spans="1:10" s="94" customFormat="1" ht="15" customHeight="1">
      <c r="A193" s="59"/>
      <c r="B193" s="714" t="s">
        <v>380</v>
      </c>
      <c r="C193" s="714"/>
      <c r="D193" s="714"/>
      <c r="E193" s="714"/>
      <c r="F193" s="714"/>
      <c r="G193" s="714"/>
      <c r="H193" s="714"/>
      <c r="I193" s="714"/>
      <c r="J193" s="59"/>
    </row>
    <row r="194" spans="1:10" s="94" customFormat="1" ht="15" customHeight="1">
      <c r="A194" s="59"/>
      <c r="B194" s="714" t="s">
        <v>381</v>
      </c>
      <c r="C194" s="714"/>
      <c r="D194" s="714"/>
      <c r="E194" s="714"/>
      <c r="F194" s="714"/>
      <c r="G194" s="714"/>
      <c r="H194" s="714"/>
      <c r="I194" s="714"/>
      <c r="J194" s="59"/>
    </row>
    <row r="195" spans="1:10" s="94" customFormat="1" ht="15" customHeight="1">
      <c r="A195" s="59"/>
      <c r="B195" s="762" t="s">
        <v>269</v>
      </c>
      <c r="C195" s="762"/>
      <c r="D195" s="762"/>
      <c r="E195" s="762"/>
      <c r="F195" s="762"/>
      <c r="G195" s="762"/>
      <c r="H195" s="762"/>
      <c r="I195" s="762"/>
      <c r="J195" s="59"/>
    </row>
    <row r="196" spans="1:10" s="94" customFormat="1" ht="15" customHeight="1">
      <c r="A196" s="59"/>
      <c r="B196" s="714" t="s">
        <v>382</v>
      </c>
      <c r="C196" s="714"/>
      <c r="D196" s="714"/>
      <c r="E196" s="714"/>
      <c r="F196" s="714"/>
      <c r="G196" s="714"/>
      <c r="H196" s="714"/>
      <c r="I196" s="714"/>
      <c r="J196" s="59"/>
    </row>
    <row r="197" spans="1:10" s="94" customFormat="1" ht="15" customHeight="1">
      <c r="A197" s="59"/>
      <c r="B197" s="714" t="s">
        <v>383</v>
      </c>
      <c r="C197" s="714"/>
      <c r="D197" s="714"/>
      <c r="E197" s="714"/>
      <c r="F197" s="714"/>
      <c r="G197" s="714"/>
      <c r="H197" s="714"/>
      <c r="I197" s="714"/>
      <c r="J197" s="59"/>
    </row>
    <row r="198" spans="1:10" s="94" customFormat="1" ht="15" customHeight="1">
      <c r="A198" s="59"/>
      <c r="B198" s="714" t="s">
        <v>270</v>
      </c>
      <c r="C198" s="714"/>
      <c r="D198" s="714"/>
      <c r="E198" s="714"/>
      <c r="F198" s="714"/>
      <c r="G198" s="714"/>
      <c r="H198" s="714"/>
      <c r="I198" s="714"/>
      <c r="J198" s="59"/>
    </row>
    <row r="199" spans="1:10" s="94" customFormat="1" ht="15" customHeight="1">
      <c r="A199" s="59"/>
      <c r="B199" s="713" t="s">
        <v>271</v>
      </c>
      <c r="C199" s="713"/>
      <c r="D199" s="713"/>
      <c r="E199" s="713"/>
      <c r="F199" s="713"/>
      <c r="G199" s="713"/>
      <c r="H199" s="713"/>
      <c r="I199" s="713"/>
      <c r="J199" s="59"/>
    </row>
    <row r="200" spans="1:10" s="94" customFormat="1" ht="15" customHeight="1">
      <c r="A200" s="59"/>
      <c r="B200" s="713" t="s">
        <v>384</v>
      </c>
      <c r="C200" s="713"/>
      <c r="D200" s="713"/>
      <c r="E200" s="713"/>
      <c r="F200" s="713"/>
      <c r="G200" s="713"/>
      <c r="H200" s="713"/>
      <c r="I200" s="713"/>
      <c r="J200" s="59"/>
    </row>
    <row r="201" spans="1:10" s="94" customFormat="1" ht="15" customHeight="1">
      <c r="A201" s="59"/>
      <c r="B201" s="714" t="s">
        <v>272</v>
      </c>
      <c r="C201" s="714"/>
      <c r="D201" s="714"/>
      <c r="E201" s="714"/>
      <c r="F201" s="714"/>
      <c r="G201" s="714"/>
      <c r="H201" s="714"/>
      <c r="I201" s="714"/>
      <c r="J201" s="59"/>
    </row>
    <row r="202" spans="1:10" s="94" customFormat="1" ht="15" customHeight="1">
      <c r="A202" s="59"/>
      <c r="B202" s="714" t="s">
        <v>387</v>
      </c>
      <c r="C202" s="714"/>
      <c r="D202" s="714"/>
      <c r="E202" s="714"/>
      <c r="F202" s="714"/>
      <c r="G202" s="714"/>
      <c r="H202" s="714"/>
      <c r="I202" s="714"/>
      <c r="J202" s="59"/>
    </row>
    <row r="203" spans="1:10" s="94" customFormat="1" ht="15" customHeight="1">
      <c r="A203" s="59"/>
      <c r="B203" s="714" t="s">
        <v>388</v>
      </c>
      <c r="C203" s="714"/>
      <c r="D203" s="714"/>
      <c r="E203" s="714"/>
      <c r="F203" s="714"/>
      <c r="G203" s="714"/>
      <c r="H203" s="714"/>
      <c r="I203" s="714"/>
      <c r="J203" s="59"/>
    </row>
    <row r="204" spans="1:10" s="94" customFormat="1" ht="15" customHeight="1">
      <c r="A204" s="59"/>
      <c r="B204" s="714" t="s">
        <v>273</v>
      </c>
      <c r="C204" s="714"/>
      <c r="D204" s="714"/>
      <c r="E204" s="714"/>
      <c r="F204" s="714"/>
      <c r="G204" s="714"/>
      <c r="H204" s="714"/>
      <c r="I204" s="714"/>
      <c r="J204" s="59"/>
    </row>
    <row r="205" spans="1:10" s="94" customFormat="1" ht="15" customHeight="1">
      <c r="A205" s="59"/>
      <c r="B205" s="714" t="s">
        <v>385</v>
      </c>
      <c r="C205" s="714"/>
      <c r="D205" s="714"/>
      <c r="E205" s="714"/>
      <c r="F205" s="714"/>
      <c r="G205" s="714"/>
      <c r="H205" s="714"/>
      <c r="I205" s="714"/>
      <c r="J205" s="59"/>
    </row>
    <row r="206" spans="1:10" s="94" customFormat="1" ht="15" customHeight="1">
      <c r="A206" s="59"/>
      <c r="B206" s="714" t="s">
        <v>386</v>
      </c>
      <c r="C206" s="714"/>
      <c r="D206" s="714"/>
      <c r="E206" s="714"/>
      <c r="F206" s="714"/>
      <c r="G206" s="714"/>
      <c r="H206" s="714"/>
      <c r="I206" s="714"/>
      <c r="J206" s="59"/>
    </row>
    <row r="207" spans="1:10" s="94" customFormat="1" ht="15" customHeight="1">
      <c r="A207" s="59"/>
      <c r="B207" s="714" t="s">
        <v>274</v>
      </c>
      <c r="C207" s="714"/>
      <c r="D207" s="714"/>
      <c r="E207" s="714"/>
      <c r="F207" s="714"/>
      <c r="G207" s="714"/>
      <c r="H207" s="714"/>
      <c r="I207" s="714"/>
      <c r="J207" s="59"/>
    </row>
    <row r="208" spans="1:10" s="94" customFormat="1" ht="15" customHeight="1">
      <c r="A208" s="59"/>
      <c r="B208" s="762" t="s">
        <v>275</v>
      </c>
      <c r="C208" s="762"/>
      <c r="D208" s="762"/>
      <c r="E208" s="762"/>
      <c r="F208" s="762"/>
      <c r="G208" s="762"/>
      <c r="H208" s="762"/>
      <c r="I208" s="762"/>
      <c r="J208" s="59"/>
    </row>
    <row r="209" spans="1:10" s="94" customFormat="1" ht="15" customHeight="1">
      <c r="A209" s="59"/>
      <c r="B209" s="713" t="s">
        <v>276</v>
      </c>
      <c r="C209" s="713"/>
      <c r="D209" s="713"/>
      <c r="E209" s="713"/>
      <c r="F209" s="713"/>
      <c r="G209" s="713"/>
      <c r="H209" s="713"/>
      <c r="I209" s="713"/>
      <c r="J209" s="59"/>
    </row>
    <row r="210" spans="1:10" s="94" customFormat="1" ht="15" customHeight="1">
      <c r="A210" s="59"/>
      <c r="B210" s="714" t="s">
        <v>389</v>
      </c>
      <c r="C210" s="714"/>
      <c r="D210" s="714"/>
      <c r="E210" s="714"/>
      <c r="F210" s="714"/>
      <c r="G210" s="714"/>
      <c r="H210" s="714"/>
      <c r="I210" s="714"/>
      <c r="J210" s="59"/>
    </row>
    <row r="211" spans="1:10" s="94" customFormat="1" ht="15" customHeight="1">
      <c r="A211" s="59"/>
      <c r="B211" s="714" t="s">
        <v>390</v>
      </c>
      <c r="C211" s="714"/>
      <c r="D211" s="714"/>
      <c r="E211" s="714"/>
      <c r="F211" s="714"/>
      <c r="G211" s="714"/>
      <c r="H211" s="714"/>
      <c r="I211" s="714"/>
      <c r="J211" s="59"/>
    </row>
    <row r="212" spans="1:10" s="94" customFormat="1" ht="15" customHeight="1">
      <c r="A212" s="59"/>
      <c r="B212" s="714" t="s">
        <v>277</v>
      </c>
      <c r="C212" s="714"/>
      <c r="D212" s="714"/>
      <c r="E212" s="714"/>
      <c r="F212" s="714"/>
      <c r="G212" s="714"/>
      <c r="H212" s="714"/>
      <c r="I212" s="714"/>
      <c r="J212" s="59"/>
    </row>
    <row r="213" spans="1:10" s="94" customFormat="1" ht="15" customHeight="1">
      <c r="A213" s="59"/>
      <c r="B213" s="714" t="s">
        <v>278</v>
      </c>
      <c r="C213" s="714"/>
      <c r="D213" s="714"/>
      <c r="E213" s="714"/>
      <c r="F213" s="714"/>
      <c r="G213" s="714"/>
      <c r="H213" s="714"/>
      <c r="I213" s="714"/>
      <c r="J213" s="59"/>
    </row>
    <row r="214" spans="1:10" s="94" customFormat="1" ht="15" customHeight="1">
      <c r="A214" s="59"/>
      <c r="B214" s="762" t="s">
        <v>391</v>
      </c>
      <c r="C214" s="762"/>
      <c r="D214" s="762"/>
      <c r="E214" s="762"/>
      <c r="F214" s="762"/>
      <c r="G214" s="762"/>
      <c r="H214" s="762"/>
      <c r="I214" s="762"/>
      <c r="J214" s="59"/>
    </row>
    <row r="215" spans="1:10" s="94" customFormat="1" ht="15" customHeight="1">
      <c r="A215" s="59"/>
      <c r="B215" s="762" t="s">
        <v>392</v>
      </c>
      <c r="C215" s="762"/>
      <c r="D215" s="762"/>
      <c r="E215" s="762"/>
      <c r="F215" s="762"/>
      <c r="G215" s="762"/>
      <c r="H215" s="762"/>
      <c r="I215" s="762"/>
      <c r="J215" s="59"/>
    </row>
    <row r="216" spans="1:10" s="94" customFormat="1" ht="15" customHeight="1">
      <c r="A216" s="59"/>
      <c r="B216" s="762" t="s">
        <v>393</v>
      </c>
      <c r="C216" s="762"/>
      <c r="D216" s="762"/>
      <c r="E216" s="762"/>
      <c r="F216" s="762"/>
      <c r="G216" s="762"/>
      <c r="H216" s="762"/>
      <c r="I216" s="762"/>
      <c r="J216" s="59"/>
    </row>
    <row r="217" spans="1:10" s="94" customFormat="1" ht="15" customHeight="1">
      <c r="A217" s="59"/>
      <c r="B217" s="762" t="s">
        <v>394</v>
      </c>
      <c r="C217" s="762"/>
      <c r="D217" s="762"/>
      <c r="E217" s="762"/>
      <c r="F217" s="762"/>
      <c r="G217" s="762"/>
      <c r="H217" s="762"/>
      <c r="I217" s="762"/>
    </row>
    <row r="218" spans="1:10" s="94" customFormat="1" ht="15" customHeight="1">
      <c r="A218" s="59"/>
      <c r="B218" s="714" t="s">
        <v>279</v>
      </c>
      <c r="C218" s="714"/>
      <c r="D218" s="714"/>
      <c r="E218" s="714"/>
      <c r="F218" s="714"/>
      <c r="G218" s="714"/>
      <c r="H218" s="714"/>
      <c r="I218" s="714"/>
    </row>
    <row r="219" spans="1:10" s="94" customFormat="1" ht="15" customHeight="1">
      <c r="A219" s="59"/>
      <c r="B219" s="714" t="s">
        <v>671</v>
      </c>
      <c r="C219" s="714"/>
      <c r="D219" s="714"/>
      <c r="E219" s="714"/>
      <c r="F219" s="714"/>
      <c r="G219" s="714"/>
      <c r="H219" s="714"/>
      <c r="I219" s="714"/>
    </row>
    <row r="220" spans="1:10" s="94" customFormat="1" ht="15" customHeight="1">
      <c r="A220" s="59"/>
      <c r="B220" s="714" t="s">
        <v>395</v>
      </c>
      <c r="C220" s="714"/>
      <c r="D220" s="714"/>
      <c r="E220" s="714"/>
      <c r="F220" s="714"/>
      <c r="G220" s="714"/>
      <c r="H220" s="714"/>
      <c r="I220" s="714"/>
    </row>
    <row r="221" spans="1:10" s="94" customFormat="1" ht="15" customHeight="1">
      <c r="A221" s="59"/>
      <c r="B221" s="762" t="s">
        <v>280</v>
      </c>
      <c r="C221" s="762"/>
      <c r="D221" s="762"/>
      <c r="E221" s="762"/>
      <c r="F221" s="762"/>
      <c r="G221" s="762"/>
      <c r="H221" s="762"/>
      <c r="I221" s="762"/>
    </row>
    <row r="222" spans="1:10" s="94" customFormat="1" ht="15" customHeight="1">
      <c r="A222" s="59"/>
      <c r="B222" s="762" t="s">
        <v>396</v>
      </c>
      <c r="C222" s="762"/>
      <c r="D222" s="762"/>
      <c r="E222" s="762"/>
      <c r="F222" s="762"/>
      <c r="G222" s="762"/>
      <c r="H222" s="762"/>
      <c r="I222" s="762"/>
    </row>
    <row r="223" spans="1:10" s="94" customFormat="1" ht="15" customHeight="1">
      <c r="A223" s="59"/>
      <c r="B223" s="762" t="s">
        <v>397</v>
      </c>
      <c r="C223" s="762"/>
      <c r="D223" s="762"/>
      <c r="E223" s="762"/>
      <c r="F223" s="762"/>
      <c r="G223" s="762"/>
      <c r="H223" s="762"/>
      <c r="I223" s="762"/>
      <c r="J223" s="192"/>
    </row>
    <row r="224" spans="1:10" s="94" customFormat="1" ht="15" customHeight="1">
      <c r="A224" s="59"/>
      <c r="B224" s="762" t="s">
        <v>398</v>
      </c>
      <c r="C224" s="762"/>
      <c r="D224" s="762"/>
      <c r="E224" s="762"/>
      <c r="F224" s="762"/>
      <c r="G224" s="762"/>
      <c r="H224" s="762"/>
      <c r="I224" s="762"/>
    </row>
    <row r="225" spans="1:10" s="94" customFormat="1" ht="15" customHeight="1">
      <c r="A225" s="59"/>
      <c r="B225" s="714" t="s">
        <v>399</v>
      </c>
      <c r="C225" s="714"/>
      <c r="D225" s="714"/>
      <c r="E225" s="714"/>
      <c r="F225" s="714"/>
      <c r="G225" s="714"/>
      <c r="H225" s="714"/>
      <c r="I225" s="714"/>
    </row>
    <row r="226" spans="1:10" s="94" customFormat="1" ht="15" customHeight="1">
      <c r="A226" s="59"/>
      <c r="B226" s="762" t="s">
        <v>400</v>
      </c>
      <c r="C226" s="762"/>
      <c r="D226" s="762"/>
      <c r="E226" s="762"/>
      <c r="F226" s="762"/>
      <c r="G226" s="762"/>
      <c r="H226" s="762"/>
      <c r="I226" s="762"/>
    </row>
    <row r="227" spans="1:10" s="94" customFormat="1" ht="15" customHeight="1">
      <c r="A227" s="59"/>
      <c r="B227" s="762" t="s">
        <v>401</v>
      </c>
      <c r="C227" s="762"/>
      <c r="D227" s="762"/>
      <c r="E227" s="762"/>
      <c r="F227" s="762"/>
      <c r="G227" s="762"/>
      <c r="H227" s="762"/>
      <c r="I227" s="762"/>
      <c r="J227" s="192"/>
    </row>
    <row r="228" spans="1:10" s="94" customFormat="1" ht="15" customHeight="1">
      <c r="A228" s="59"/>
      <c r="B228" s="713" t="s">
        <v>281</v>
      </c>
      <c r="C228" s="713"/>
      <c r="D228" s="713"/>
      <c r="E228" s="713"/>
      <c r="F228" s="713"/>
      <c r="G228" s="713"/>
      <c r="H228" s="713"/>
      <c r="I228" s="713"/>
      <c r="J228" s="59"/>
    </row>
    <row r="229" spans="1:10" s="94" customFormat="1" ht="15" customHeight="1">
      <c r="A229" s="59"/>
      <c r="B229" s="714" t="s">
        <v>402</v>
      </c>
      <c r="C229" s="714"/>
      <c r="D229" s="714"/>
      <c r="E229" s="714"/>
      <c r="F229" s="714"/>
      <c r="G229" s="714"/>
      <c r="H229" s="714"/>
      <c r="I229" s="714"/>
      <c r="J229" s="59"/>
    </row>
    <row r="230" spans="1:10" s="94" customFormat="1" ht="15" customHeight="1">
      <c r="A230" s="59"/>
      <c r="B230" s="762" t="s">
        <v>403</v>
      </c>
      <c r="C230" s="762"/>
      <c r="D230" s="762"/>
      <c r="E230" s="762"/>
      <c r="F230" s="762"/>
      <c r="G230" s="762"/>
      <c r="H230" s="762"/>
      <c r="I230" s="762"/>
      <c r="J230" s="59"/>
    </row>
    <row r="231" spans="1:10" s="94" customFormat="1" ht="15" customHeight="1">
      <c r="A231" s="59"/>
      <c r="B231" s="762" t="s">
        <v>404</v>
      </c>
      <c r="C231" s="762"/>
      <c r="D231" s="762"/>
      <c r="E231" s="762"/>
      <c r="F231" s="762"/>
      <c r="G231" s="762"/>
      <c r="H231" s="762"/>
      <c r="I231" s="762"/>
      <c r="J231" s="59"/>
    </row>
    <row r="232" spans="1:10" s="94" customFormat="1" ht="9" customHeight="1">
      <c r="A232" s="59"/>
      <c r="B232" s="186"/>
      <c r="C232" s="186"/>
      <c r="D232" s="186"/>
      <c r="E232" s="186"/>
      <c r="F232" s="186"/>
      <c r="G232" s="186"/>
      <c r="H232" s="186"/>
      <c r="I232" s="186"/>
      <c r="J232" s="59"/>
    </row>
    <row r="233" spans="1:10" s="94" customFormat="1" ht="15" customHeight="1">
      <c r="A233" s="59"/>
      <c r="B233" s="713" t="s">
        <v>282</v>
      </c>
      <c r="C233" s="713"/>
      <c r="D233" s="713"/>
      <c r="E233" s="713"/>
      <c r="F233" s="713"/>
      <c r="G233" s="713"/>
      <c r="H233" s="713"/>
      <c r="I233" s="713"/>
    </row>
    <row r="234" spans="1:10" s="94" customFormat="1" ht="15" customHeight="1">
      <c r="A234" s="59"/>
      <c r="B234" s="762" t="s">
        <v>283</v>
      </c>
      <c r="C234" s="762"/>
      <c r="D234" s="762"/>
      <c r="E234" s="762"/>
      <c r="F234" s="762"/>
      <c r="G234" s="762"/>
      <c r="H234" s="762"/>
      <c r="I234" s="762"/>
    </row>
    <row r="235" spans="1:10" s="94" customFormat="1" ht="15" customHeight="1">
      <c r="A235" s="59"/>
      <c r="B235" s="762" t="s">
        <v>483</v>
      </c>
      <c r="C235" s="762"/>
      <c r="D235" s="762"/>
      <c r="E235" s="762"/>
      <c r="F235" s="762"/>
      <c r="G235" s="762"/>
      <c r="H235" s="762"/>
      <c r="I235" s="762"/>
    </row>
    <row r="236" spans="1:10" s="94" customFormat="1" ht="15" customHeight="1">
      <c r="A236" s="59"/>
      <c r="B236" s="762" t="s">
        <v>284</v>
      </c>
      <c r="C236" s="762"/>
      <c r="D236" s="762"/>
      <c r="E236" s="762"/>
      <c r="F236" s="762"/>
      <c r="G236" s="762"/>
      <c r="H236" s="762"/>
      <c r="I236" s="762"/>
    </row>
    <row r="237" spans="1:10" s="94" customFormat="1" ht="15" customHeight="1">
      <c r="A237" s="59"/>
      <c r="B237" s="780" t="s">
        <v>591</v>
      </c>
      <c r="C237" s="780"/>
      <c r="D237" s="780"/>
      <c r="E237" s="780"/>
      <c r="F237" s="780"/>
      <c r="G237" s="780"/>
      <c r="H237" s="780"/>
      <c r="I237" s="780"/>
    </row>
    <row r="238" spans="1:10" s="94" customFormat="1" ht="15" customHeight="1">
      <c r="A238" s="59"/>
      <c r="B238" s="780" t="s">
        <v>484</v>
      </c>
      <c r="C238" s="780"/>
      <c r="D238" s="780"/>
      <c r="E238" s="780"/>
      <c r="F238" s="780"/>
      <c r="G238" s="780"/>
      <c r="H238" s="780"/>
      <c r="I238" s="780"/>
    </row>
    <row r="239" spans="1:10" s="94" customFormat="1" ht="15" customHeight="1">
      <c r="A239" s="59"/>
      <c r="B239" s="95" t="s">
        <v>485</v>
      </c>
      <c r="C239" s="190"/>
      <c r="D239" s="96"/>
      <c r="E239" s="96"/>
      <c r="F239" s="96"/>
      <c r="G239" s="96"/>
      <c r="H239" s="96"/>
      <c r="I239" s="96"/>
      <c r="J239" s="192"/>
    </row>
    <row r="240" spans="1:10" s="59" customFormat="1" ht="9" customHeight="1"/>
    <row r="241" spans="1:10" s="94" customFormat="1" ht="15" customHeight="1">
      <c r="A241" s="59"/>
      <c r="B241" s="713" t="s">
        <v>285</v>
      </c>
      <c r="C241" s="713"/>
      <c r="D241" s="713"/>
      <c r="E241" s="713"/>
      <c r="F241" s="713"/>
      <c r="G241" s="713"/>
      <c r="H241" s="713"/>
      <c r="I241" s="713"/>
    </row>
    <row r="242" spans="1:10" s="94" customFormat="1" ht="15" customHeight="1">
      <c r="A242" s="59"/>
      <c r="B242" s="714" t="s">
        <v>286</v>
      </c>
      <c r="C242" s="714"/>
      <c r="D242" s="714"/>
      <c r="E242" s="714"/>
      <c r="F242" s="714"/>
      <c r="G242" s="714"/>
      <c r="H242" s="714"/>
      <c r="I242" s="714"/>
    </row>
    <row r="243" spans="1:10" s="59" customFormat="1" ht="15" customHeight="1">
      <c r="B243" s="714" t="s">
        <v>287</v>
      </c>
      <c r="C243" s="714"/>
      <c r="D243" s="714"/>
      <c r="E243" s="714"/>
      <c r="F243" s="714"/>
      <c r="G243" s="714"/>
      <c r="H243" s="714"/>
      <c r="I243" s="714"/>
      <c r="J243" s="93"/>
    </row>
    <row r="244" spans="1:10" s="94" customFormat="1" ht="15" customHeight="1">
      <c r="A244" s="59"/>
      <c r="B244" s="714" t="s">
        <v>288</v>
      </c>
      <c r="C244" s="714"/>
      <c r="D244" s="714"/>
      <c r="E244" s="714"/>
      <c r="F244" s="714"/>
      <c r="G244" s="714"/>
      <c r="H244" s="714"/>
      <c r="I244" s="714"/>
    </row>
    <row r="245" spans="1:10" s="94" customFormat="1" ht="9" customHeight="1">
      <c r="A245" s="59"/>
      <c r="B245" s="185"/>
      <c r="C245" s="185"/>
      <c r="D245" s="185"/>
      <c r="E245" s="185"/>
      <c r="F245" s="185"/>
      <c r="G245" s="185"/>
      <c r="H245" s="185"/>
      <c r="I245" s="185"/>
    </row>
    <row r="246" spans="1:10" s="94" customFormat="1" ht="15" customHeight="1">
      <c r="A246" s="59"/>
      <c r="B246" s="713" t="s">
        <v>289</v>
      </c>
      <c r="C246" s="713"/>
      <c r="D246" s="713"/>
      <c r="E246" s="713"/>
      <c r="F246" s="713"/>
      <c r="G246" s="713"/>
      <c r="H246" s="713"/>
      <c r="I246" s="713"/>
    </row>
    <row r="247" spans="1:10" s="94" customFormat="1" ht="15" customHeight="1">
      <c r="A247" s="59"/>
      <c r="B247" s="714" t="s">
        <v>405</v>
      </c>
      <c r="C247" s="714"/>
      <c r="D247" s="714"/>
      <c r="E247" s="714"/>
      <c r="F247" s="714"/>
      <c r="G247" s="714"/>
      <c r="H247" s="714"/>
      <c r="I247" s="714"/>
    </row>
    <row r="248" spans="1:10" s="59" customFormat="1" ht="15" customHeight="1">
      <c r="B248" s="714" t="s">
        <v>406</v>
      </c>
      <c r="C248" s="714"/>
      <c r="D248" s="714"/>
      <c r="E248" s="714"/>
      <c r="F248" s="714"/>
      <c r="G248" s="714"/>
      <c r="H248" s="714"/>
      <c r="I248" s="714"/>
      <c r="J248" s="93"/>
    </row>
    <row r="249" spans="1:10" s="94" customFormat="1" ht="15" customHeight="1">
      <c r="A249" s="59"/>
      <c r="B249" s="714" t="s">
        <v>290</v>
      </c>
      <c r="C249" s="714"/>
      <c r="D249" s="714"/>
      <c r="E249" s="714"/>
      <c r="F249" s="714"/>
      <c r="G249" s="714"/>
      <c r="H249" s="714"/>
      <c r="I249" s="714"/>
    </row>
    <row r="250" spans="1:10" s="94" customFormat="1" ht="15" customHeight="1">
      <c r="A250" s="59"/>
      <c r="B250" s="714" t="s">
        <v>291</v>
      </c>
      <c r="C250" s="714"/>
      <c r="D250" s="714"/>
      <c r="E250" s="714"/>
      <c r="F250" s="714"/>
      <c r="G250" s="714"/>
      <c r="H250" s="714"/>
      <c r="I250" s="714"/>
    </row>
    <row r="251" spans="1:10" s="94" customFormat="1" ht="15" customHeight="1">
      <c r="A251" s="59"/>
      <c r="B251" s="781" t="s">
        <v>292</v>
      </c>
      <c r="C251" s="781"/>
      <c r="D251" s="781"/>
      <c r="E251" s="781"/>
      <c r="F251" s="781"/>
      <c r="G251" s="781"/>
      <c r="H251" s="781"/>
      <c r="I251" s="781"/>
    </row>
    <row r="252" spans="1:10" s="94" customFormat="1" ht="15" customHeight="1">
      <c r="A252" s="59"/>
      <c r="B252" s="782" t="s">
        <v>293</v>
      </c>
      <c r="C252" s="782"/>
      <c r="D252" s="782"/>
      <c r="E252" s="782"/>
      <c r="F252" s="782"/>
      <c r="G252" s="782"/>
      <c r="H252" s="782"/>
      <c r="I252" s="782"/>
    </row>
    <row r="253" spans="1:10" s="94" customFormat="1" ht="15" customHeight="1">
      <c r="A253" s="59"/>
      <c r="B253" s="714" t="s">
        <v>294</v>
      </c>
      <c r="C253" s="714"/>
      <c r="D253" s="714"/>
      <c r="E253" s="714"/>
      <c r="F253" s="714"/>
      <c r="G253" s="714"/>
      <c r="H253" s="714"/>
      <c r="I253" s="714"/>
    </row>
    <row r="254" spans="1:10" s="94" customFormat="1" ht="15" customHeight="1">
      <c r="A254" s="59"/>
      <c r="B254" s="714" t="s">
        <v>295</v>
      </c>
      <c r="C254" s="714"/>
      <c r="D254" s="714"/>
      <c r="E254" s="714"/>
      <c r="F254" s="714"/>
      <c r="G254" s="714"/>
      <c r="H254" s="714"/>
      <c r="I254" s="714"/>
    </row>
    <row r="255" spans="1:10" s="94" customFormat="1" ht="15" customHeight="1">
      <c r="A255" s="59"/>
      <c r="B255" s="714" t="s">
        <v>407</v>
      </c>
      <c r="C255" s="714"/>
      <c r="D255" s="714"/>
      <c r="E255" s="714"/>
      <c r="F255" s="714"/>
      <c r="G255" s="714"/>
      <c r="H255" s="714"/>
      <c r="I255" s="714"/>
      <c r="J255" s="93"/>
    </row>
    <row r="256" spans="1:10" s="94" customFormat="1" ht="15" customHeight="1">
      <c r="A256" s="59"/>
      <c r="B256" s="714" t="s">
        <v>408</v>
      </c>
      <c r="C256" s="714"/>
      <c r="D256" s="714"/>
      <c r="E256" s="714"/>
      <c r="F256" s="714"/>
      <c r="G256" s="714"/>
      <c r="H256" s="714"/>
      <c r="I256" s="714"/>
      <c r="J256" s="93"/>
    </row>
    <row r="257" spans="1:10" s="94" customFormat="1" ht="15" customHeight="1">
      <c r="A257" s="59"/>
      <c r="B257" s="762" t="s">
        <v>409</v>
      </c>
      <c r="C257" s="762"/>
      <c r="D257" s="762"/>
      <c r="E257" s="762"/>
      <c r="F257" s="762"/>
      <c r="G257" s="762"/>
      <c r="H257" s="762"/>
      <c r="I257" s="762"/>
    </row>
    <row r="258" spans="1:10" s="94" customFormat="1" ht="15" customHeight="1">
      <c r="A258" s="59"/>
      <c r="B258" s="714" t="s">
        <v>410</v>
      </c>
      <c r="C258" s="714"/>
      <c r="D258" s="714"/>
      <c r="E258" s="714"/>
      <c r="F258" s="714"/>
      <c r="G258" s="714"/>
      <c r="H258" s="714"/>
      <c r="I258" s="714"/>
    </row>
    <row r="259" spans="1:10" s="94" customFormat="1" ht="15" customHeight="1">
      <c r="A259" s="59"/>
      <c r="B259" s="762" t="s">
        <v>411</v>
      </c>
      <c r="C259" s="762"/>
      <c r="D259" s="762"/>
      <c r="E259" s="762"/>
      <c r="F259" s="762"/>
      <c r="G259" s="762"/>
      <c r="H259" s="762"/>
      <c r="I259" s="762"/>
    </row>
    <row r="260" spans="1:10" s="94" customFormat="1" ht="15" customHeight="1">
      <c r="A260" s="59"/>
      <c r="B260" s="762" t="s">
        <v>412</v>
      </c>
      <c r="C260" s="762"/>
      <c r="D260" s="762"/>
      <c r="E260" s="762"/>
      <c r="F260" s="762"/>
      <c r="G260" s="762"/>
      <c r="H260" s="762"/>
      <c r="I260" s="762"/>
    </row>
    <row r="261" spans="1:10" s="94" customFormat="1" ht="15" customHeight="1">
      <c r="A261" s="59"/>
      <c r="B261" s="762" t="s">
        <v>413</v>
      </c>
      <c r="C261" s="762"/>
      <c r="D261" s="762"/>
      <c r="E261" s="762"/>
      <c r="F261" s="762"/>
      <c r="G261" s="762"/>
      <c r="H261" s="762"/>
      <c r="I261" s="762"/>
    </row>
    <row r="262" spans="1:10" s="94" customFormat="1" ht="15" customHeight="1">
      <c r="A262" s="59"/>
      <c r="B262" s="762" t="s">
        <v>414</v>
      </c>
      <c r="C262" s="762"/>
      <c r="D262" s="762"/>
      <c r="E262" s="762"/>
      <c r="F262" s="762"/>
      <c r="G262" s="762"/>
      <c r="H262" s="762"/>
      <c r="I262" s="762"/>
    </row>
    <row r="263" spans="1:10" s="94" customFormat="1" ht="15" customHeight="1">
      <c r="A263" s="59"/>
      <c r="B263" s="762" t="s">
        <v>296</v>
      </c>
      <c r="C263" s="762"/>
      <c r="D263" s="762"/>
      <c r="E263" s="762"/>
      <c r="F263" s="762"/>
      <c r="G263" s="762"/>
      <c r="H263" s="762"/>
      <c r="I263" s="762"/>
    </row>
    <row r="264" spans="1:10" s="94" customFormat="1" ht="15" customHeight="1">
      <c r="A264" s="59"/>
      <c r="B264" s="714" t="s">
        <v>415</v>
      </c>
      <c r="C264" s="714"/>
      <c r="D264" s="714"/>
      <c r="E264" s="714"/>
      <c r="F264" s="714"/>
      <c r="G264" s="714"/>
      <c r="H264" s="714"/>
      <c r="I264" s="714"/>
    </row>
    <row r="265" spans="1:10" s="94" customFormat="1" ht="15" customHeight="1">
      <c r="A265" s="59"/>
      <c r="B265" s="714" t="s">
        <v>416</v>
      </c>
      <c r="C265" s="714"/>
      <c r="D265" s="714"/>
      <c r="E265" s="714"/>
      <c r="F265" s="714"/>
      <c r="G265" s="714"/>
      <c r="H265" s="714"/>
      <c r="I265" s="714"/>
    </row>
    <row r="266" spans="1:10" s="94" customFormat="1" ht="15" customHeight="1">
      <c r="A266" s="59"/>
      <c r="B266" s="714" t="s">
        <v>417</v>
      </c>
      <c r="C266" s="714"/>
      <c r="D266" s="714"/>
      <c r="E266" s="714"/>
      <c r="F266" s="714"/>
      <c r="G266" s="714"/>
      <c r="H266" s="714"/>
      <c r="I266" s="714"/>
    </row>
    <row r="267" spans="1:10" s="94" customFormat="1" ht="15" customHeight="1">
      <c r="A267" s="59"/>
      <c r="B267" s="714" t="s">
        <v>297</v>
      </c>
      <c r="C267" s="714"/>
      <c r="D267" s="714"/>
      <c r="E267" s="714"/>
      <c r="F267" s="714"/>
      <c r="G267" s="714"/>
      <c r="H267" s="714"/>
      <c r="I267" s="714"/>
    </row>
    <row r="268" spans="1:10" s="94" customFormat="1" ht="15" customHeight="1">
      <c r="A268" s="59"/>
      <c r="B268" s="714" t="s">
        <v>418</v>
      </c>
      <c r="C268" s="714"/>
      <c r="D268" s="714"/>
      <c r="E268" s="714"/>
      <c r="F268" s="714"/>
      <c r="G268" s="714"/>
      <c r="H268" s="714"/>
      <c r="I268" s="714"/>
    </row>
    <row r="269" spans="1:10" s="94" customFormat="1" ht="15" customHeight="1">
      <c r="A269" s="59"/>
      <c r="B269" s="762" t="s">
        <v>419</v>
      </c>
      <c r="C269" s="762"/>
      <c r="D269" s="762"/>
      <c r="E269" s="762"/>
      <c r="F269" s="762"/>
      <c r="G269" s="762"/>
      <c r="H269" s="762"/>
      <c r="I269" s="762"/>
    </row>
    <row r="270" spans="1:10" s="94" customFormat="1" ht="15" customHeight="1">
      <c r="A270" s="59"/>
      <c r="B270" s="762" t="s">
        <v>420</v>
      </c>
      <c r="C270" s="762"/>
      <c r="D270" s="762"/>
      <c r="E270" s="762"/>
      <c r="F270" s="762"/>
      <c r="G270" s="762"/>
      <c r="H270" s="762"/>
      <c r="I270" s="762"/>
    </row>
    <row r="271" spans="1:10" s="59" customFormat="1" ht="15" customHeight="1">
      <c r="B271" s="790" t="s">
        <v>592</v>
      </c>
      <c r="C271" s="790"/>
      <c r="D271" s="790"/>
      <c r="E271" s="790"/>
      <c r="F271" s="790"/>
      <c r="G271" s="790"/>
      <c r="H271" s="790"/>
      <c r="I271" s="790"/>
      <c r="J271" s="94"/>
    </row>
    <row r="272" spans="1:10" s="192" customFormat="1" ht="15" customHeight="1">
      <c r="A272" s="59"/>
      <c r="B272" s="762" t="s">
        <v>421</v>
      </c>
      <c r="C272" s="762"/>
      <c r="D272" s="762"/>
      <c r="E272" s="762"/>
      <c r="F272" s="762"/>
      <c r="G272" s="762"/>
      <c r="H272" s="762"/>
      <c r="I272" s="762"/>
    </row>
    <row r="273" spans="1:10" s="94" customFormat="1" ht="15" customHeight="1">
      <c r="A273" s="59"/>
      <c r="B273" s="762" t="s">
        <v>298</v>
      </c>
      <c r="C273" s="762"/>
      <c r="D273" s="762"/>
      <c r="E273" s="762"/>
      <c r="F273" s="762"/>
      <c r="G273" s="762"/>
      <c r="H273" s="762"/>
      <c r="I273" s="762"/>
    </row>
    <row r="274" spans="1:10" s="94" customFormat="1" ht="15" customHeight="1">
      <c r="A274" s="59"/>
      <c r="B274" s="714" t="s">
        <v>422</v>
      </c>
      <c r="C274" s="714"/>
      <c r="D274" s="714"/>
      <c r="E274" s="714"/>
      <c r="F274" s="714"/>
      <c r="G274" s="714"/>
      <c r="H274" s="714"/>
      <c r="I274" s="714"/>
    </row>
    <row r="275" spans="1:10" s="59" customFormat="1" ht="15" customHeight="1">
      <c r="B275" s="714" t="s">
        <v>423</v>
      </c>
      <c r="C275" s="714"/>
      <c r="D275" s="714"/>
      <c r="E275" s="714"/>
      <c r="F275" s="714"/>
      <c r="G275" s="714"/>
      <c r="H275" s="714"/>
      <c r="I275" s="714"/>
      <c r="J275" s="93"/>
    </row>
    <row r="276" spans="1:10" s="94" customFormat="1" ht="15" customHeight="1">
      <c r="A276" s="59"/>
      <c r="B276" s="714" t="s">
        <v>424</v>
      </c>
      <c r="C276" s="714"/>
      <c r="D276" s="714"/>
      <c r="E276" s="714"/>
      <c r="F276" s="714"/>
      <c r="G276" s="714"/>
      <c r="H276" s="714"/>
      <c r="I276" s="714"/>
      <c r="J276" s="93"/>
    </row>
    <row r="277" spans="1:10" s="94" customFormat="1" ht="15" customHeight="1">
      <c r="A277" s="59"/>
      <c r="B277" s="714" t="s">
        <v>593</v>
      </c>
      <c r="C277" s="714"/>
      <c r="D277" s="714"/>
      <c r="E277" s="714"/>
      <c r="F277" s="714"/>
      <c r="G277" s="714"/>
      <c r="H277" s="714"/>
      <c r="I277" s="714"/>
      <c r="J277" s="93"/>
    </row>
    <row r="278" spans="1:10" s="94" customFormat="1" ht="15" customHeight="1">
      <c r="A278" s="59"/>
      <c r="B278" s="714" t="s">
        <v>425</v>
      </c>
      <c r="C278" s="714"/>
      <c r="D278" s="714"/>
      <c r="E278" s="714"/>
      <c r="F278" s="714"/>
      <c r="G278" s="714"/>
      <c r="H278" s="714"/>
      <c r="I278" s="714"/>
      <c r="J278" s="93"/>
    </row>
    <row r="279" spans="1:10" s="94" customFormat="1" ht="15" customHeight="1">
      <c r="A279" s="59"/>
      <c r="B279" s="714" t="s">
        <v>426</v>
      </c>
      <c r="C279" s="714"/>
      <c r="D279" s="714"/>
      <c r="E279" s="714"/>
      <c r="F279" s="714"/>
      <c r="G279" s="714"/>
      <c r="H279" s="714"/>
      <c r="I279" s="714"/>
    </row>
    <row r="280" spans="1:10" s="94" customFormat="1" ht="15" customHeight="1">
      <c r="A280" s="59"/>
      <c r="B280" s="762" t="s">
        <v>368</v>
      </c>
      <c r="C280" s="762"/>
      <c r="D280" s="762"/>
      <c r="E280" s="762"/>
      <c r="F280" s="762"/>
      <c r="G280" s="762"/>
      <c r="H280" s="762"/>
      <c r="I280" s="762"/>
    </row>
    <row r="281" spans="1:10" s="94" customFormat="1" ht="15" customHeight="1">
      <c r="A281" s="59"/>
      <c r="B281" s="714" t="s">
        <v>299</v>
      </c>
      <c r="C281" s="714"/>
      <c r="D281" s="714"/>
      <c r="E281" s="714"/>
      <c r="F281" s="714"/>
      <c r="G281" s="714"/>
      <c r="H281" s="714"/>
      <c r="I281" s="714"/>
    </row>
    <row r="282" spans="1:10" s="94" customFormat="1" ht="15" customHeight="1">
      <c r="A282" s="59"/>
      <c r="B282" s="50" t="s">
        <v>300</v>
      </c>
      <c r="C282" s="50"/>
      <c r="D282" s="50"/>
      <c r="E282" s="50"/>
      <c r="F282" s="50"/>
      <c r="G282" s="50"/>
      <c r="H282" s="50"/>
      <c r="I282" s="50"/>
    </row>
    <row r="283" spans="1:10" s="94" customFormat="1" ht="15" customHeight="1">
      <c r="A283" s="59"/>
      <c r="B283" s="714" t="s">
        <v>301</v>
      </c>
      <c r="C283" s="714"/>
      <c r="D283" s="714"/>
      <c r="E283" s="714"/>
      <c r="F283" s="714"/>
      <c r="G283" s="714"/>
      <c r="H283" s="714"/>
      <c r="I283" s="714"/>
    </row>
    <row r="284" spans="1:10" s="94" customFormat="1" ht="15" customHeight="1">
      <c r="A284" s="59"/>
      <c r="B284" s="714" t="s">
        <v>302</v>
      </c>
      <c r="C284" s="714"/>
      <c r="D284" s="714"/>
      <c r="E284" s="714"/>
      <c r="F284" s="714"/>
      <c r="G284" s="714"/>
      <c r="H284" s="714"/>
      <c r="I284" s="714"/>
    </row>
    <row r="285" spans="1:10" s="94" customFormat="1" ht="15" customHeight="1">
      <c r="A285" s="59"/>
      <c r="C285" s="93"/>
      <c r="D285" s="791" t="s">
        <v>427</v>
      </c>
      <c r="E285" s="791"/>
      <c r="F285" s="791"/>
      <c r="G285" s="93"/>
      <c r="H285" s="93"/>
      <c r="I285" s="93"/>
      <c r="J285" s="93"/>
    </row>
    <row r="286" spans="1:10" s="94" customFormat="1" ht="15" customHeight="1">
      <c r="A286" s="59"/>
      <c r="D286" s="779" t="s">
        <v>303</v>
      </c>
      <c r="E286" s="779"/>
      <c r="F286" s="779"/>
      <c r="G286" s="58"/>
      <c r="H286" s="58"/>
      <c r="I286" s="58"/>
      <c r="J286" s="58"/>
    </row>
    <row r="287" spans="1:10" s="94" customFormat="1" ht="9" customHeight="1">
      <c r="A287" s="59"/>
      <c r="D287" s="189"/>
      <c r="E287" s="189"/>
      <c r="F287" s="189"/>
      <c r="G287" s="58"/>
      <c r="H287" s="58"/>
      <c r="I287" s="58"/>
      <c r="J287" s="58"/>
    </row>
    <row r="288" spans="1:10" s="94" customFormat="1" ht="15" customHeight="1">
      <c r="A288" s="59"/>
      <c r="B288" s="713" t="s">
        <v>304</v>
      </c>
      <c r="C288" s="713"/>
      <c r="D288" s="713"/>
      <c r="E288" s="713"/>
      <c r="F288" s="713"/>
      <c r="G288" s="713"/>
      <c r="H288" s="713"/>
      <c r="I288" s="713"/>
    </row>
    <row r="289" spans="1:9" s="94" customFormat="1" ht="15" customHeight="1">
      <c r="A289" s="59"/>
      <c r="B289" s="714" t="s">
        <v>305</v>
      </c>
      <c r="C289" s="714"/>
      <c r="D289" s="714"/>
      <c r="E289" s="714"/>
      <c r="F289" s="714"/>
      <c r="G289" s="714"/>
      <c r="H289" s="714"/>
      <c r="I289" s="714"/>
    </row>
    <row r="290" spans="1:9" s="94" customFormat="1" ht="15" customHeight="1">
      <c r="A290" s="59"/>
      <c r="B290" s="762" t="s">
        <v>306</v>
      </c>
      <c r="C290" s="762"/>
      <c r="D290" s="762"/>
      <c r="E290" s="762"/>
      <c r="F290" s="762"/>
      <c r="G290" s="762"/>
      <c r="H290" s="762"/>
      <c r="I290" s="762"/>
    </row>
    <row r="291" spans="1:9" s="94" customFormat="1" ht="15" customHeight="1">
      <c r="A291" s="59"/>
      <c r="B291" s="713" t="s">
        <v>307</v>
      </c>
      <c r="C291" s="713"/>
      <c r="D291" s="713"/>
      <c r="E291" s="713"/>
      <c r="F291" s="713"/>
      <c r="G291" s="713"/>
      <c r="H291" s="713"/>
      <c r="I291" s="713"/>
    </row>
    <row r="292" spans="1:9" s="94" customFormat="1" ht="15" customHeight="1">
      <c r="A292" s="59"/>
      <c r="B292" s="714" t="s">
        <v>308</v>
      </c>
      <c r="C292" s="714"/>
      <c r="D292" s="714"/>
      <c r="E292" s="714"/>
      <c r="F292" s="714"/>
      <c r="G292" s="714"/>
      <c r="H292" s="714"/>
      <c r="I292" s="714"/>
    </row>
    <row r="293" spans="1:9" s="94" customFormat="1" ht="15" customHeight="1">
      <c r="A293" s="59"/>
      <c r="B293" s="714" t="s">
        <v>309</v>
      </c>
      <c r="C293" s="714"/>
      <c r="D293" s="714"/>
      <c r="E293" s="714"/>
      <c r="F293" s="714"/>
      <c r="G293" s="714"/>
      <c r="H293" s="714"/>
      <c r="I293" s="714"/>
    </row>
    <row r="294" spans="1:9" s="94" customFormat="1" ht="15" customHeight="1">
      <c r="A294" s="59"/>
      <c r="B294" s="713" t="s">
        <v>310</v>
      </c>
      <c r="C294" s="713"/>
      <c r="D294" s="713"/>
      <c r="E294" s="713"/>
      <c r="F294" s="713"/>
      <c r="G294" s="713"/>
      <c r="H294" s="713"/>
      <c r="I294" s="713"/>
    </row>
    <row r="295" spans="1:9" s="94" customFormat="1" ht="15" customHeight="1">
      <c r="A295" s="59"/>
      <c r="B295" s="714" t="s">
        <v>311</v>
      </c>
      <c r="C295" s="714"/>
      <c r="D295" s="714"/>
      <c r="E295" s="714"/>
      <c r="F295" s="714"/>
      <c r="G295" s="714"/>
      <c r="H295" s="714"/>
      <c r="I295" s="714"/>
    </row>
    <row r="296" spans="1:9" s="94" customFormat="1" ht="15" customHeight="1">
      <c r="A296" s="59"/>
      <c r="B296" s="714" t="s">
        <v>312</v>
      </c>
      <c r="C296" s="714"/>
      <c r="D296" s="714"/>
      <c r="E296" s="714"/>
      <c r="F296" s="714"/>
      <c r="G296" s="714"/>
      <c r="H296" s="714"/>
      <c r="I296" s="714"/>
    </row>
    <row r="297" spans="1:9" s="94" customFormat="1" ht="15" customHeight="1">
      <c r="A297" s="59"/>
      <c r="B297" s="714" t="s">
        <v>313</v>
      </c>
      <c r="C297" s="714"/>
      <c r="D297" s="714"/>
      <c r="E297" s="714"/>
      <c r="F297" s="714"/>
      <c r="G297" s="714"/>
      <c r="H297" s="714"/>
      <c r="I297" s="714"/>
    </row>
    <row r="298" spans="1:9" s="94" customFormat="1" ht="15" customHeight="1">
      <c r="A298" s="59"/>
      <c r="B298" s="781" t="s">
        <v>594</v>
      </c>
      <c r="C298" s="781"/>
      <c r="D298" s="781"/>
      <c r="E298" s="781"/>
      <c r="F298" s="781"/>
      <c r="G298" s="781"/>
      <c r="H298" s="781"/>
      <c r="I298" s="781"/>
    </row>
    <row r="299" spans="1:9" s="94" customFormat="1" ht="15" customHeight="1">
      <c r="A299" s="59"/>
      <c r="B299" s="781" t="s">
        <v>595</v>
      </c>
      <c r="C299" s="781"/>
      <c r="D299" s="781"/>
      <c r="E299" s="781"/>
      <c r="F299" s="781"/>
      <c r="G299" s="781"/>
      <c r="H299" s="781"/>
      <c r="I299" s="781"/>
    </row>
    <row r="300" spans="1:9" s="94" customFormat="1" ht="15" customHeight="1">
      <c r="A300" s="59"/>
      <c r="B300" s="713" t="s">
        <v>314</v>
      </c>
      <c r="C300" s="713"/>
      <c r="D300" s="713"/>
      <c r="E300" s="713"/>
      <c r="F300" s="713"/>
      <c r="G300" s="713"/>
      <c r="H300" s="713"/>
      <c r="I300" s="713"/>
    </row>
    <row r="301" spans="1:9" s="94" customFormat="1" ht="15" customHeight="1">
      <c r="A301" s="59"/>
      <c r="B301" s="714" t="s">
        <v>596</v>
      </c>
      <c r="C301" s="714"/>
      <c r="D301" s="714"/>
      <c r="E301" s="714"/>
      <c r="F301" s="714"/>
      <c r="G301" s="714"/>
      <c r="H301" s="714"/>
      <c r="I301" s="714"/>
    </row>
    <row r="302" spans="1:9" s="94" customFormat="1" ht="15" customHeight="1">
      <c r="A302" s="59"/>
      <c r="B302" s="714" t="s">
        <v>315</v>
      </c>
      <c r="C302" s="714"/>
      <c r="D302" s="714"/>
      <c r="E302" s="714"/>
      <c r="F302" s="714"/>
      <c r="G302" s="714"/>
      <c r="H302" s="714"/>
      <c r="I302" s="714"/>
    </row>
    <row r="303" spans="1:9" s="94" customFormat="1" ht="15" customHeight="1">
      <c r="A303" s="59"/>
      <c r="B303" s="713" t="s">
        <v>316</v>
      </c>
      <c r="C303" s="713"/>
      <c r="D303" s="713"/>
      <c r="E303" s="713"/>
      <c r="F303" s="713"/>
      <c r="G303" s="713"/>
      <c r="H303" s="713"/>
      <c r="I303" s="713"/>
    </row>
    <row r="304" spans="1:9" s="94" customFormat="1" ht="15" customHeight="1">
      <c r="A304" s="59"/>
      <c r="B304" s="714" t="s">
        <v>317</v>
      </c>
      <c r="C304" s="714"/>
      <c r="D304" s="714"/>
      <c r="E304" s="714"/>
      <c r="F304" s="714"/>
      <c r="G304" s="714"/>
      <c r="H304" s="714"/>
      <c r="I304" s="714"/>
    </row>
    <row r="305" spans="1:10" s="94" customFormat="1" ht="15" customHeight="1">
      <c r="A305" s="59"/>
      <c r="B305" s="714" t="s">
        <v>318</v>
      </c>
      <c r="C305" s="714"/>
      <c r="D305" s="714"/>
      <c r="E305" s="714"/>
      <c r="F305" s="714"/>
      <c r="G305" s="714"/>
      <c r="H305" s="714"/>
      <c r="I305" s="714"/>
    </row>
    <row r="306" spans="1:10" s="94" customFormat="1" ht="15" customHeight="1">
      <c r="A306" s="59"/>
      <c r="B306" s="762" t="s">
        <v>319</v>
      </c>
      <c r="C306" s="762"/>
      <c r="D306" s="762"/>
      <c r="E306" s="762"/>
      <c r="F306" s="762"/>
      <c r="G306" s="762"/>
      <c r="H306" s="762"/>
      <c r="I306" s="762"/>
    </row>
    <row r="307" spans="1:10" s="94" customFormat="1" ht="15" customHeight="1">
      <c r="A307" s="59"/>
      <c r="B307" s="762" t="s">
        <v>320</v>
      </c>
      <c r="C307" s="762"/>
      <c r="D307" s="762"/>
      <c r="E307" s="762"/>
      <c r="F307" s="762"/>
      <c r="G307" s="762"/>
      <c r="H307" s="762"/>
      <c r="I307" s="762"/>
    </row>
    <row r="308" spans="1:10" s="94" customFormat="1" ht="15" customHeight="1">
      <c r="A308" s="59"/>
      <c r="B308" s="713" t="s">
        <v>321</v>
      </c>
      <c r="C308" s="713"/>
      <c r="D308" s="713"/>
      <c r="E308" s="713"/>
      <c r="F308" s="713"/>
      <c r="G308" s="713"/>
      <c r="H308" s="713"/>
      <c r="I308" s="713"/>
    </row>
    <row r="309" spans="1:10" s="94" customFormat="1" ht="15" customHeight="1">
      <c r="A309" s="59"/>
      <c r="B309" s="781" t="s">
        <v>589</v>
      </c>
      <c r="C309" s="781"/>
      <c r="D309" s="781"/>
      <c r="E309" s="784" t="s">
        <v>842</v>
      </c>
      <c r="F309" s="784"/>
      <c r="G309" s="784"/>
      <c r="H309" s="239" t="s">
        <v>852</v>
      </c>
      <c r="I309" s="202" t="s">
        <v>846</v>
      </c>
    </row>
    <row r="310" spans="1:10" s="94" customFormat="1" ht="15" customHeight="1">
      <c r="A310" s="59"/>
      <c r="B310" s="781" t="s">
        <v>590</v>
      </c>
      <c r="C310" s="781"/>
      <c r="D310" s="781"/>
      <c r="E310" s="781"/>
      <c r="F310" s="781"/>
      <c r="G310" s="781"/>
      <c r="H310" s="781"/>
      <c r="I310" s="781"/>
    </row>
    <row r="311" spans="1:10" ht="15" customHeight="1"/>
    <row r="312" spans="1:10" ht="62.25" customHeight="1" thickBot="1">
      <c r="B312" s="785" t="e">
        <f>DATOS!#REF!</f>
        <v>#REF!</v>
      </c>
      <c r="C312" s="785"/>
      <c r="D312" s="785"/>
      <c r="E312" s="100" t="s">
        <v>206</v>
      </c>
      <c r="F312" s="154" t="str">
        <f>DATOS!D7</f>
        <v>-</v>
      </c>
      <c r="G312" s="783"/>
      <c r="H312" s="783"/>
      <c r="I312" s="783"/>
    </row>
    <row r="313" spans="1:10" ht="61.5" customHeight="1" thickBot="1">
      <c r="A313" s="708" t="s">
        <v>842</v>
      </c>
      <c r="B313" s="708"/>
      <c r="C313" s="708"/>
      <c r="D313" s="708"/>
      <c r="E313" s="99" t="s">
        <v>847</v>
      </c>
      <c r="F313" s="135" t="s">
        <v>846</v>
      </c>
      <c r="G313" s="712"/>
      <c r="H313" s="712"/>
      <c r="I313" s="712"/>
      <c r="J313" s="70"/>
    </row>
    <row r="314" spans="1:10" ht="61.5" customHeight="1" thickBot="1">
      <c r="A314" s="708" t="s">
        <v>843</v>
      </c>
      <c r="B314" s="708"/>
      <c r="C314" s="708"/>
      <c r="D314" s="708"/>
      <c r="E314" s="99" t="s">
        <v>847</v>
      </c>
      <c r="F314" s="135" t="s">
        <v>845</v>
      </c>
      <c r="G314" s="712"/>
      <c r="H314" s="712"/>
      <c r="I314" s="712"/>
      <c r="J314" s="70"/>
    </row>
    <row r="315" spans="1:10" ht="15" customHeight="1">
      <c r="B315" s="203"/>
      <c r="C315" s="203"/>
      <c r="D315" s="203"/>
      <c r="E315" s="203"/>
      <c r="F315" s="203"/>
      <c r="J315" s="59"/>
    </row>
  </sheetData>
  <sheetProtection selectLockedCells="1"/>
  <protectedRanges>
    <protectedRange sqref="B13:F13 H13:K13" name="I15"/>
  </protectedRanges>
  <mergeCells count="315">
    <mergeCell ref="B48:D48"/>
    <mergeCell ref="F48:H48"/>
    <mergeCell ref="B135:I135"/>
    <mergeCell ref="B122:I122"/>
    <mergeCell ref="B86:G86"/>
    <mergeCell ref="B119:I119"/>
    <mergeCell ref="B55:I55"/>
    <mergeCell ref="B57:I57"/>
    <mergeCell ref="B95:I95"/>
    <mergeCell ref="D98:G98"/>
    <mergeCell ref="B77:I77"/>
    <mergeCell ref="B56:I56"/>
    <mergeCell ref="B115:I115"/>
    <mergeCell ref="B72:I72"/>
    <mergeCell ref="B121:I121"/>
    <mergeCell ref="B117:I117"/>
    <mergeCell ref="B118:I118"/>
    <mergeCell ref="B109:I109"/>
    <mergeCell ref="B110:I110"/>
    <mergeCell ref="B112:I112"/>
    <mergeCell ref="D66:E67"/>
    <mergeCell ref="D70:E70"/>
    <mergeCell ref="D69:E69"/>
    <mergeCell ref="D68:E68"/>
    <mergeCell ref="F66:G67"/>
    <mergeCell ref="B294:I294"/>
    <mergeCell ref="B284:I284"/>
    <mergeCell ref="B310:I310"/>
    <mergeCell ref="B298:I298"/>
    <mergeCell ref="B299:I299"/>
    <mergeCell ref="B290:I290"/>
    <mergeCell ref="B271:I271"/>
    <mergeCell ref="B272:I272"/>
    <mergeCell ref="B273:I273"/>
    <mergeCell ref="B274:I274"/>
    <mergeCell ref="B275:I275"/>
    <mergeCell ref="D285:F285"/>
    <mergeCell ref="D286:F286"/>
    <mergeCell ref="B288:I288"/>
    <mergeCell ref="B289:I289"/>
    <mergeCell ref="B278:I278"/>
    <mergeCell ref="B279:I279"/>
    <mergeCell ref="B280:I280"/>
    <mergeCell ref="B281:I281"/>
    <mergeCell ref="B283:I283"/>
    <mergeCell ref="B276:I276"/>
    <mergeCell ref="B277:I277"/>
    <mergeCell ref="B291:I291"/>
    <mergeCell ref="B292:I292"/>
    <mergeCell ref="G312:I312"/>
    <mergeCell ref="B308:I308"/>
    <mergeCell ref="B309:D309"/>
    <mergeCell ref="B301:I301"/>
    <mergeCell ref="B302:I302"/>
    <mergeCell ref="B303:I303"/>
    <mergeCell ref="B295:I295"/>
    <mergeCell ref="B296:I296"/>
    <mergeCell ref="B297:I297"/>
    <mergeCell ref="E309:G309"/>
    <mergeCell ref="B312:D312"/>
    <mergeCell ref="B304:I304"/>
    <mergeCell ref="B305:I305"/>
    <mergeCell ref="B306:I306"/>
    <mergeCell ref="B307:I307"/>
    <mergeCell ref="B300:I300"/>
    <mergeCell ref="B293:I293"/>
    <mergeCell ref="B266:I266"/>
    <mergeCell ref="B267:I267"/>
    <mergeCell ref="B268:I268"/>
    <mergeCell ref="B269:I269"/>
    <mergeCell ref="B270:I270"/>
    <mergeCell ref="B262:I262"/>
    <mergeCell ref="B263:I263"/>
    <mergeCell ref="B264:I264"/>
    <mergeCell ref="B265:I265"/>
    <mergeCell ref="B257:I257"/>
    <mergeCell ref="B258:I258"/>
    <mergeCell ref="B259:I259"/>
    <mergeCell ref="B260:I260"/>
    <mergeCell ref="B261:I261"/>
    <mergeCell ref="B256:I256"/>
    <mergeCell ref="B251:I251"/>
    <mergeCell ref="B252:I252"/>
    <mergeCell ref="B253:I253"/>
    <mergeCell ref="B254:I254"/>
    <mergeCell ref="B255:I255"/>
    <mergeCell ref="B246:I246"/>
    <mergeCell ref="B247:I247"/>
    <mergeCell ref="B248:I248"/>
    <mergeCell ref="B249:I249"/>
    <mergeCell ref="B250:I250"/>
    <mergeCell ref="B238:I238"/>
    <mergeCell ref="B241:I241"/>
    <mergeCell ref="B242:I242"/>
    <mergeCell ref="B243:I243"/>
    <mergeCell ref="B244:I244"/>
    <mergeCell ref="B233:I233"/>
    <mergeCell ref="B234:I234"/>
    <mergeCell ref="B235:I235"/>
    <mergeCell ref="B236:I236"/>
    <mergeCell ref="B237:I237"/>
    <mergeCell ref="B226:I226"/>
    <mergeCell ref="B227:I227"/>
    <mergeCell ref="B228:I228"/>
    <mergeCell ref="B229:I229"/>
    <mergeCell ref="B230:I230"/>
    <mergeCell ref="B231:I231"/>
    <mergeCell ref="B220:I220"/>
    <mergeCell ref="B221:I221"/>
    <mergeCell ref="B222:I222"/>
    <mergeCell ref="B223:I223"/>
    <mergeCell ref="B224:I224"/>
    <mergeCell ref="B225:I225"/>
    <mergeCell ref="B215:I215"/>
    <mergeCell ref="B216:I216"/>
    <mergeCell ref="B217:I217"/>
    <mergeCell ref="B218:I218"/>
    <mergeCell ref="B219:I219"/>
    <mergeCell ref="B209:I209"/>
    <mergeCell ref="B210:I210"/>
    <mergeCell ref="B211:I211"/>
    <mergeCell ref="B212:I212"/>
    <mergeCell ref="B213:I213"/>
    <mergeCell ref="B214:I214"/>
    <mergeCell ref="B204:I204"/>
    <mergeCell ref="B205:I205"/>
    <mergeCell ref="B206:I206"/>
    <mergeCell ref="B207:I207"/>
    <mergeCell ref="B208:I208"/>
    <mergeCell ref="B199:I199"/>
    <mergeCell ref="B200:I200"/>
    <mergeCell ref="B201:I201"/>
    <mergeCell ref="B202:I202"/>
    <mergeCell ref="B203:I203"/>
    <mergeCell ref="B191:I191"/>
    <mergeCell ref="B194:I194"/>
    <mergeCell ref="B195:I195"/>
    <mergeCell ref="B196:I196"/>
    <mergeCell ref="B198:I198"/>
    <mergeCell ref="B192:I192"/>
    <mergeCell ref="B193:I193"/>
    <mergeCell ref="B197:I197"/>
    <mergeCell ref="B187:I187"/>
    <mergeCell ref="B188:I188"/>
    <mergeCell ref="B189:I189"/>
    <mergeCell ref="B190:I190"/>
    <mergeCell ref="B182:I182"/>
    <mergeCell ref="B184:I184"/>
    <mergeCell ref="B185:I185"/>
    <mergeCell ref="B186:I186"/>
    <mergeCell ref="B183:I183"/>
    <mergeCell ref="B181:I181"/>
    <mergeCell ref="B175:I175"/>
    <mergeCell ref="B176:I176"/>
    <mergeCell ref="B177:I177"/>
    <mergeCell ref="B178:I178"/>
    <mergeCell ref="B179:I179"/>
    <mergeCell ref="B180:I180"/>
    <mergeCell ref="B173:I173"/>
    <mergeCell ref="B174:I174"/>
    <mergeCell ref="B170:I170"/>
    <mergeCell ref="B171:I171"/>
    <mergeCell ref="B172:I172"/>
    <mergeCell ref="B153:I153"/>
    <mergeCell ref="B144:I144"/>
    <mergeCell ref="B145:I145"/>
    <mergeCell ref="B146:I146"/>
    <mergeCell ref="B147:I147"/>
    <mergeCell ref="B148:I148"/>
    <mergeCell ref="D162:G162"/>
    <mergeCell ref="D163:G163"/>
    <mergeCell ref="B165:I165"/>
    <mergeCell ref="B166:I166"/>
    <mergeCell ref="B167:I167"/>
    <mergeCell ref="B154:I154"/>
    <mergeCell ref="B156:I156"/>
    <mergeCell ref="B157:I157"/>
    <mergeCell ref="B158:I158"/>
    <mergeCell ref="B159:I159"/>
    <mergeCell ref="B160:I160"/>
    <mergeCell ref="B161:I161"/>
    <mergeCell ref="B141:I141"/>
    <mergeCell ref="B142:I142"/>
    <mergeCell ref="B143:I143"/>
    <mergeCell ref="B152:I152"/>
    <mergeCell ref="B149:I149"/>
    <mergeCell ref="B150:I150"/>
    <mergeCell ref="B151:I151"/>
    <mergeCell ref="B168:I168"/>
    <mergeCell ref="B169:I169"/>
    <mergeCell ref="B139:I139"/>
    <mergeCell ref="B140:I140"/>
    <mergeCell ref="B113:I113"/>
    <mergeCell ref="B116:I116"/>
    <mergeCell ref="B51:I51"/>
    <mergeCell ref="B125:I125"/>
    <mergeCell ref="B136:I136"/>
    <mergeCell ref="B137:I137"/>
    <mergeCell ref="B138:I138"/>
    <mergeCell ref="B127:I127"/>
    <mergeCell ref="B128:I128"/>
    <mergeCell ref="B129:I129"/>
    <mergeCell ref="B130:I130"/>
    <mergeCell ref="B131:I131"/>
    <mergeCell ref="B132:I132"/>
    <mergeCell ref="B133:I133"/>
    <mergeCell ref="B134:I134"/>
    <mergeCell ref="B120:I120"/>
    <mergeCell ref="B87:I87"/>
    <mergeCell ref="B53:I53"/>
    <mergeCell ref="B78:I78"/>
    <mergeCell ref="B60:I60"/>
    <mergeCell ref="B123:I123"/>
    <mergeCell ref="B124:I124"/>
    <mergeCell ref="C1:H1"/>
    <mergeCell ref="B2:I3"/>
    <mergeCell ref="D4:G4"/>
    <mergeCell ref="B6:I6"/>
    <mergeCell ref="B7:I7"/>
    <mergeCell ref="B8:I8"/>
    <mergeCell ref="B9:I9"/>
    <mergeCell ref="B10:I10"/>
    <mergeCell ref="B11:I11"/>
    <mergeCell ref="C14:G14"/>
    <mergeCell ref="C15:D15"/>
    <mergeCell ref="F16:G16"/>
    <mergeCell ref="F17:G17"/>
    <mergeCell ref="F18:G18"/>
    <mergeCell ref="D16:E16"/>
    <mergeCell ref="B24:I24"/>
    <mergeCell ref="B25:I25"/>
    <mergeCell ref="D20:E20"/>
    <mergeCell ref="D19:E19"/>
    <mergeCell ref="D18:E18"/>
    <mergeCell ref="D17:E17"/>
    <mergeCell ref="F19:H19"/>
    <mergeCell ref="F20:H20"/>
    <mergeCell ref="F21:H21"/>
    <mergeCell ref="B23:E23"/>
    <mergeCell ref="G23:I23"/>
    <mergeCell ref="D21:E21"/>
    <mergeCell ref="F83:G83"/>
    <mergeCell ref="F82:G82"/>
    <mergeCell ref="D80:E81"/>
    <mergeCell ref="D84:E84"/>
    <mergeCell ref="D83:E83"/>
    <mergeCell ref="B73:I73"/>
    <mergeCell ref="B74:I74"/>
    <mergeCell ref="B75:I75"/>
    <mergeCell ref="B76:I76"/>
    <mergeCell ref="F80:G81"/>
    <mergeCell ref="B104:I104"/>
    <mergeCell ref="B105:I105"/>
    <mergeCell ref="B106:I106"/>
    <mergeCell ref="B107:I107"/>
    <mergeCell ref="B64:I64"/>
    <mergeCell ref="B61:I61"/>
    <mergeCell ref="B52:I52"/>
    <mergeCell ref="B108:I108"/>
    <mergeCell ref="B63:I63"/>
    <mergeCell ref="B103:I103"/>
    <mergeCell ref="B59:G59"/>
    <mergeCell ref="D97:G97"/>
    <mergeCell ref="B94:I94"/>
    <mergeCell ref="D82:E82"/>
    <mergeCell ref="B88:I88"/>
    <mergeCell ref="B89:I89"/>
    <mergeCell ref="B90:I90"/>
    <mergeCell ref="B91:I91"/>
    <mergeCell ref="B92:I92"/>
    <mergeCell ref="B93:I93"/>
    <mergeCell ref="B100:E100"/>
    <mergeCell ref="B101:E101"/>
    <mergeCell ref="B102:F102"/>
    <mergeCell ref="F84:G84"/>
    <mergeCell ref="E30:E31"/>
    <mergeCell ref="F30:F31"/>
    <mergeCell ref="B41:D42"/>
    <mergeCell ref="B47:D47"/>
    <mergeCell ref="B46:D46"/>
    <mergeCell ref="B45:D45"/>
    <mergeCell ref="B44:D44"/>
    <mergeCell ref="B43:D43"/>
    <mergeCell ref="F41:H42"/>
    <mergeCell ref="F47:H47"/>
    <mergeCell ref="F46:H46"/>
    <mergeCell ref="F45:H45"/>
    <mergeCell ref="B37:I37"/>
    <mergeCell ref="I30:I31"/>
    <mergeCell ref="B39:I39"/>
    <mergeCell ref="I41:I42"/>
    <mergeCell ref="G313:I313"/>
    <mergeCell ref="G314:I314"/>
    <mergeCell ref="A313:D313"/>
    <mergeCell ref="A314:D314"/>
    <mergeCell ref="B50:D50"/>
    <mergeCell ref="B54:I54"/>
    <mergeCell ref="F44:H44"/>
    <mergeCell ref="F43:H43"/>
    <mergeCell ref="G30:H31"/>
    <mergeCell ref="G32:H32"/>
    <mergeCell ref="B30:C31"/>
    <mergeCell ref="D30:D31"/>
    <mergeCell ref="B32:C32"/>
    <mergeCell ref="B36:E36"/>
    <mergeCell ref="G33:H33"/>
    <mergeCell ref="B33:C33"/>
    <mergeCell ref="B38:I38"/>
    <mergeCell ref="E41:E42"/>
    <mergeCell ref="F70:G70"/>
    <mergeCell ref="B62:I62"/>
    <mergeCell ref="F69:G69"/>
    <mergeCell ref="F68:G68"/>
    <mergeCell ref="B114:I114"/>
    <mergeCell ref="B111:I111"/>
  </mergeCells>
  <phoneticPr fontId="34" type="noConversion"/>
  <pageMargins left="0.25" right="0.25" top="0.55000000000000004" bottom="0.56999999999999995" header="0.3" footer="0.3"/>
  <pageSetup paperSize="9" scale="83" fitToHeight="0" orientation="portrait" r:id="rId1"/>
  <headerFooter>
    <oddFooter>&amp;CPágina &amp;P</oddFooter>
  </headerFooter>
  <rowBreaks count="5" manualBreakCount="5">
    <brk id="49" max="9" man="1"/>
    <brk id="96" max="9" man="1"/>
    <brk id="155" max="9" man="1"/>
    <brk id="212" max="9" man="1"/>
    <brk id="269" max="9" man="1"/>
  </row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>
    <tabColor theme="1"/>
    <pageSetUpPr fitToPage="1"/>
  </sheetPr>
  <dimension ref="A1:N490"/>
  <sheetViews>
    <sheetView view="pageBreakPreview" topLeftCell="A66" zoomScaleNormal="100" zoomScaleSheetLayoutView="100" workbookViewId="0">
      <selection activeCell="G76" sqref="G76:I76"/>
    </sheetView>
  </sheetViews>
  <sheetFormatPr defaultColWidth="10.7109375" defaultRowHeight="18.95" customHeight="1"/>
  <cols>
    <col min="1" max="1" width="1.28515625" style="51" customWidth="1"/>
    <col min="2" max="2" width="11.28515625" style="51" customWidth="1"/>
    <col min="3" max="3" width="10" style="51" customWidth="1"/>
    <col min="4" max="4" width="9.42578125" style="51" customWidth="1"/>
    <col min="5" max="5" width="9.140625" style="51" customWidth="1"/>
    <col min="6" max="6" width="12.28515625" style="51" customWidth="1"/>
    <col min="7" max="7" width="11.7109375" style="51" customWidth="1"/>
    <col min="8" max="8" width="10.7109375" style="51" customWidth="1"/>
    <col min="9" max="9" width="11.28515625" style="51" customWidth="1"/>
    <col min="10" max="10" width="10.42578125" style="51" customWidth="1"/>
    <col min="11" max="11" width="4.140625" style="51" customWidth="1"/>
    <col min="12" max="12" width="4.28515625" style="51" customWidth="1"/>
    <col min="13" max="13" width="4.42578125" style="51" customWidth="1"/>
    <col min="14" max="14" width="6" style="51" customWidth="1"/>
    <col min="15" max="16384" width="10.7109375" style="51"/>
  </cols>
  <sheetData>
    <row r="1" spans="1:14" customFormat="1" ht="15">
      <c r="M1" s="427" t="s">
        <v>698</v>
      </c>
      <c r="N1" s="427"/>
    </row>
    <row r="2" spans="1:14" customFormat="1" ht="15" customHeight="1">
      <c r="A2" s="53"/>
      <c r="B2" s="842" t="s">
        <v>645</v>
      </c>
      <c r="C2" s="842"/>
      <c r="D2" s="842"/>
      <c r="E2" s="842"/>
      <c r="F2" s="842"/>
      <c r="G2" s="842"/>
      <c r="H2" s="842"/>
      <c r="I2" s="842"/>
      <c r="J2" s="842"/>
      <c r="K2" s="842"/>
      <c r="L2" s="842"/>
      <c r="M2" s="52"/>
      <c r="N2" s="52"/>
    </row>
    <row r="3" spans="1:14" customFormat="1" ht="15" customHeight="1">
      <c r="A3" s="204"/>
      <c r="B3" s="843" t="s">
        <v>781</v>
      </c>
      <c r="C3" s="843"/>
      <c r="D3" s="843"/>
      <c r="E3" s="843"/>
      <c r="F3" s="843"/>
      <c r="G3" s="843"/>
      <c r="H3" s="843"/>
      <c r="I3" s="843"/>
      <c r="J3" s="843"/>
      <c r="K3" s="843"/>
      <c r="L3" s="843"/>
      <c r="M3" s="204"/>
      <c r="N3" s="55"/>
    </row>
    <row r="4" spans="1:14" customFormat="1" ht="15" customHeight="1">
      <c r="A4" s="53"/>
      <c r="B4" s="843" t="s">
        <v>679</v>
      </c>
      <c r="C4" s="843"/>
      <c r="D4" s="843"/>
      <c r="E4" s="843"/>
      <c r="F4" s="843"/>
      <c r="G4" s="843"/>
      <c r="H4" s="843"/>
      <c r="I4" s="843"/>
      <c r="J4" s="843"/>
      <c r="K4" s="843"/>
      <c r="L4" s="843"/>
      <c r="M4" s="52"/>
      <c r="N4" s="52"/>
    </row>
    <row r="5" spans="1:14" customFormat="1" ht="11.25" customHeight="1">
      <c r="A5" s="53"/>
      <c r="B5" s="53"/>
      <c r="C5" s="146"/>
      <c r="D5" s="146"/>
      <c r="E5" s="146"/>
      <c r="F5" s="146"/>
      <c r="G5" s="146"/>
      <c r="H5" s="146"/>
      <c r="I5" s="146"/>
      <c r="J5" s="146"/>
      <c r="K5" s="68"/>
      <c r="L5" s="68"/>
      <c r="M5" s="68"/>
      <c r="N5" s="68"/>
    </row>
    <row r="6" spans="1:14" ht="15" customHeight="1">
      <c r="B6" s="841" t="s">
        <v>734</v>
      </c>
      <c r="C6" s="841"/>
      <c r="D6" s="841"/>
      <c r="E6" s="841"/>
      <c r="F6" s="841"/>
      <c r="G6" s="841"/>
      <c r="H6" s="841"/>
      <c r="I6" s="841"/>
      <c r="J6" s="841"/>
      <c r="K6" s="841"/>
      <c r="L6" s="841"/>
      <c r="M6" s="841"/>
      <c r="N6" s="841"/>
    </row>
    <row r="7" spans="1:14" ht="15" customHeight="1">
      <c r="B7" s="841" t="s">
        <v>680</v>
      </c>
      <c r="C7" s="841"/>
      <c r="D7" s="841"/>
      <c r="E7" s="841"/>
      <c r="F7" s="841"/>
      <c r="G7" s="841"/>
      <c r="H7" s="841"/>
      <c r="I7" s="841"/>
      <c r="J7" s="841"/>
      <c r="K7" s="841"/>
      <c r="L7" s="841"/>
      <c r="M7" s="841"/>
      <c r="N7" s="841"/>
    </row>
    <row r="8" spans="1:14" ht="12" customHeight="1">
      <c r="B8" s="145"/>
      <c r="C8" s="145"/>
      <c r="D8" s="145"/>
      <c r="E8" s="145"/>
      <c r="F8" s="145"/>
      <c r="G8" s="145"/>
      <c r="H8" s="138"/>
      <c r="I8" s="138"/>
      <c r="J8" s="138"/>
      <c r="K8" s="138"/>
      <c r="L8" s="138"/>
      <c r="M8" s="138"/>
      <c r="N8" s="138"/>
    </row>
    <row r="9" spans="1:14" ht="37.5" customHeight="1">
      <c r="B9" s="832" t="str">
        <f>DATOS!D20</f>
        <v>-</v>
      </c>
      <c r="C9" s="832"/>
      <c r="D9" s="832"/>
      <c r="E9" s="193" t="str">
        <f>DATOS!D21</f>
        <v>-</v>
      </c>
      <c r="F9" s="193" t="str">
        <f>DATOS!D22</f>
        <v>-</v>
      </c>
      <c r="G9" s="832" t="str">
        <f>CONSTANCIA!F8</f>
        <v>-</v>
      </c>
      <c r="H9" s="832"/>
      <c r="I9" s="832"/>
      <c r="J9" s="832"/>
      <c r="K9" s="844" t="str">
        <f>CONSTANCIA!H8</f>
        <v>-</v>
      </c>
      <c r="L9" s="844"/>
      <c r="M9" s="844"/>
    </row>
    <row r="10" spans="1:14" ht="15" customHeight="1">
      <c r="B10" s="835" t="s">
        <v>213</v>
      </c>
      <c r="C10" s="835"/>
      <c r="E10" s="112" t="s">
        <v>27</v>
      </c>
      <c r="F10" s="150" t="s">
        <v>147</v>
      </c>
      <c r="G10" s="805" t="s">
        <v>214</v>
      </c>
      <c r="H10" s="805"/>
      <c r="I10" s="805"/>
      <c r="J10" s="805"/>
      <c r="K10" s="845" t="s">
        <v>687</v>
      </c>
      <c r="L10" s="845"/>
      <c r="M10" s="845"/>
      <c r="N10" s="116"/>
    </row>
    <row r="11" spans="1:14" ht="15" customHeight="1">
      <c r="B11" s="816" t="s">
        <v>201</v>
      </c>
      <c r="C11" s="816"/>
      <c r="D11" s="816" t="s">
        <v>201</v>
      </c>
      <c r="E11" s="816"/>
      <c r="F11" s="816"/>
      <c r="G11" s="816" t="s">
        <v>663</v>
      </c>
      <c r="H11" s="816"/>
      <c r="I11" s="816"/>
      <c r="J11" s="112"/>
      <c r="K11" s="111"/>
      <c r="L11" s="111"/>
      <c r="M11" s="111"/>
      <c r="N11" s="111"/>
    </row>
    <row r="12" spans="1:14" ht="15" customHeight="1">
      <c r="B12" s="805" t="s">
        <v>87</v>
      </c>
      <c r="C12" s="805"/>
      <c r="D12" s="805" t="s">
        <v>146</v>
      </c>
      <c r="E12" s="805"/>
      <c r="F12" s="805"/>
      <c r="G12" s="805" t="s">
        <v>26</v>
      </c>
      <c r="H12" s="805"/>
      <c r="I12" s="805"/>
    </row>
    <row r="13" spans="1:14" ht="10.5" customHeight="1">
      <c r="B13" s="149"/>
      <c r="C13" s="149"/>
      <c r="D13" s="149"/>
      <c r="E13" s="148"/>
      <c r="F13" s="148"/>
      <c r="G13" s="148"/>
      <c r="H13" s="148"/>
      <c r="I13" s="148"/>
    </row>
    <row r="14" spans="1:14" ht="15" customHeight="1">
      <c r="A14" s="143" t="s">
        <v>644</v>
      </c>
      <c r="B14" s="833" t="s">
        <v>686</v>
      </c>
      <c r="C14" s="833"/>
      <c r="D14" s="833"/>
      <c r="E14" s="833"/>
      <c r="F14" s="145" t="s">
        <v>492</v>
      </c>
      <c r="G14" s="226" t="s">
        <v>647</v>
      </c>
      <c r="H14" s="145" t="s">
        <v>782</v>
      </c>
      <c r="I14" s="145"/>
      <c r="J14" s="145"/>
      <c r="K14" s="145"/>
      <c r="L14" s="145"/>
      <c r="M14" s="145"/>
      <c r="N14" s="145"/>
    </row>
    <row r="15" spans="1:14" ht="15" customHeight="1">
      <c r="A15" s="143"/>
      <c r="B15" s="144" t="s">
        <v>783</v>
      </c>
      <c r="C15" s="147"/>
      <c r="D15" s="147"/>
      <c r="E15" s="147"/>
      <c r="F15" s="147"/>
      <c r="G15" s="147"/>
      <c r="H15" s="147"/>
      <c r="I15" s="147"/>
      <c r="J15" s="147"/>
      <c r="K15" s="147"/>
      <c r="L15" s="147"/>
      <c r="M15" s="147"/>
      <c r="N15" s="147"/>
    </row>
    <row r="16" spans="1:14" ht="15" customHeight="1">
      <c r="B16" s="838" t="s">
        <v>682</v>
      </c>
      <c r="C16" s="838"/>
      <c r="D16" s="838"/>
      <c r="E16" s="838"/>
      <c r="F16" s="838"/>
      <c r="G16" s="838"/>
      <c r="H16" s="838"/>
      <c r="I16" s="838"/>
      <c r="J16" s="838"/>
      <c r="K16" s="838"/>
      <c r="L16" s="838"/>
      <c r="M16" s="838"/>
      <c r="N16" s="838"/>
    </row>
    <row r="17" spans="1:14" ht="9" customHeight="1">
      <c r="B17" s="144"/>
      <c r="C17" s="144"/>
      <c r="D17" s="144"/>
      <c r="E17" s="144"/>
      <c r="F17" s="144"/>
      <c r="G17" s="144"/>
      <c r="H17" s="144"/>
      <c r="I17" s="144"/>
      <c r="J17" s="144"/>
      <c r="K17" s="144"/>
      <c r="L17" s="144"/>
      <c r="M17" s="144"/>
      <c r="N17" s="144"/>
    </row>
    <row r="18" spans="1:14" ht="36.75" customHeight="1">
      <c r="B18" s="832" t="str">
        <f>B9</f>
        <v>-</v>
      </c>
      <c r="C18" s="832"/>
      <c r="D18" s="832"/>
      <c r="E18" s="193" t="s">
        <v>49</v>
      </c>
      <c r="F18" s="194" t="s">
        <v>49</v>
      </c>
      <c r="G18" s="832" t="s">
        <v>654</v>
      </c>
      <c r="H18" s="832"/>
      <c r="I18" s="194">
        <v>384</v>
      </c>
      <c r="J18" s="832" t="s">
        <v>684</v>
      </c>
      <c r="K18" s="832"/>
      <c r="L18" s="832"/>
      <c r="M18" s="832"/>
    </row>
    <row r="19" spans="1:14" ht="15" customHeight="1">
      <c r="B19" s="835" t="s">
        <v>213</v>
      </c>
      <c r="C19" s="835"/>
      <c r="D19" s="835"/>
      <c r="E19" s="112" t="s">
        <v>27</v>
      </c>
      <c r="F19" s="111" t="s">
        <v>147</v>
      </c>
      <c r="G19" s="836" t="s">
        <v>214</v>
      </c>
      <c r="H19" s="836"/>
      <c r="I19" s="100" t="s">
        <v>207</v>
      </c>
      <c r="J19" s="805" t="s">
        <v>202</v>
      </c>
      <c r="K19" s="805"/>
      <c r="L19" s="805"/>
      <c r="M19" s="805"/>
    </row>
    <row r="20" spans="1:14" ht="15" customHeight="1">
      <c r="B20" s="816" t="s">
        <v>201</v>
      </c>
      <c r="C20" s="816"/>
      <c r="D20" s="816" t="str">
        <f>D11</f>
        <v>LIMA</v>
      </c>
      <c r="E20" s="816"/>
      <c r="F20" s="816"/>
      <c r="G20" s="816" t="str">
        <f>G11</f>
        <v>SAN BORJA</v>
      </c>
      <c r="H20" s="816"/>
      <c r="I20" s="816"/>
    </row>
    <row r="21" spans="1:14" ht="15" customHeight="1">
      <c r="B21" s="805" t="s">
        <v>87</v>
      </c>
      <c r="C21" s="805"/>
      <c r="D21" s="805" t="s">
        <v>146</v>
      </c>
      <c r="E21" s="805"/>
      <c r="F21" s="805"/>
      <c r="G21" s="805" t="s">
        <v>26</v>
      </c>
      <c r="H21" s="805"/>
      <c r="I21" s="805"/>
    </row>
    <row r="22" spans="1:14" ht="8.25" customHeight="1">
      <c r="B22" s="112"/>
      <c r="C22" s="112"/>
      <c r="D22" s="112"/>
      <c r="E22" s="112"/>
      <c r="F22" s="112"/>
      <c r="G22" s="112"/>
      <c r="H22" s="112"/>
      <c r="I22" s="112"/>
    </row>
    <row r="23" spans="1:14" ht="15" customHeight="1">
      <c r="A23" s="143" t="s">
        <v>644</v>
      </c>
      <c r="B23" s="834" t="e">
        <f>DATOS!#REF!</f>
        <v>#REF!</v>
      </c>
      <c r="C23" s="834"/>
      <c r="D23" s="834"/>
      <c r="E23" s="834"/>
      <c r="F23" s="145" t="s">
        <v>492</v>
      </c>
      <c r="G23" s="145" t="s">
        <v>672</v>
      </c>
      <c r="H23" s="145" t="s">
        <v>785</v>
      </c>
      <c r="I23" s="145"/>
      <c r="J23" s="145"/>
      <c r="K23" s="145"/>
      <c r="L23" s="145"/>
      <c r="M23" s="145"/>
      <c r="N23" s="145"/>
    </row>
    <row r="24" spans="1:14" ht="15" customHeight="1">
      <c r="A24" s="143"/>
      <c r="B24" s="145" t="s">
        <v>784</v>
      </c>
      <c r="C24" s="145"/>
      <c r="D24" s="145"/>
      <c r="E24" s="145"/>
      <c r="F24" s="145"/>
      <c r="G24" s="145"/>
      <c r="H24" s="145"/>
      <c r="I24" s="145"/>
      <c r="J24" s="145"/>
      <c r="K24" s="145"/>
      <c r="L24" s="145"/>
      <c r="M24" s="145"/>
      <c r="N24" s="145"/>
    </row>
    <row r="25" spans="1:14" ht="15" customHeight="1">
      <c r="B25" s="838" t="s">
        <v>682</v>
      </c>
      <c r="C25" s="838"/>
      <c r="D25" s="838"/>
      <c r="E25" s="838"/>
      <c r="F25" s="838"/>
      <c r="G25" s="838"/>
      <c r="H25" s="838"/>
      <c r="I25" s="838"/>
      <c r="J25" s="838"/>
      <c r="K25" s="838"/>
      <c r="L25" s="838"/>
      <c r="M25" s="838"/>
      <c r="N25" s="838"/>
    </row>
    <row r="26" spans="1:14" ht="12.75" customHeight="1"/>
    <row r="27" spans="1:14" ht="30" customHeight="1">
      <c r="A27" s="139"/>
      <c r="B27" s="840" t="str">
        <f>B18</f>
        <v>-</v>
      </c>
      <c r="C27" s="840"/>
      <c r="D27" s="840"/>
      <c r="E27" s="127" t="s">
        <v>49</v>
      </c>
      <c r="F27" s="184" t="s">
        <v>49</v>
      </c>
      <c r="G27" s="840" t="str">
        <f>G18</f>
        <v>CALLE VERROCHIO</v>
      </c>
      <c r="H27" s="840"/>
      <c r="I27" s="184">
        <v>382</v>
      </c>
      <c r="J27" s="839" t="s">
        <v>683</v>
      </c>
      <c r="K27" s="839"/>
      <c r="L27" s="839"/>
      <c r="M27" s="839"/>
      <c r="N27" s="139"/>
    </row>
    <row r="28" spans="1:14" ht="15" customHeight="1">
      <c r="B28" s="835" t="s">
        <v>213</v>
      </c>
      <c r="C28" s="835"/>
      <c r="D28" s="835"/>
      <c r="E28" s="112" t="s">
        <v>27</v>
      </c>
      <c r="F28" s="111" t="s">
        <v>147</v>
      </c>
      <c r="G28" s="836" t="s">
        <v>214</v>
      </c>
      <c r="H28" s="836"/>
      <c r="I28" s="142" t="str">
        <f>I19</f>
        <v>N° Int</v>
      </c>
      <c r="J28" s="835" t="str">
        <f>J19</f>
        <v>Piso</v>
      </c>
      <c r="K28" s="835"/>
      <c r="L28" s="835"/>
      <c r="M28" s="140"/>
      <c r="N28" s="146"/>
    </row>
    <row r="29" spans="1:14" ht="14.25">
      <c r="B29" s="816" t="s">
        <v>201</v>
      </c>
      <c r="C29" s="816"/>
      <c r="D29" s="816" t="str">
        <f>D20</f>
        <v>LIMA</v>
      </c>
      <c r="E29" s="816"/>
      <c r="F29" s="816"/>
      <c r="G29" s="816" t="str">
        <f>G20</f>
        <v>SAN BORJA</v>
      </c>
      <c r="H29" s="816"/>
      <c r="I29" s="816"/>
    </row>
    <row r="30" spans="1:14" ht="15" customHeight="1">
      <c r="B30" s="805" t="s">
        <v>87</v>
      </c>
      <c r="C30" s="805"/>
      <c r="D30" s="805" t="s">
        <v>146</v>
      </c>
      <c r="E30" s="805"/>
      <c r="F30" s="805"/>
      <c r="G30" s="805" t="s">
        <v>26</v>
      </c>
      <c r="H30" s="805"/>
      <c r="I30" s="805"/>
    </row>
    <row r="31" spans="1:14" ht="8.25" customHeight="1">
      <c r="B31" s="112"/>
      <c r="C31" s="112"/>
      <c r="D31" s="112"/>
      <c r="E31" s="112"/>
      <c r="F31" s="112"/>
      <c r="G31" s="112"/>
      <c r="H31" s="112"/>
      <c r="I31" s="112"/>
    </row>
    <row r="32" spans="1:14" ht="15" customHeight="1">
      <c r="B32" s="837" t="s">
        <v>688</v>
      </c>
      <c r="C32" s="837"/>
      <c r="D32" s="837"/>
      <c r="E32" s="837"/>
      <c r="F32" s="837"/>
      <c r="G32" s="837"/>
      <c r="H32" s="837"/>
      <c r="I32" s="837"/>
      <c r="J32" s="837"/>
      <c r="K32" s="837"/>
      <c r="L32" s="837"/>
      <c r="M32" s="837"/>
      <c r="N32" s="837"/>
    </row>
    <row r="33" spans="2:14" ht="15" customHeight="1">
      <c r="B33" s="140"/>
      <c r="C33" s="141"/>
      <c r="D33" s="141"/>
      <c r="E33" s="141"/>
      <c r="F33" s="141"/>
      <c r="G33" s="141"/>
      <c r="H33" s="141"/>
      <c r="I33" s="141"/>
      <c r="J33" s="141"/>
      <c r="K33" s="140"/>
      <c r="L33" s="140"/>
      <c r="M33" s="140"/>
      <c r="N33" s="140"/>
    </row>
    <row r="34" spans="2:14" ht="15" customHeight="1">
      <c r="B34" s="814" t="s">
        <v>643</v>
      </c>
      <c r="C34" s="814"/>
      <c r="D34" s="814"/>
      <c r="E34" s="814"/>
      <c r="F34" s="814"/>
      <c r="G34" s="814"/>
      <c r="H34" s="814"/>
      <c r="I34" s="814"/>
      <c r="J34" s="814"/>
      <c r="K34" s="814"/>
      <c r="L34" s="814"/>
      <c r="M34" s="814"/>
      <c r="N34" s="814"/>
    </row>
    <row r="35" spans="2:14" ht="10.5" customHeight="1">
      <c r="K35" s="98"/>
      <c r="L35" s="98"/>
      <c r="M35" s="98"/>
      <c r="N35" s="98"/>
    </row>
    <row r="36" spans="2:14" ht="15" customHeight="1">
      <c r="B36" s="806" t="s">
        <v>786</v>
      </c>
      <c r="C36" s="806"/>
      <c r="D36" s="806"/>
      <c r="E36" s="806"/>
      <c r="F36" s="806"/>
      <c r="G36" s="806"/>
      <c r="H36" s="806"/>
      <c r="I36" s="806"/>
      <c r="J36" s="806"/>
      <c r="K36" s="806"/>
      <c r="L36" s="806"/>
      <c r="M36" s="806"/>
      <c r="N36" s="806"/>
    </row>
    <row r="37" spans="2:14" ht="15" customHeight="1">
      <c r="B37" s="806" t="s">
        <v>787</v>
      </c>
      <c r="C37" s="806"/>
      <c r="D37" s="806"/>
      <c r="E37" s="806"/>
      <c r="F37" s="806"/>
      <c r="G37" s="806"/>
      <c r="H37" s="806"/>
      <c r="I37" s="806"/>
      <c r="J37" s="806"/>
      <c r="K37" s="806"/>
      <c r="L37" s="806"/>
      <c r="M37" s="806"/>
      <c r="N37" s="806"/>
    </row>
    <row r="38" spans="2:14" ht="15" customHeight="1">
      <c r="B38" s="806" t="s">
        <v>788</v>
      </c>
      <c r="C38" s="806"/>
      <c r="D38" s="806"/>
      <c r="E38" s="806"/>
      <c r="F38" s="806"/>
      <c r="G38" s="806"/>
      <c r="H38" s="806"/>
      <c r="I38" s="806"/>
      <c r="J38" s="806"/>
      <c r="K38" s="806"/>
      <c r="L38" s="806"/>
      <c r="M38" s="806"/>
      <c r="N38" s="806"/>
    </row>
    <row r="39" spans="2:14" ht="15" customHeight="1">
      <c r="B39" s="806" t="s">
        <v>789</v>
      </c>
      <c r="C39" s="806"/>
      <c r="D39" s="806"/>
      <c r="E39" s="806"/>
      <c r="F39" s="806"/>
      <c r="G39" s="806"/>
      <c r="H39" s="806"/>
      <c r="I39" s="806"/>
      <c r="J39" s="806"/>
      <c r="K39" s="806"/>
      <c r="L39" s="806"/>
      <c r="M39" s="806"/>
      <c r="N39" s="806"/>
    </row>
    <row r="40" spans="2:14" ht="10.5" customHeight="1">
      <c r="B40" s="98"/>
      <c r="C40" s="98"/>
      <c r="D40" s="98"/>
      <c r="E40" s="98"/>
      <c r="F40" s="98"/>
      <c r="G40" s="98"/>
      <c r="H40" s="98"/>
      <c r="I40" s="98"/>
      <c r="K40" s="138"/>
      <c r="L40" s="138"/>
      <c r="M40" s="138"/>
      <c r="N40" s="138"/>
    </row>
    <row r="41" spans="2:14" ht="15" customHeight="1">
      <c r="B41" s="830" t="s">
        <v>642</v>
      </c>
      <c r="C41" s="830"/>
      <c r="D41" s="830"/>
      <c r="E41" s="830"/>
      <c r="F41" s="830"/>
      <c r="G41" s="830"/>
      <c r="H41" s="830"/>
      <c r="I41" s="830"/>
      <c r="J41" s="830"/>
    </row>
    <row r="42" spans="2:14" s="179" customFormat="1" ht="15" customHeight="1">
      <c r="B42" s="59" t="str">
        <f>CONSTANCIA!B43</f>
        <v>1° Elección y nombramiento  del Presidente de la Junta de Propietarios.</v>
      </c>
      <c r="C42" s="137"/>
      <c r="D42" s="137"/>
      <c r="E42" s="137"/>
      <c r="F42" s="137"/>
      <c r="G42" s="137"/>
      <c r="H42" s="137"/>
      <c r="I42" s="137"/>
      <c r="J42" s="137"/>
      <c r="K42" s="227"/>
    </row>
    <row r="43" spans="2:14" s="179" customFormat="1" ht="15" customHeight="1">
      <c r="B43" s="59" t="str">
        <f>CONSTANCIA!B44</f>
        <v>2° Aprobación de la apertura del libro de actas.</v>
      </c>
      <c r="C43" s="137"/>
      <c r="D43" s="137"/>
      <c r="E43" s="137"/>
      <c r="F43" s="137"/>
      <c r="G43" s="137"/>
      <c r="H43" s="137"/>
      <c r="I43" s="137"/>
      <c r="J43" s="228"/>
      <c r="K43" s="227"/>
    </row>
    <row r="44" spans="2:14" s="179" customFormat="1" ht="15" customHeight="1">
      <c r="B44" s="59" t="str">
        <f>CONSTANCIA!B45</f>
        <v>3° Actualización y modificación total del reglamento interno.</v>
      </c>
      <c r="C44" s="137"/>
      <c r="D44" s="137"/>
      <c r="E44" s="137"/>
      <c r="F44" s="137"/>
      <c r="G44" s="137"/>
      <c r="H44" s="137"/>
      <c r="I44" s="137"/>
      <c r="J44" s="228"/>
      <c r="K44" s="227"/>
    </row>
    <row r="45" spans="2:14" s="179" customFormat="1" ht="15" customHeight="1">
      <c r="B45" s="59" t="str">
        <f>CONSTANCIA!B46</f>
        <v xml:space="preserve">4°Aprobacion de la independización de la "casa primer piso" en 3 unidades: "casa primer piso; "jardin"; "estacionamiento".                     </v>
      </c>
      <c r="C45" s="137"/>
      <c r="D45" s="137"/>
      <c r="E45" s="137"/>
      <c r="F45" s="137"/>
      <c r="G45" s="137"/>
      <c r="H45" s="137"/>
      <c r="I45" s="137"/>
      <c r="J45" s="228"/>
      <c r="K45" s="227"/>
    </row>
    <row r="46" spans="2:14" s="179" customFormat="1" ht="15" customHeight="1">
      <c r="B46" s="59" t="str">
        <f>CONSTANCIA!B47</f>
        <v>5° Aprobación de la ampliacion de la declaratoria de fabrica de la unidad exclusiva denominada "casa primer piso" y</v>
      </c>
      <c r="C46" s="137"/>
      <c r="D46" s="137"/>
      <c r="E46" s="137"/>
      <c r="F46" s="137"/>
      <c r="G46" s="137"/>
      <c r="H46" s="137"/>
      <c r="I46" s="137"/>
      <c r="J46" s="228"/>
      <c r="K46" s="227"/>
    </row>
    <row r="47" spans="2:14" ht="15" customHeight="1">
      <c r="B47" s="59" t="str">
        <f>CONSTANCIA!B49</f>
        <v>6° Aprobación de la modificacion de nombres de las areas comunes del segundo piso.</v>
      </c>
      <c r="C47" s="137"/>
      <c r="D47" s="137"/>
      <c r="E47" s="137"/>
      <c r="F47" s="137"/>
      <c r="G47" s="137"/>
      <c r="H47" s="137"/>
      <c r="I47" s="137"/>
      <c r="J47" s="137"/>
      <c r="K47" s="137"/>
      <c r="L47" s="137"/>
      <c r="M47" s="137"/>
      <c r="N47" s="137"/>
    </row>
    <row r="48" spans="2:14" ht="15" customHeight="1">
      <c r="B48" s="59" t="str">
        <f>CONSTANCIA!B50</f>
        <v>7° Aprobación de la modificacion de nombres de las areas comunes de la azotea.</v>
      </c>
      <c r="C48" s="137"/>
      <c r="D48" s="137"/>
      <c r="E48" s="137"/>
      <c r="F48" s="137"/>
      <c r="G48" s="137"/>
      <c r="H48" s="137"/>
      <c r="I48" s="137"/>
      <c r="J48" s="137"/>
      <c r="K48" s="137"/>
      <c r="L48" s="137"/>
      <c r="M48" s="137"/>
      <c r="N48" s="137"/>
    </row>
    <row r="49" spans="2:14" ht="15" customHeight="1">
      <c r="B49" s="59" t="str">
        <f>CONSTANCIA!B51</f>
        <v xml:space="preserve">8° Aprobación de la desafectacion de "aires del jardin interior de la casa de bajos N° 384" ubicado en el segundo piso, </v>
      </c>
      <c r="C49" s="59"/>
      <c r="D49" s="59"/>
      <c r="E49" s="59"/>
      <c r="F49" s="59"/>
      <c r="G49" s="59"/>
      <c r="H49" s="59"/>
      <c r="I49" s="59"/>
      <c r="J49" s="59"/>
      <c r="K49" s="59"/>
      <c r="L49" s="59"/>
      <c r="M49" s="59"/>
      <c r="N49" s="59"/>
    </row>
    <row r="50" spans="2:14" ht="15" customHeight="1">
      <c r="B50" s="59" t="s">
        <v>736</v>
      </c>
      <c r="C50" s="137"/>
      <c r="D50" s="137"/>
      <c r="E50" s="137"/>
      <c r="F50" s="137"/>
      <c r="G50" s="137"/>
      <c r="H50" s="137"/>
      <c r="I50" s="137"/>
      <c r="J50" s="137"/>
      <c r="K50" s="137"/>
      <c r="L50" s="137"/>
      <c r="M50" s="137"/>
      <c r="N50" s="137"/>
    </row>
    <row r="51" spans="2:14" ht="15" customHeight="1">
      <c r="B51" s="59" t="str">
        <f>CONSTANCIA!B53</f>
        <v xml:space="preserve">9° Aprobación de la desafectacion del area comun posterior de la azotea en un area ocupada de 11.85 m2 y transferencia </v>
      </c>
      <c r="C51" s="137"/>
      <c r="D51" s="137"/>
      <c r="E51" s="137"/>
      <c r="F51" s="137"/>
      <c r="G51" s="137"/>
      <c r="H51" s="137"/>
      <c r="I51" s="137"/>
      <c r="J51" s="137"/>
      <c r="K51" s="137"/>
      <c r="L51" s="137"/>
      <c r="M51" s="137"/>
      <c r="N51" s="137"/>
    </row>
    <row r="52" spans="2:14" ht="15" customHeight="1">
      <c r="B52" s="782" t="s">
        <v>735</v>
      </c>
      <c r="C52" s="908"/>
      <c r="D52" s="908"/>
      <c r="E52" s="908"/>
      <c r="F52" s="908"/>
      <c r="G52" s="908"/>
      <c r="H52" s="908"/>
      <c r="I52" s="908"/>
      <c r="J52" s="908"/>
      <c r="K52" s="137"/>
      <c r="L52" s="137"/>
      <c r="M52" s="137"/>
      <c r="N52" s="137"/>
    </row>
    <row r="53" spans="2:14" ht="10.5" customHeight="1">
      <c r="B53" s="137"/>
      <c r="C53" s="137"/>
      <c r="D53" s="137"/>
      <c r="E53" s="137"/>
      <c r="F53" s="137"/>
      <c r="G53" s="137"/>
      <c r="H53" s="137"/>
      <c r="I53" s="137"/>
      <c r="J53" s="137"/>
      <c r="K53" s="137"/>
      <c r="L53" s="137"/>
      <c r="M53" s="137"/>
      <c r="N53" s="137"/>
    </row>
    <row r="54" spans="2:14" s="230" customFormat="1" ht="15" customHeight="1">
      <c r="B54" s="831" t="s">
        <v>641</v>
      </c>
      <c r="C54" s="831"/>
      <c r="D54" s="831"/>
      <c r="E54" s="831"/>
      <c r="F54" s="831"/>
      <c r="G54" s="831"/>
      <c r="H54" s="831"/>
      <c r="I54" s="831"/>
      <c r="J54" s="831"/>
      <c r="K54" s="229"/>
      <c r="L54" s="229"/>
      <c r="M54" s="229"/>
      <c r="N54" s="229"/>
    </row>
    <row r="55" spans="2:14" s="230" customFormat="1" ht="15" customHeight="1">
      <c r="B55" s="815" t="s">
        <v>685</v>
      </c>
      <c r="C55" s="815"/>
      <c r="D55" s="815"/>
      <c r="E55" s="815"/>
      <c r="F55" s="815"/>
      <c r="G55" s="815"/>
      <c r="H55" s="815"/>
      <c r="I55" s="815"/>
      <c r="J55" s="815"/>
      <c r="K55" s="815"/>
      <c r="L55" s="815"/>
      <c r="M55" s="815"/>
      <c r="N55" s="815"/>
    </row>
    <row r="56" spans="2:14" s="230" customFormat="1" ht="10.5" customHeight="1">
      <c r="B56" s="229"/>
      <c r="C56" s="229"/>
      <c r="D56" s="229"/>
      <c r="E56" s="229"/>
      <c r="F56" s="229"/>
      <c r="G56" s="229"/>
      <c r="H56" s="229"/>
      <c r="I56" s="229"/>
      <c r="J56" s="229"/>
    </row>
    <row r="57" spans="2:14" s="230" customFormat="1" ht="15" customHeight="1">
      <c r="B57" s="815" t="s">
        <v>794</v>
      </c>
      <c r="C57" s="815"/>
      <c r="D57" s="815"/>
      <c r="E57" s="815"/>
      <c r="F57" s="815"/>
      <c r="G57" s="815"/>
      <c r="H57" s="815"/>
      <c r="I57" s="815"/>
      <c r="J57" s="815"/>
      <c r="K57" s="815"/>
      <c r="L57" s="815"/>
      <c r="M57" s="815"/>
      <c r="N57" s="815"/>
    </row>
    <row r="58" spans="2:14" s="230" customFormat="1" ht="15" customHeight="1">
      <c r="B58" s="815" t="s">
        <v>790</v>
      </c>
      <c r="C58" s="815"/>
      <c r="D58" s="815"/>
      <c r="E58" s="815"/>
      <c r="F58" s="815"/>
      <c r="G58" s="815"/>
      <c r="H58" s="815"/>
      <c r="I58" s="815"/>
      <c r="J58" s="815"/>
      <c r="K58" s="815"/>
      <c r="L58" s="815"/>
      <c r="M58" s="815"/>
      <c r="N58" s="815"/>
    </row>
    <row r="59" spans="2:14" s="230" customFormat="1" ht="10.5" customHeight="1"/>
    <row r="60" spans="2:14" s="230" customFormat="1" ht="14.25" customHeight="1">
      <c r="B60" s="813" t="s">
        <v>795</v>
      </c>
      <c r="C60" s="813"/>
      <c r="D60" s="813"/>
      <c r="E60" s="813"/>
      <c r="F60" s="813"/>
      <c r="G60" s="813"/>
      <c r="H60" s="813"/>
      <c r="I60" s="813"/>
      <c r="J60" s="813"/>
      <c r="K60" s="813"/>
      <c r="L60" s="813"/>
      <c r="M60" s="813"/>
      <c r="N60" s="813"/>
    </row>
    <row r="61" spans="2:14" s="230" customFormat="1" ht="10.5" customHeight="1">
      <c r="B61" s="231"/>
      <c r="C61" s="231"/>
      <c r="D61" s="231"/>
      <c r="E61" s="231"/>
      <c r="F61" s="231"/>
      <c r="G61" s="231"/>
      <c r="H61" s="231"/>
      <c r="I61" s="231"/>
      <c r="J61" s="231"/>
      <c r="K61" s="231"/>
      <c r="L61" s="231"/>
      <c r="M61" s="231"/>
      <c r="N61" s="231"/>
    </row>
    <row r="62" spans="2:14" s="230" customFormat="1" ht="15" customHeight="1">
      <c r="B62" s="913" t="s">
        <v>796</v>
      </c>
      <c r="C62" s="913"/>
      <c r="D62" s="913"/>
      <c r="E62" s="913"/>
      <c r="F62" s="913"/>
      <c r="G62" s="913"/>
      <c r="H62" s="913"/>
      <c r="I62" s="913"/>
      <c r="J62" s="913"/>
      <c r="K62" s="913"/>
      <c r="L62" s="913"/>
      <c r="M62" s="913"/>
      <c r="N62" s="913"/>
    </row>
    <row r="63" spans="2:14" s="230" customFormat="1" ht="15" customHeight="1">
      <c r="B63" s="913" t="s">
        <v>791</v>
      </c>
      <c r="C63" s="913"/>
      <c r="D63" s="913"/>
      <c r="E63" s="913"/>
      <c r="F63" s="913"/>
      <c r="G63" s="913"/>
      <c r="H63" s="913"/>
      <c r="I63" s="913"/>
      <c r="J63" s="913"/>
      <c r="K63" s="913"/>
      <c r="L63" s="913"/>
      <c r="M63" s="913"/>
      <c r="N63" s="913"/>
    </row>
    <row r="64" spans="2:14" s="230" customFormat="1" ht="10.5" customHeight="1">
      <c r="B64" s="231"/>
      <c r="C64" s="231"/>
      <c r="D64" s="231"/>
      <c r="E64" s="231"/>
      <c r="F64" s="231"/>
      <c r="G64" s="231"/>
      <c r="H64" s="231"/>
      <c r="I64" s="231"/>
      <c r="J64" s="231"/>
      <c r="K64" s="231"/>
      <c r="L64" s="231"/>
      <c r="M64" s="231"/>
      <c r="N64" s="231"/>
    </row>
    <row r="65" spans="2:14" s="230" customFormat="1" ht="15" customHeight="1">
      <c r="B65" s="912" t="s">
        <v>223</v>
      </c>
      <c r="C65" s="912"/>
      <c r="D65" s="912"/>
      <c r="E65" s="912"/>
      <c r="F65" s="912"/>
      <c r="G65" s="912"/>
      <c r="H65" s="912"/>
      <c r="I65" s="912"/>
      <c r="J65" s="912"/>
      <c r="K65" s="912"/>
      <c r="L65" s="912"/>
      <c r="M65" s="912"/>
      <c r="N65" s="912"/>
    </row>
    <row r="66" spans="2:14" s="230" customFormat="1" ht="15" customHeight="1">
      <c r="B66" s="911" t="s">
        <v>792</v>
      </c>
      <c r="C66" s="911"/>
      <c r="D66" s="911"/>
      <c r="E66" s="911"/>
      <c r="F66" s="911"/>
      <c r="G66" s="911"/>
      <c r="H66" s="911"/>
      <c r="I66" s="911"/>
      <c r="J66" s="911"/>
      <c r="K66" s="911"/>
      <c r="L66" s="911"/>
      <c r="M66" s="911"/>
      <c r="N66" s="911"/>
    </row>
    <row r="67" spans="2:14" s="230" customFormat="1" ht="15" customHeight="1">
      <c r="B67" s="911" t="s">
        <v>793</v>
      </c>
      <c r="C67" s="911"/>
      <c r="D67" s="911"/>
      <c r="E67" s="911"/>
      <c r="F67" s="911"/>
      <c r="G67" s="911"/>
      <c r="H67" s="911"/>
      <c r="I67" s="911"/>
      <c r="J67" s="911"/>
      <c r="K67" s="911"/>
      <c r="L67" s="911"/>
      <c r="M67" s="911"/>
      <c r="N67" s="911"/>
    </row>
    <row r="68" spans="2:14" s="230" customFormat="1" ht="15" customHeight="1">
      <c r="B68" s="911" t="s">
        <v>797</v>
      </c>
      <c r="C68" s="911"/>
      <c r="D68" s="911"/>
      <c r="E68" s="911"/>
      <c r="F68" s="911"/>
      <c r="G68" s="911"/>
      <c r="H68" s="911"/>
      <c r="I68" s="911"/>
      <c r="J68" s="911"/>
      <c r="K68" s="911"/>
      <c r="L68" s="911"/>
      <c r="M68" s="911"/>
      <c r="N68" s="911"/>
    </row>
    <row r="69" spans="2:14" s="230" customFormat="1" ht="15" customHeight="1">
      <c r="B69" s="828" t="s">
        <v>224</v>
      </c>
      <c r="C69" s="828"/>
      <c r="D69" s="828"/>
      <c r="E69" s="828"/>
      <c r="F69" s="828"/>
      <c r="G69" s="828"/>
      <c r="H69" s="828"/>
      <c r="I69" s="828"/>
      <c r="J69" s="828"/>
      <c r="K69" s="828"/>
      <c r="L69" s="828"/>
      <c r="M69" s="828"/>
      <c r="N69" s="828"/>
    </row>
    <row r="70" spans="2:14" s="230" customFormat="1" ht="10.5" customHeight="1">
      <c r="B70" s="232"/>
      <c r="C70" s="233"/>
      <c r="D70" s="233"/>
      <c r="E70" s="233"/>
      <c r="F70" s="233"/>
      <c r="G70" s="233"/>
      <c r="H70" s="233"/>
      <c r="I70" s="233"/>
      <c r="J70" s="231"/>
      <c r="K70" s="231"/>
      <c r="L70" s="231"/>
      <c r="M70" s="231"/>
      <c r="N70" s="231"/>
    </row>
    <row r="71" spans="2:14" s="230" customFormat="1" ht="15" customHeight="1">
      <c r="B71" s="827" t="s">
        <v>670</v>
      </c>
      <c r="C71" s="827"/>
      <c r="D71" s="827"/>
      <c r="E71" s="827"/>
      <c r="F71" s="827"/>
      <c r="G71" s="827"/>
      <c r="H71" s="827"/>
      <c r="I71" s="827"/>
      <c r="J71" s="827"/>
      <c r="K71" s="827"/>
      <c r="L71" s="827"/>
      <c r="M71" s="827"/>
      <c r="N71" s="827"/>
    </row>
    <row r="72" spans="2:14" s="230" customFormat="1" ht="15" customHeight="1">
      <c r="B72" s="234"/>
      <c r="C72" s="914" t="s">
        <v>176</v>
      </c>
      <c r="D72" s="914"/>
      <c r="E72" s="914"/>
      <c r="F72" s="914"/>
      <c r="G72" s="914"/>
      <c r="H72" s="914"/>
      <c r="I72" s="914"/>
      <c r="J72" s="914"/>
      <c r="K72" s="914"/>
      <c r="L72" s="914"/>
      <c r="M72" s="231"/>
      <c r="N72" s="231"/>
    </row>
    <row r="73" spans="2:14" s="230" customFormat="1" ht="15" customHeight="1">
      <c r="B73" s="234"/>
      <c r="C73" s="914" t="s">
        <v>177</v>
      </c>
      <c r="D73" s="914"/>
      <c r="E73" s="914"/>
      <c r="F73" s="914"/>
      <c r="G73" s="914"/>
      <c r="H73" s="914"/>
      <c r="I73" s="914"/>
      <c r="J73" s="914"/>
      <c r="K73" s="914"/>
      <c r="L73" s="914"/>
      <c r="M73" s="231"/>
      <c r="N73" s="231"/>
    </row>
    <row r="74" spans="2:14" ht="15" customHeight="1">
      <c r="B74" s="59"/>
      <c r="C74" s="59"/>
      <c r="E74" s="781" t="s">
        <v>87</v>
      </c>
      <c r="F74" s="781"/>
      <c r="G74" s="781" t="s">
        <v>201</v>
      </c>
      <c r="H74" s="781"/>
      <c r="I74" s="781"/>
    </row>
    <row r="75" spans="2:14" ht="15" customHeight="1">
      <c r="B75" s="59"/>
      <c r="C75" s="59"/>
      <c r="E75" s="781" t="s">
        <v>701</v>
      </c>
      <c r="F75" s="781"/>
      <c r="G75" s="910" t="s">
        <v>201</v>
      </c>
      <c r="H75" s="910"/>
      <c r="I75" s="910"/>
    </row>
    <row r="76" spans="2:14" ht="15" customHeight="1">
      <c r="B76" s="59"/>
      <c r="C76" s="59"/>
      <c r="E76" s="781" t="s">
        <v>702</v>
      </c>
      <c r="F76" s="781"/>
      <c r="G76" s="909" t="s">
        <v>755</v>
      </c>
      <c r="H76" s="909"/>
      <c r="I76" s="909"/>
    </row>
    <row r="77" spans="2:14" ht="15" customHeight="1">
      <c r="B77" s="59"/>
      <c r="C77" s="59"/>
      <c r="E77" s="781" t="s">
        <v>703</v>
      </c>
      <c r="F77" s="781"/>
      <c r="G77" s="826" t="str">
        <f>DATOS!D20</f>
        <v>-</v>
      </c>
      <c r="H77" s="826"/>
      <c r="I77" s="826"/>
    </row>
    <row r="78" spans="2:14" ht="15" customHeight="1">
      <c r="B78" s="59"/>
      <c r="C78" s="59"/>
      <c r="E78" s="781" t="s">
        <v>704</v>
      </c>
      <c r="F78" s="781"/>
      <c r="G78" s="807" t="str">
        <f>DATOS!D21</f>
        <v>-</v>
      </c>
      <c r="H78" s="807"/>
      <c r="I78" s="807"/>
    </row>
    <row r="79" spans="2:14" ht="15" customHeight="1">
      <c r="B79" s="59"/>
      <c r="C79" s="59"/>
      <c r="E79" s="781" t="s">
        <v>705</v>
      </c>
      <c r="F79" s="781"/>
      <c r="G79" s="807" t="s">
        <v>648</v>
      </c>
      <c r="H79" s="807"/>
      <c r="I79" s="807"/>
    </row>
    <row r="80" spans="2:14" ht="15" customHeight="1">
      <c r="B80" s="59"/>
      <c r="C80" s="59"/>
      <c r="E80" s="781" t="s">
        <v>706</v>
      </c>
      <c r="F80" s="781"/>
      <c r="G80" s="807" t="s">
        <v>654</v>
      </c>
      <c r="H80" s="807"/>
      <c r="I80" s="807"/>
    </row>
    <row r="81" spans="2:14" ht="15" customHeight="1">
      <c r="B81" s="59"/>
      <c r="C81" s="59"/>
      <c r="E81" s="781" t="s">
        <v>200</v>
      </c>
      <c r="F81" s="781"/>
      <c r="G81" s="807" t="s">
        <v>49</v>
      </c>
      <c r="H81" s="807"/>
      <c r="I81" s="807"/>
    </row>
    <row r="82" spans="2:14" ht="10.5" customHeight="1">
      <c r="B82" s="59"/>
      <c r="C82" s="59"/>
      <c r="D82" s="205"/>
      <c r="E82" s="205"/>
      <c r="F82" s="104"/>
      <c r="G82" s="104"/>
      <c r="H82" s="104"/>
      <c r="I82" s="59"/>
      <c r="J82" s="154"/>
      <c r="K82" s="154"/>
      <c r="L82" s="154"/>
      <c r="M82" s="154"/>
      <c r="N82" s="154"/>
    </row>
    <row r="83" spans="2:14" ht="15" customHeight="1">
      <c r="B83" s="762" t="s">
        <v>707</v>
      </c>
      <c r="C83" s="762"/>
      <c r="D83" s="762"/>
      <c r="E83" s="762"/>
      <c r="F83" s="762"/>
      <c r="G83" s="762"/>
      <c r="H83" s="209">
        <v>3</v>
      </c>
      <c r="I83" s="915" t="s">
        <v>199</v>
      </c>
      <c r="J83" s="915"/>
      <c r="K83" s="915"/>
      <c r="L83" s="915"/>
      <c r="M83" s="915"/>
      <c r="N83" s="154"/>
    </row>
    <row r="84" spans="2:14" s="60" customFormat="1" ht="15" customHeight="1">
      <c r="B84" s="762" t="s">
        <v>664</v>
      </c>
      <c r="C84" s="762"/>
      <c r="D84" s="762"/>
      <c r="E84" s="762"/>
      <c r="F84" s="762"/>
      <c r="G84" s="762"/>
      <c r="H84" s="762"/>
      <c r="I84" s="762"/>
      <c r="J84" s="762"/>
      <c r="K84" s="762"/>
      <c r="L84" s="762"/>
      <c r="M84" s="762"/>
      <c r="N84" s="762"/>
    </row>
    <row r="85" spans="2:14" s="60" customFormat="1" ht="15" customHeight="1">
      <c r="B85" s="762" t="s">
        <v>178</v>
      </c>
      <c r="C85" s="762"/>
      <c r="D85" s="762"/>
      <c r="E85" s="762"/>
      <c r="F85" s="762"/>
      <c r="G85" s="762"/>
      <c r="H85" s="762"/>
      <c r="I85" s="762"/>
      <c r="J85" s="762"/>
      <c r="K85" s="762"/>
      <c r="L85" s="762"/>
      <c r="M85" s="762"/>
      <c r="N85" s="762"/>
    </row>
    <row r="86" spans="2:14" ht="10.5" customHeight="1">
      <c r="B86" s="59"/>
      <c r="C86" s="59"/>
      <c r="D86" s="59"/>
      <c r="E86" s="59"/>
      <c r="F86" s="59"/>
      <c r="G86" s="59"/>
      <c r="H86" s="59"/>
      <c r="I86" s="59"/>
      <c r="J86" s="154"/>
      <c r="K86" s="154"/>
      <c r="L86" s="154"/>
      <c r="M86" s="154"/>
      <c r="N86" s="154"/>
    </row>
    <row r="87" spans="2:14" s="60" customFormat="1" ht="15" customHeight="1">
      <c r="B87" s="713" t="s">
        <v>179</v>
      </c>
      <c r="C87" s="713"/>
      <c r="D87" s="713"/>
      <c r="E87" s="713"/>
      <c r="F87" s="713"/>
      <c r="G87" s="713"/>
      <c r="H87" s="713"/>
      <c r="I87" s="713"/>
      <c r="J87" s="713"/>
      <c r="K87" s="713"/>
      <c r="L87" s="713"/>
      <c r="M87" s="713"/>
      <c r="N87" s="713"/>
    </row>
    <row r="88" spans="2:14" s="60" customFormat="1" ht="15" customHeight="1">
      <c r="B88" s="713" t="s">
        <v>180</v>
      </c>
      <c r="C88" s="713"/>
      <c r="D88" s="713"/>
      <c r="E88" s="713"/>
      <c r="F88" s="713"/>
      <c r="G88" s="713"/>
      <c r="H88" s="713"/>
      <c r="I88" s="713"/>
      <c r="J88" s="713"/>
      <c r="K88" s="713"/>
      <c r="L88" s="713"/>
      <c r="M88" s="713"/>
      <c r="N88" s="713"/>
    </row>
    <row r="89" spans="2:14" ht="10.5" customHeight="1" thickBot="1">
      <c r="B89" s="210"/>
      <c r="J89" s="154"/>
      <c r="K89" s="154"/>
      <c r="L89" s="154"/>
      <c r="M89" s="154"/>
      <c r="N89" s="154"/>
    </row>
    <row r="90" spans="2:14" ht="15" customHeight="1">
      <c r="B90" s="810" t="s">
        <v>205</v>
      </c>
      <c r="C90" s="786"/>
      <c r="D90" s="786" t="s">
        <v>494</v>
      </c>
      <c r="E90" s="786"/>
      <c r="F90" s="786" t="s">
        <v>779</v>
      </c>
      <c r="G90" s="786"/>
      <c r="H90" s="786" t="s">
        <v>758</v>
      </c>
      <c r="I90" s="786"/>
      <c r="J90" s="755" t="s">
        <v>181</v>
      </c>
      <c r="K90" s="755"/>
      <c r="L90" s="755"/>
      <c r="M90" s="755" t="s">
        <v>202</v>
      </c>
      <c r="N90" s="764"/>
    </row>
    <row r="91" spans="2:14" ht="15" customHeight="1">
      <c r="B91" s="795"/>
      <c r="C91" s="796"/>
      <c r="D91" s="796"/>
      <c r="E91" s="796"/>
      <c r="F91" s="796"/>
      <c r="G91" s="796"/>
      <c r="H91" s="796"/>
      <c r="I91" s="796"/>
      <c r="J91" s="761"/>
      <c r="K91" s="761"/>
      <c r="L91" s="761"/>
      <c r="M91" s="761"/>
      <c r="N91" s="812"/>
    </row>
    <row r="92" spans="2:14" ht="15" customHeight="1">
      <c r="B92" s="864" t="s">
        <v>649</v>
      </c>
      <c r="C92" s="865"/>
      <c r="D92" s="865" t="s">
        <v>666</v>
      </c>
      <c r="E92" s="865"/>
      <c r="F92" s="820" t="e">
        <f>#REF!</f>
        <v>#REF!</v>
      </c>
      <c r="G92" s="820"/>
      <c r="H92" s="819" t="e">
        <f>#REF!</f>
        <v>#REF!</v>
      </c>
      <c r="I92" s="819"/>
      <c r="J92" s="811" t="s">
        <v>646</v>
      </c>
      <c r="K92" s="811"/>
      <c r="L92" s="811"/>
      <c r="M92" s="808" t="s">
        <v>203</v>
      </c>
      <c r="N92" s="809"/>
    </row>
    <row r="93" spans="2:14" ht="15" customHeight="1">
      <c r="B93" s="864" t="s">
        <v>466</v>
      </c>
      <c r="C93" s="865"/>
      <c r="D93" s="811" t="s">
        <v>466</v>
      </c>
      <c r="E93" s="811"/>
      <c r="F93" s="819" t="e">
        <f>#REF!</f>
        <v>#REF!</v>
      </c>
      <c r="G93" s="819"/>
      <c r="H93" s="819" t="e">
        <f>#REF!</f>
        <v>#REF!</v>
      </c>
      <c r="I93" s="819"/>
      <c r="J93" s="811" t="s">
        <v>466</v>
      </c>
      <c r="K93" s="811"/>
      <c r="L93" s="811"/>
      <c r="M93" s="808" t="s">
        <v>203</v>
      </c>
      <c r="N93" s="809"/>
    </row>
    <row r="94" spans="2:14" ht="15" customHeight="1">
      <c r="B94" s="883" t="s">
        <v>805</v>
      </c>
      <c r="C94" s="882"/>
      <c r="D94" s="881" t="s">
        <v>805</v>
      </c>
      <c r="E94" s="882"/>
      <c r="F94" s="879" t="e">
        <f>#REF!</f>
        <v>#REF!</v>
      </c>
      <c r="G94" s="880"/>
      <c r="H94" s="879" t="e">
        <f>#REF!</f>
        <v>#REF!</v>
      </c>
      <c r="I94" s="880"/>
      <c r="J94" s="876" t="s">
        <v>805</v>
      </c>
      <c r="K94" s="877"/>
      <c r="L94" s="878"/>
      <c r="M94" s="874" t="s">
        <v>203</v>
      </c>
      <c r="N94" s="875"/>
    </row>
    <row r="95" spans="2:14" ht="15" customHeight="1" thickBot="1">
      <c r="B95" s="866" t="s">
        <v>665</v>
      </c>
      <c r="C95" s="867"/>
      <c r="D95" s="867" t="s">
        <v>667</v>
      </c>
      <c r="E95" s="867"/>
      <c r="F95" s="871" t="e">
        <f>#REF!+#REF!</f>
        <v>#REF!</v>
      </c>
      <c r="G95" s="871"/>
      <c r="H95" s="871" t="e">
        <f>#REF!+#REF!</f>
        <v>#REF!</v>
      </c>
      <c r="I95" s="871"/>
      <c r="J95" s="868" t="s">
        <v>669</v>
      </c>
      <c r="K95" s="868"/>
      <c r="L95" s="868"/>
      <c r="M95" s="891" t="s">
        <v>668</v>
      </c>
      <c r="N95" s="892"/>
    </row>
    <row r="96" spans="2:14" ht="15" customHeight="1" thickBot="1">
      <c r="B96" s="59"/>
      <c r="C96" s="59"/>
      <c r="D96" s="59"/>
      <c r="F96" s="872" t="e">
        <f>SUM(F92:F95)</f>
        <v>#REF!</v>
      </c>
      <c r="G96" s="873"/>
      <c r="H96" s="869" t="e">
        <f>SUM(H92:I95)</f>
        <v>#REF!</v>
      </c>
      <c r="I96" s="870"/>
      <c r="N96" s="154"/>
    </row>
    <row r="97" spans="2:14" ht="10.5" customHeight="1">
      <c r="B97" s="59"/>
      <c r="C97" s="59"/>
      <c r="D97" s="59"/>
      <c r="E97" s="59"/>
      <c r="F97" s="59"/>
      <c r="G97" s="59"/>
      <c r="H97" s="59"/>
      <c r="I97" s="59"/>
      <c r="N97" s="154"/>
    </row>
    <row r="98" spans="2:14" s="60" customFormat="1" ht="15" customHeight="1">
      <c r="B98" s="713" t="s">
        <v>182</v>
      </c>
      <c r="C98" s="713"/>
      <c r="D98" s="713"/>
      <c r="E98" s="713"/>
      <c r="F98" s="713"/>
      <c r="G98" s="713"/>
      <c r="H98" s="713"/>
      <c r="I98" s="713"/>
      <c r="J98" s="713"/>
      <c r="K98" s="713"/>
      <c r="L98" s="713"/>
      <c r="M98" s="713"/>
      <c r="N98" s="713"/>
    </row>
    <row r="99" spans="2:14" s="60" customFormat="1" ht="15" customHeight="1">
      <c r="B99" s="714" t="s">
        <v>190</v>
      </c>
      <c r="C99" s="714"/>
      <c r="D99" s="714"/>
      <c r="E99" s="714"/>
      <c r="F99" s="714"/>
      <c r="G99" s="714"/>
      <c r="H99" s="714"/>
      <c r="I99" s="714"/>
      <c r="J99" s="714"/>
      <c r="K99" s="714"/>
      <c r="L99" s="714"/>
      <c r="M99" s="714"/>
      <c r="N99" s="714"/>
    </row>
    <row r="100" spans="2:14" s="60" customFormat="1" ht="15" customHeight="1">
      <c r="B100" s="714" t="s">
        <v>191</v>
      </c>
      <c r="C100" s="714"/>
      <c r="D100" s="714"/>
      <c r="E100" s="714"/>
      <c r="F100" s="714"/>
      <c r="G100" s="714"/>
      <c r="H100" s="714"/>
      <c r="I100" s="714"/>
      <c r="J100" s="714"/>
      <c r="K100" s="714"/>
      <c r="L100" s="714"/>
      <c r="M100" s="714"/>
      <c r="N100" s="714"/>
    </row>
    <row r="101" spans="2:14" s="60" customFormat="1" ht="15" customHeight="1">
      <c r="B101" s="714" t="s">
        <v>183</v>
      </c>
      <c r="C101" s="714"/>
      <c r="D101" s="714"/>
      <c r="E101" s="714"/>
      <c r="F101" s="714"/>
      <c r="G101" s="714"/>
      <c r="H101" s="714"/>
      <c r="I101" s="714"/>
      <c r="J101" s="714"/>
      <c r="K101" s="714"/>
      <c r="L101" s="714"/>
      <c r="M101" s="714"/>
      <c r="N101" s="714"/>
    </row>
    <row r="102" spans="2:14" ht="10.5" customHeight="1" thickBot="1">
      <c r="C102" s="211"/>
      <c r="J102" s="154"/>
      <c r="M102" s="154"/>
      <c r="N102" s="154"/>
    </row>
    <row r="103" spans="2:14" ht="15" customHeight="1">
      <c r="B103" s="884" t="s">
        <v>184</v>
      </c>
      <c r="C103" s="725"/>
      <c r="D103" s="725"/>
      <c r="E103" s="725" t="s">
        <v>186</v>
      </c>
      <c r="F103" s="725"/>
      <c r="G103" s="725"/>
      <c r="H103" s="725" t="s">
        <v>185</v>
      </c>
      <c r="I103" s="725"/>
      <c r="J103" s="725"/>
      <c r="K103" s="725" t="s">
        <v>202</v>
      </c>
      <c r="L103" s="725"/>
      <c r="M103" s="823"/>
      <c r="N103" s="154"/>
    </row>
    <row r="104" spans="2:14" ht="15" customHeight="1" thickBot="1">
      <c r="B104" s="885"/>
      <c r="C104" s="824"/>
      <c r="D104" s="824"/>
      <c r="E104" s="824"/>
      <c r="F104" s="824"/>
      <c r="G104" s="824"/>
      <c r="H104" s="824"/>
      <c r="I104" s="824"/>
      <c r="J104" s="824"/>
      <c r="K104" s="824"/>
      <c r="L104" s="824"/>
      <c r="M104" s="825"/>
      <c r="N104" s="154"/>
    </row>
    <row r="105" spans="2:14" ht="15" customHeight="1">
      <c r="B105" s="888" t="s">
        <v>655</v>
      </c>
      <c r="C105" s="889"/>
      <c r="D105" s="889"/>
      <c r="E105" s="822" t="e">
        <f>#REF!</f>
        <v>#REF!</v>
      </c>
      <c r="F105" s="822"/>
      <c r="G105" s="822"/>
      <c r="H105" s="890" t="e">
        <f>#REF!</f>
        <v>#REF!</v>
      </c>
      <c r="I105" s="890"/>
      <c r="J105" s="890"/>
      <c r="K105" s="886" t="s">
        <v>203</v>
      </c>
      <c r="L105" s="886"/>
      <c r="M105" s="887"/>
      <c r="N105" s="154"/>
    </row>
    <row r="106" spans="2:14" ht="15" customHeight="1">
      <c r="B106" s="846" t="s">
        <v>662</v>
      </c>
      <c r="C106" s="847"/>
      <c r="D106" s="847"/>
      <c r="E106" s="821" t="e">
        <f>#REF!</f>
        <v>#REF!</v>
      </c>
      <c r="F106" s="821"/>
      <c r="G106" s="821"/>
      <c r="H106" s="829" t="e">
        <f>#REF!</f>
        <v>#REF!</v>
      </c>
      <c r="I106" s="829"/>
      <c r="J106" s="829"/>
      <c r="K106" s="817" t="s">
        <v>204</v>
      </c>
      <c r="L106" s="817"/>
      <c r="M106" s="818"/>
      <c r="N106" s="154"/>
    </row>
    <row r="107" spans="2:14" ht="15" customHeight="1">
      <c r="B107" s="846" t="s">
        <v>656</v>
      </c>
      <c r="C107" s="847"/>
      <c r="D107" s="847"/>
      <c r="E107" s="821" t="e">
        <f>#REF!</f>
        <v>#REF!</v>
      </c>
      <c r="F107" s="821"/>
      <c r="G107" s="821"/>
      <c r="H107" s="829" t="e">
        <f>#REF!</f>
        <v>#REF!</v>
      </c>
      <c r="I107" s="829"/>
      <c r="J107" s="829"/>
      <c r="K107" s="817" t="s">
        <v>204</v>
      </c>
      <c r="L107" s="817"/>
      <c r="M107" s="818"/>
      <c r="N107" s="154"/>
    </row>
    <row r="108" spans="2:14" ht="15" customHeight="1">
      <c r="B108" s="846" t="s">
        <v>661</v>
      </c>
      <c r="C108" s="847"/>
      <c r="D108" s="847"/>
      <c r="E108" s="821" t="e">
        <f>#REF!</f>
        <v>#REF!</v>
      </c>
      <c r="F108" s="821"/>
      <c r="G108" s="821"/>
      <c r="H108" s="829" t="e">
        <f>#REF!</f>
        <v>#REF!</v>
      </c>
      <c r="I108" s="829"/>
      <c r="J108" s="829"/>
      <c r="K108" s="817" t="s">
        <v>204</v>
      </c>
      <c r="L108" s="817"/>
      <c r="M108" s="818"/>
      <c r="N108" s="154"/>
    </row>
    <row r="109" spans="2:14" ht="15" customHeight="1">
      <c r="B109" s="846" t="s">
        <v>658</v>
      </c>
      <c r="C109" s="847"/>
      <c r="D109" s="847"/>
      <c r="E109" s="821" t="e">
        <f>#REF!</f>
        <v>#REF!</v>
      </c>
      <c r="F109" s="821"/>
      <c r="G109" s="821"/>
      <c r="H109" s="829" t="e">
        <f>#REF!</f>
        <v>#REF!</v>
      </c>
      <c r="I109" s="829"/>
      <c r="J109" s="829"/>
      <c r="K109" s="817" t="s">
        <v>481</v>
      </c>
      <c r="L109" s="817"/>
      <c r="M109" s="818"/>
      <c r="N109" s="154"/>
    </row>
    <row r="110" spans="2:14" ht="15" customHeight="1">
      <c r="B110" s="846" t="s">
        <v>657</v>
      </c>
      <c r="C110" s="847"/>
      <c r="D110" s="847"/>
      <c r="E110" s="821" t="e">
        <f>#REF!</f>
        <v>#REF!</v>
      </c>
      <c r="F110" s="821"/>
      <c r="G110" s="821"/>
      <c r="H110" s="829" t="e">
        <f>#REF!</f>
        <v>#REF!</v>
      </c>
      <c r="I110" s="829"/>
      <c r="J110" s="829"/>
      <c r="K110" s="817" t="s">
        <v>481</v>
      </c>
      <c r="L110" s="817"/>
      <c r="M110" s="818"/>
      <c r="N110" s="154"/>
    </row>
    <row r="111" spans="2:14" ht="15" customHeight="1" thickBot="1">
      <c r="B111" s="857" t="s">
        <v>723</v>
      </c>
      <c r="C111" s="858"/>
      <c r="D111" s="858"/>
      <c r="E111" s="852" t="e">
        <f>#REF!</f>
        <v>#REF!</v>
      </c>
      <c r="F111" s="852"/>
      <c r="G111" s="852"/>
      <c r="H111" s="893" t="e">
        <f>#REF!</f>
        <v>#REF!</v>
      </c>
      <c r="I111" s="893"/>
      <c r="J111" s="893"/>
      <c r="K111" s="853" t="s">
        <v>668</v>
      </c>
      <c r="L111" s="853"/>
      <c r="M111" s="854"/>
      <c r="N111" s="154"/>
    </row>
    <row r="112" spans="2:14" s="60" customFormat="1" ht="15" customHeight="1">
      <c r="B112" s="713" t="s">
        <v>187</v>
      </c>
      <c r="C112" s="713"/>
      <c r="D112" s="713"/>
      <c r="E112" s="713"/>
      <c r="F112" s="713"/>
      <c r="G112" s="713"/>
      <c r="H112" s="713"/>
      <c r="I112" s="713"/>
      <c r="J112" s="713"/>
      <c r="K112" s="713"/>
      <c r="L112" s="713"/>
      <c r="M112" s="713"/>
      <c r="N112" s="225"/>
    </row>
    <row r="113" spans="2:14" s="60" customFormat="1" ht="15" customHeight="1">
      <c r="B113" s="714" t="s">
        <v>188</v>
      </c>
      <c r="C113" s="714"/>
      <c r="D113" s="714"/>
      <c r="E113" s="714"/>
      <c r="F113" s="714"/>
      <c r="G113" s="714"/>
      <c r="H113" s="714"/>
      <c r="I113" s="714"/>
      <c r="J113" s="714"/>
      <c r="K113" s="714"/>
      <c r="L113" s="714"/>
      <c r="M113" s="714"/>
      <c r="N113" s="714"/>
    </row>
    <row r="114" spans="2:14" s="60" customFormat="1" ht="15" customHeight="1">
      <c r="B114" s="714" t="s">
        <v>714</v>
      </c>
      <c r="C114" s="714"/>
      <c r="D114" s="714"/>
      <c r="E114" s="714"/>
      <c r="F114" s="714"/>
      <c r="G114" s="714"/>
      <c r="H114" s="714"/>
      <c r="I114" s="714"/>
      <c r="J114" s="714"/>
      <c r="K114" s="714"/>
      <c r="L114" s="714"/>
      <c r="M114" s="714"/>
      <c r="N114" s="714"/>
    </row>
    <row r="115" spans="2:14" s="60" customFormat="1" ht="15" customHeight="1">
      <c r="B115" s="714" t="s">
        <v>716</v>
      </c>
      <c r="C115" s="714"/>
      <c r="D115" s="714"/>
      <c r="E115" s="714"/>
      <c r="F115" s="714"/>
      <c r="G115" s="714"/>
      <c r="H115" s="714"/>
      <c r="I115" s="714"/>
      <c r="J115" s="714"/>
      <c r="K115" s="714"/>
      <c r="L115" s="714"/>
      <c r="M115" s="714"/>
      <c r="N115" s="714"/>
    </row>
    <row r="116" spans="2:14" s="60" customFormat="1" ht="15" customHeight="1">
      <c r="B116" s="714" t="s">
        <v>715</v>
      </c>
      <c r="C116" s="714"/>
      <c r="D116" s="714"/>
      <c r="E116" s="714"/>
      <c r="F116" s="714"/>
      <c r="G116" s="714"/>
      <c r="H116" s="714"/>
      <c r="I116" s="714"/>
      <c r="J116" s="714"/>
      <c r="K116" s="714"/>
      <c r="L116" s="714"/>
      <c r="M116" s="714"/>
      <c r="N116" s="714"/>
    </row>
    <row r="117" spans="2:14" s="60" customFormat="1" ht="15" customHeight="1">
      <c r="B117" s="714" t="s">
        <v>439</v>
      </c>
      <c r="C117" s="714"/>
      <c r="D117" s="714"/>
      <c r="E117" s="714"/>
      <c r="F117" s="714"/>
      <c r="G117" s="714"/>
      <c r="H117" s="714"/>
      <c r="I117" s="714"/>
      <c r="J117" s="714"/>
      <c r="K117" s="714"/>
      <c r="L117" s="714"/>
      <c r="M117" s="714"/>
      <c r="N117" s="714"/>
    </row>
    <row r="118" spans="2:14" s="60" customFormat="1" ht="15" customHeight="1">
      <c r="B118" s="714" t="s">
        <v>440</v>
      </c>
      <c r="C118" s="714"/>
      <c r="D118" s="714"/>
      <c r="E118" s="714"/>
      <c r="F118" s="714"/>
      <c r="G118" s="714"/>
      <c r="H118" s="714"/>
      <c r="I118" s="714"/>
      <c r="J118" s="714"/>
      <c r="K118" s="714"/>
      <c r="L118" s="714"/>
      <c r="M118" s="714"/>
      <c r="N118" s="714"/>
    </row>
    <row r="119" spans="2:14" s="60" customFormat="1" ht="15" customHeight="1">
      <c r="B119" s="714" t="s">
        <v>441</v>
      </c>
      <c r="C119" s="714"/>
      <c r="D119" s="714"/>
      <c r="E119" s="714"/>
      <c r="F119" s="714"/>
      <c r="G119" s="714"/>
      <c r="H119" s="714"/>
      <c r="I119" s="714"/>
      <c r="J119" s="714"/>
      <c r="K119" s="714"/>
      <c r="L119" s="714"/>
      <c r="M119" s="714"/>
      <c r="N119" s="714"/>
    </row>
    <row r="120" spans="2:14" ht="10.5" customHeight="1">
      <c r="B120" s="205"/>
      <c r="C120" s="205"/>
      <c r="D120" s="205"/>
      <c r="E120" s="205"/>
      <c r="F120" s="205"/>
      <c r="G120" s="205"/>
      <c r="H120" s="205"/>
      <c r="I120" s="205"/>
      <c r="J120" s="154"/>
      <c r="N120" s="154"/>
    </row>
    <row r="121" spans="2:14" s="60" customFormat="1" ht="15" customHeight="1">
      <c r="B121" s="713" t="s">
        <v>189</v>
      </c>
      <c r="C121" s="713"/>
      <c r="D121" s="713"/>
      <c r="E121" s="713"/>
      <c r="F121" s="713"/>
      <c r="G121" s="713"/>
      <c r="H121" s="713"/>
      <c r="I121" s="713"/>
      <c r="J121" s="713"/>
      <c r="K121" s="713"/>
      <c r="L121" s="713"/>
      <c r="M121" s="713"/>
      <c r="N121" s="713"/>
    </row>
    <row r="122" spans="2:14" s="60" customFormat="1" ht="15" customHeight="1">
      <c r="B122" s="714" t="s">
        <v>192</v>
      </c>
      <c r="C122" s="714"/>
      <c r="D122" s="714"/>
      <c r="E122" s="714"/>
      <c r="F122" s="714"/>
      <c r="G122" s="714"/>
      <c r="H122" s="714"/>
      <c r="I122" s="714"/>
      <c r="J122" s="714"/>
      <c r="K122" s="714"/>
      <c r="L122" s="714"/>
      <c r="M122" s="714"/>
      <c r="N122" s="714"/>
    </row>
    <row r="123" spans="2:14" s="60" customFormat="1" ht="15" customHeight="1">
      <c r="B123" s="714" t="s">
        <v>193</v>
      </c>
      <c r="C123" s="714"/>
      <c r="D123" s="714"/>
      <c r="E123" s="714"/>
      <c r="F123" s="714"/>
      <c r="G123" s="714"/>
      <c r="H123" s="714"/>
      <c r="I123" s="714"/>
      <c r="J123" s="714"/>
      <c r="K123" s="714"/>
      <c r="L123" s="714"/>
      <c r="M123" s="714"/>
      <c r="N123" s="714"/>
    </row>
    <row r="124" spans="2:14" s="60" customFormat="1" ht="15" customHeight="1">
      <c r="B124" s="714" t="s">
        <v>194</v>
      </c>
      <c r="C124" s="714"/>
      <c r="D124" s="714"/>
      <c r="E124" s="714"/>
      <c r="F124" s="714"/>
      <c r="G124" s="714"/>
      <c r="H124" s="714"/>
      <c r="I124" s="714"/>
      <c r="J124" s="714"/>
      <c r="K124" s="714"/>
      <c r="L124" s="714"/>
      <c r="M124" s="714"/>
      <c r="N124" s="714"/>
    </row>
    <row r="125" spans="2:14" s="60" customFormat="1" ht="15" customHeight="1">
      <c r="B125" s="714" t="s">
        <v>195</v>
      </c>
      <c r="C125" s="714"/>
      <c r="D125" s="714"/>
      <c r="E125" s="714"/>
      <c r="F125" s="714"/>
      <c r="G125" s="714"/>
      <c r="H125" s="714"/>
      <c r="I125" s="714"/>
      <c r="J125" s="714"/>
      <c r="K125" s="714"/>
      <c r="L125" s="714"/>
      <c r="M125" s="714"/>
      <c r="N125" s="714"/>
    </row>
    <row r="126" spans="2:14" s="60" customFormat="1" ht="15" customHeight="1">
      <c r="B126" s="714" t="s">
        <v>196</v>
      </c>
      <c r="C126" s="714"/>
      <c r="D126" s="714"/>
      <c r="E126" s="714"/>
      <c r="F126" s="714"/>
      <c r="G126" s="714"/>
      <c r="H126" s="714"/>
      <c r="I126" s="714"/>
      <c r="J126" s="714"/>
      <c r="K126" s="714"/>
      <c r="L126" s="714"/>
      <c r="M126" s="714"/>
      <c r="N126" s="714"/>
    </row>
    <row r="127" spans="2:14" s="60" customFormat="1" ht="10.5" customHeight="1" thickBot="1">
      <c r="B127" s="185"/>
      <c r="C127" s="185"/>
      <c r="D127" s="185"/>
      <c r="E127" s="185"/>
      <c r="F127" s="185"/>
      <c r="G127" s="185"/>
      <c r="H127" s="185"/>
      <c r="I127" s="185"/>
      <c r="J127" s="185"/>
      <c r="K127" s="185"/>
      <c r="L127" s="185"/>
      <c r="M127" s="185"/>
      <c r="N127" s="185"/>
    </row>
    <row r="128" spans="2:14" ht="15" customHeight="1">
      <c r="E128" s="754" t="s">
        <v>197</v>
      </c>
      <c r="F128" s="755"/>
      <c r="G128" s="786" t="s">
        <v>717</v>
      </c>
      <c r="H128" s="787"/>
      <c r="N128" s="154"/>
    </row>
    <row r="129" spans="2:14" ht="15" customHeight="1" thickBot="1">
      <c r="E129" s="756"/>
      <c r="F129" s="757"/>
      <c r="G129" s="788"/>
      <c r="H129" s="789"/>
      <c r="N129" s="154"/>
    </row>
    <row r="130" spans="2:14" ht="15" customHeight="1">
      <c r="B130" s="59"/>
      <c r="C130" s="59"/>
      <c r="E130" s="797" t="str">
        <f>D92</f>
        <v>CASA 1</v>
      </c>
      <c r="F130" s="798"/>
      <c r="G130" s="729" t="e">
        <f>ROUND(F92/F96*100,2)</f>
        <v>#REF!</v>
      </c>
      <c r="H130" s="730"/>
      <c r="I130" s="59"/>
      <c r="N130" s="154"/>
    </row>
    <row r="131" spans="2:14" ht="15" customHeight="1">
      <c r="B131" s="59"/>
      <c r="C131" s="59"/>
      <c r="E131" s="855" t="s">
        <v>805</v>
      </c>
      <c r="F131" s="856"/>
      <c r="G131" s="729" t="e">
        <f>ROUND(F93/F96*100,2)</f>
        <v>#REF!</v>
      </c>
      <c r="H131" s="730"/>
      <c r="I131" s="59"/>
      <c r="N131" s="154"/>
    </row>
    <row r="132" spans="2:14" ht="15" customHeight="1">
      <c r="E132" s="795" t="str">
        <f>D93</f>
        <v>ESTACIONAMIENTO</v>
      </c>
      <c r="F132" s="796"/>
      <c r="G132" s="729" t="e">
        <f>ROUND(F94/F96*100,2)</f>
        <v>#REF!</v>
      </c>
      <c r="H132" s="730"/>
      <c r="N132" s="154"/>
    </row>
    <row r="133" spans="2:14" ht="15" customHeight="1" thickBot="1">
      <c r="B133" s="59"/>
      <c r="C133" s="59"/>
      <c r="E133" s="803" t="str">
        <f>D95</f>
        <v>CASA 2</v>
      </c>
      <c r="F133" s="804"/>
      <c r="G133" s="729" t="e">
        <f>ROUND(F95/F96*100,2)</f>
        <v>#REF!</v>
      </c>
      <c r="H133" s="730"/>
      <c r="I133" s="59"/>
      <c r="N133" s="154"/>
    </row>
    <row r="134" spans="2:14" ht="15" customHeight="1" thickBot="1">
      <c r="E134" s="793" t="s">
        <v>60</v>
      </c>
      <c r="F134" s="794"/>
      <c r="G134" s="727" t="e">
        <f>SUM(G130:H133)</f>
        <v>#REF!</v>
      </c>
      <c r="H134" s="728"/>
      <c r="N134" s="154"/>
    </row>
    <row r="135" spans="2:14" ht="10.5" customHeight="1">
      <c r="D135" s="146"/>
      <c r="E135" s="212"/>
      <c r="J135" s="154"/>
      <c r="K135" s="154"/>
      <c r="L135" s="154"/>
      <c r="M135" s="154"/>
      <c r="N135" s="154"/>
    </row>
    <row r="136" spans="2:14" s="60" customFormat="1" ht="15" customHeight="1">
      <c r="B136" s="776" t="s">
        <v>216</v>
      </c>
      <c r="C136" s="776"/>
      <c r="D136" s="776"/>
      <c r="E136" s="776"/>
      <c r="F136" s="776"/>
      <c r="G136" s="776"/>
      <c r="H136" s="776"/>
      <c r="I136" s="776"/>
      <c r="J136" s="776"/>
      <c r="K136" s="776"/>
      <c r="L136" s="776"/>
      <c r="M136" s="776"/>
      <c r="N136" s="776"/>
    </row>
    <row r="137" spans="2:14" s="60" customFormat="1" ht="15" customHeight="1">
      <c r="B137" s="762" t="s">
        <v>192</v>
      </c>
      <c r="C137" s="762"/>
      <c r="D137" s="762"/>
      <c r="E137" s="762"/>
      <c r="F137" s="762"/>
      <c r="G137" s="762"/>
      <c r="H137" s="762"/>
      <c r="I137" s="762"/>
      <c r="J137" s="762"/>
      <c r="K137" s="762"/>
      <c r="L137" s="762"/>
      <c r="M137" s="762"/>
      <c r="N137" s="762"/>
    </row>
    <row r="138" spans="2:14" s="60" customFormat="1" ht="15" customHeight="1">
      <c r="B138" s="762" t="s">
        <v>217</v>
      </c>
      <c r="C138" s="762"/>
      <c r="D138" s="762"/>
      <c r="E138" s="762"/>
      <c r="F138" s="762"/>
      <c r="G138" s="762"/>
      <c r="H138" s="762"/>
      <c r="I138" s="762"/>
      <c r="J138" s="762"/>
      <c r="K138" s="762"/>
      <c r="L138" s="762"/>
      <c r="M138" s="762"/>
      <c r="N138" s="762"/>
    </row>
    <row r="139" spans="2:14" s="60" customFormat="1" ht="15" customHeight="1">
      <c r="B139" s="762" t="s">
        <v>218</v>
      </c>
      <c r="C139" s="762"/>
      <c r="D139" s="762"/>
      <c r="E139" s="762"/>
      <c r="F139" s="762"/>
      <c r="G139" s="762"/>
      <c r="H139" s="762"/>
      <c r="I139" s="762"/>
      <c r="J139" s="762"/>
      <c r="K139" s="762"/>
      <c r="L139" s="762"/>
      <c r="M139" s="762"/>
      <c r="N139" s="762"/>
    </row>
    <row r="140" spans="2:14" s="60" customFormat="1" ht="15" customHeight="1">
      <c r="B140" s="763" t="s">
        <v>219</v>
      </c>
      <c r="C140" s="763"/>
      <c r="D140" s="763"/>
      <c r="E140" s="763"/>
      <c r="F140" s="763"/>
      <c r="G140" s="763"/>
      <c r="H140" s="763"/>
      <c r="I140" s="763"/>
      <c r="J140" s="763"/>
      <c r="K140" s="763"/>
      <c r="L140" s="763"/>
      <c r="M140" s="763"/>
      <c r="N140" s="763"/>
    </row>
    <row r="141" spans="2:14" s="60" customFormat="1" ht="15" customHeight="1">
      <c r="B141" s="762" t="s">
        <v>442</v>
      </c>
      <c r="C141" s="762"/>
      <c r="D141" s="762"/>
      <c r="E141" s="762"/>
      <c r="F141" s="762"/>
      <c r="G141" s="762"/>
      <c r="H141" s="762"/>
      <c r="I141" s="762"/>
      <c r="J141" s="762"/>
      <c r="K141" s="762"/>
      <c r="L141" s="762"/>
      <c r="M141" s="762"/>
      <c r="N141" s="762"/>
    </row>
    <row r="142" spans="2:14" s="60" customFormat="1" ht="15" customHeight="1">
      <c r="B142" s="762" t="s">
        <v>443</v>
      </c>
      <c r="C142" s="762"/>
      <c r="D142" s="762"/>
      <c r="E142" s="762"/>
      <c r="F142" s="762"/>
      <c r="G142" s="762"/>
      <c r="H142" s="762"/>
      <c r="I142" s="762"/>
      <c r="J142" s="762"/>
      <c r="K142" s="762"/>
      <c r="L142" s="762"/>
      <c r="M142" s="762"/>
      <c r="N142" s="762"/>
    </row>
    <row r="143" spans="2:14" s="60" customFormat="1" ht="10.5" customHeight="1" thickBot="1">
      <c r="B143" s="191"/>
      <c r="C143" s="191"/>
      <c r="D143" s="191"/>
      <c r="E143" s="191"/>
      <c r="F143" s="191"/>
      <c r="G143" s="191"/>
      <c r="H143" s="191"/>
      <c r="I143" s="191"/>
      <c r="J143" s="225"/>
      <c r="K143" s="225"/>
      <c r="L143" s="225"/>
      <c r="M143" s="225"/>
      <c r="N143" s="225"/>
    </row>
    <row r="144" spans="2:14" ht="15" customHeight="1">
      <c r="B144" s="104"/>
      <c r="C144" s="104"/>
      <c r="D144" s="104"/>
      <c r="E144" s="754" t="s">
        <v>197</v>
      </c>
      <c r="F144" s="755"/>
      <c r="G144" s="786" t="s">
        <v>717</v>
      </c>
      <c r="H144" s="787"/>
      <c r="I144" s="104"/>
      <c r="J144" s="154"/>
      <c r="K144" s="154"/>
      <c r="L144" s="154"/>
      <c r="M144" s="154"/>
      <c r="N144" s="154"/>
    </row>
    <row r="145" spans="1:14" ht="15" customHeight="1" thickBot="1">
      <c r="E145" s="756"/>
      <c r="F145" s="757"/>
      <c r="G145" s="788"/>
      <c r="H145" s="789"/>
      <c r="N145" s="154"/>
    </row>
    <row r="146" spans="1:14" ht="15" customHeight="1">
      <c r="E146" s="748" t="str">
        <f>E130</f>
        <v>CASA 1</v>
      </c>
      <c r="F146" s="749"/>
      <c r="G146" s="729" t="e">
        <f>G130</f>
        <v>#REF!</v>
      </c>
      <c r="H146" s="730"/>
      <c r="N146" s="154"/>
    </row>
    <row r="147" spans="1:14" ht="15" customHeight="1">
      <c r="E147" s="801" t="s">
        <v>805</v>
      </c>
      <c r="F147" s="802"/>
      <c r="G147" s="799" t="e">
        <f>G131</f>
        <v>#REF!</v>
      </c>
      <c r="H147" s="800"/>
      <c r="N147" s="154"/>
    </row>
    <row r="148" spans="1:14" ht="15" customHeight="1">
      <c r="B148" s="59"/>
      <c r="C148" s="59"/>
      <c r="E148" s="760" t="str">
        <f>E132</f>
        <v>ESTACIONAMIENTO</v>
      </c>
      <c r="F148" s="761"/>
      <c r="G148" s="752" t="e">
        <f>G132</f>
        <v>#REF!</v>
      </c>
      <c r="H148" s="753"/>
      <c r="I148" s="59"/>
      <c r="N148" s="154"/>
    </row>
    <row r="149" spans="1:14" ht="15" customHeight="1" thickBot="1">
      <c r="B149" s="59"/>
      <c r="C149" s="59"/>
      <c r="E149" s="895" t="str">
        <f>E133</f>
        <v>CASA 2</v>
      </c>
      <c r="F149" s="896"/>
      <c r="G149" s="897" t="e">
        <f>G133</f>
        <v>#REF!</v>
      </c>
      <c r="H149" s="898"/>
      <c r="I149" s="59"/>
      <c r="N149" s="154"/>
    </row>
    <row r="150" spans="1:14" ht="15" customHeight="1" thickBot="1">
      <c r="B150" s="59"/>
      <c r="C150" s="59"/>
      <c r="E150" s="899" t="s">
        <v>60</v>
      </c>
      <c r="F150" s="900"/>
      <c r="G150" s="727" t="e">
        <f>G134</f>
        <v>#REF!</v>
      </c>
      <c r="H150" s="728"/>
      <c r="I150" s="59"/>
      <c r="N150" s="154"/>
    </row>
    <row r="151" spans="1:14" ht="10.5" customHeight="1">
      <c r="B151" s="59"/>
      <c r="C151" s="59"/>
      <c r="H151" s="59"/>
      <c r="I151" s="59"/>
      <c r="N151" s="154"/>
    </row>
    <row r="152" spans="1:14" s="60" customFormat="1" ht="15" customHeight="1">
      <c r="B152" s="713" t="s">
        <v>225</v>
      </c>
      <c r="C152" s="713"/>
      <c r="D152" s="713"/>
      <c r="E152" s="713"/>
      <c r="F152" s="713"/>
      <c r="G152" s="713"/>
      <c r="H152" s="713"/>
      <c r="I152" s="713"/>
      <c r="J152" s="713"/>
      <c r="K152" s="713"/>
      <c r="L152" s="713"/>
      <c r="M152" s="713"/>
      <c r="N152" s="713"/>
    </row>
    <row r="153" spans="1:14" s="60" customFormat="1" ht="15" customHeight="1">
      <c r="B153" s="714" t="s">
        <v>226</v>
      </c>
      <c r="C153" s="714"/>
      <c r="D153" s="714"/>
      <c r="E153" s="714"/>
      <c r="F153" s="714"/>
      <c r="G153" s="714"/>
      <c r="H153" s="714"/>
      <c r="I153" s="714"/>
      <c r="J153" s="714"/>
      <c r="K153" s="714"/>
      <c r="L153" s="714"/>
      <c r="M153" s="714"/>
      <c r="N153" s="714"/>
    </row>
    <row r="154" spans="1:14" s="60" customFormat="1" ht="15" customHeight="1">
      <c r="B154" s="714" t="s">
        <v>322</v>
      </c>
      <c r="C154" s="714"/>
      <c r="D154" s="714"/>
      <c r="E154" s="714"/>
      <c r="F154" s="714"/>
      <c r="G154" s="714"/>
      <c r="H154" s="714"/>
      <c r="I154" s="714"/>
      <c r="J154" s="714"/>
      <c r="K154" s="714"/>
      <c r="L154" s="714"/>
      <c r="M154" s="714"/>
      <c r="N154" s="714"/>
    </row>
    <row r="155" spans="1:14" s="60" customFormat="1" ht="15" customHeight="1">
      <c r="B155" s="714" t="s">
        <v>323</v>
      </c>
      <c r="C155" s="714"/>
      <c r="D155" s="714"/>
      <c r="E155" s="714"/>
      <c r="F155" s="714"/>
      <c r="G155" s="714"/>
      <c r="H155" s="714"/>
      <c r="I155" s="714"/>
      <c r="J155" s="714"/>
      <c r="K155" s="714"/>
      <c r="L155" s="714"/>
      <c r="M155" s="714"/>
      <c r="N155" s="714"/>
    </row>
    <row r="156" spans="1:14" s="60" customFormat="1" ht="15" customHeight="1">
      <c r="B156" s="714" t="s">
        <v>227</v>
      </c>
      <c r="C156" s="714"/>
      <c r="D156" s="714"/>
      <c r="E156" s="714"/>
      <c r="F156" s="714"/>
      <c r="G156" s="714"/>
      <c r="H156" s="714"/>
      <c r="I156" s="714"/>
      <c r="J156" s="714"/>
      <c r="K156" s="714"/>
      <c r="L156" s="714"/>
      <c r="M156" s="714"/>
      <c r="N156" s="714"/>
    </row>
    <row r="157" spans="1:14" s="60" customFormat="1" ht="15" customHeight="1">
      <c r="B157" s="714" t="s">
        <v>324</v>
      </c>
      <c r="C157" s="714"/>
      <c r="D157" s="714"/>
      <c r="E157" s="714"/>
      <c r="F157" s="714"/>
      <c r="G157" s="714"/>
      <c r="H157" s="714"/>
      <c r="I157" s="714"/>
      <c r="J157" s="714"/>
      <c r="K157" s="714"/>
      <c r="L157" s="714"/>
      <c r="M157" s="714"/>
      <c r="N157" s="714"/>
    </row>
    <row r="158" spans="1:14" s="317" customFormat="1" ht="15" customHeight="1">
      <c r="A158" s="60"/>
      <c r="B158" s="714" t="s">
        <v>325</v>
      </c>
      <c r="C158" s="714"/>
      <c r="D158" s="714"/>
      <c r="E158" s="714"/>
      <c r="F158" s="714"/>
      <c r="G158" s="714"/>
      <c r="H158" s="714"/>
      <c r="I158" s="714"/>
      <c r="J158" s="714"/>
      <c r="K158" s="714"/>
      <c r="L158" s="714"/>
      <c r="M158" s="714"/>
      <c r="N158" s="714"/>
    </row>
    <row r="159" spans="1:14" s="60" customFormat="1" ht="15" customHeight="1">
      <c r="B159" s="714" t="s">
        <v>228</v>
      </c>
      <c r="C159" s="714"/>
      <c r="D159" s="714"/>
      <c r="E159" s="714"/>
      <c r="F159" s="714"/>
      <c r="G159" s="714"/>
      <c r="H159" s="714"/>
      <c r="I159" s="714"/>
      <c r="J159" s="714"/>
      <c r="K159" s="714"/>
      <c r="L159" s="714"/>
      <c r="M159" s="714"/>
      <c r="N159" s="714"/>
    </row>
    <row r="160" spans="1:14" s="60" customFormat="1" ht="15" customHeight="1">
      <c r="B160" s="714" t="s">
        <v>327</v>
      </c>
      <c r="C160" s="714"/>
      <c r="D160" s="714"/>
      <c r="E160" s="714"/>
      <c r="F160" s="714"/>
      <c r="G160" s="714"/>
      <c r="H160" s="714"/>
      <c r="I160" s="714"/>
      <c r="J160" s="714"/>
      <c r="K160" s="714"/>
      <c r="L160" s="714"/>
      <c r="M160" s="714"/>
      <c r="N160" s="714"/>
    </row>
    <row r="161" spans="2:14" s="60" customFormat="1" ht="15" customHeight="1">
      <c r="B161" s="714" t="s">
        <v>326</v>
      </c>
      <c r="C161" s="714"/>
      <c r="D161" s="714"/>
      <c r="E161" s="714"/>
      <c r="F161" s="714"/>
      <c r="G161" s="714"/>
      <c r="H161" s="714"/>
      <c r="I161" s="714"/>
      <c r="J161" s="714"/>
      <c r="K161" s="714"/>
      <c r="L161" s="714"/>
      <c r="M161" s="714"/>
      <c r="N161" s="714"/>
    </row>
    <row r="162" spans="2:14" ht="10.5" customHeight="1">
      <c r="B162" s="185"/>
      <c r="C162" s="185"/>
      <c r="D162" s="185"/>
      <c r="E162" s="185"/>
      <c r="F162" s="185"/>
      <c r="G162" s="185"/>
      <c r="H162" s="185"/>
      <c r="I162" s="185"/>
      <c r="J162" s="154"/>
      <c r="K162" s="154"/>
      <c r="L162" s="154"/>
      <c r="M162" s="154"/>
      <c r="N162" s="154"/>
    </row>
    <row r="163" spans="2:14" ht="15" customHeight="1">
      <c r="B163" s="747" t="s">
        <v>229</v>
      </c>
      <c r="C163" s="747"/>
      <c r="D163" s="747"/>
      <c r="E163" s="747"/>
      <c r="F163" s="747"/>
      <c r="G163" s="747"/>
      <c r="H163" s="747"/>
      <c r="I163" s="747"/>
      <c r="J163" s="747"/>
      <c r="K163" s="747"/>
      <c r="L163" s="747"/>
      <c r="M163" s="747"/>
      <c r="N163" s="747"/>
    </row>
    <row r="164" spans="2:14" ht="15" customHeight="1">
      <c r="B164" s="792" t="s">
        <v>230</v>
      </c>
      <c r="C164" s="792"/>
      <c r="D164" s="792"/>
      <c r="E164" s="792"/>
      <c r="F164" s="792"/>
      <c r="G164" s="792"/>
      <c r="H164" s="792"/>
      <c r="I164" s="792"/>
      <c r="J164" s="792"/>
      <c r="K164" s="792"/>
      <c r="L164" s="792"/>
      <c r="M164" s="792"/>
      <c r="N164" s="792"/>
    </row>
    <row r="165" spans="2:14" ht="10.5" customHeight="1">
      <c r="B165" s="94"/>
      <c r="C165" s="57"/>
      <c r="D165" s="57"/>
      <c r="E165" s="57"/>
      <c r="F165" s="57"/>
      <c r="G165" s="57"/>
      <c r="H165" s="57"/>
      <c r="I165" s="57"/>
      <c r="J165" s="154"/>
      <c r="K165" s="154"/>
      <c r="L165" s="154"/>
      <c r="M165" s="154"/>
      <c r="N165" s="154"/>
    </row>
    <row r="166" spans="2:14" s="60" customFormat="1" ht="15" customHeight="1">
      <c r="B166" s="61" t="s">
        <v>231</v>
      </c>
      <c r="C166" s="61"/>
      <c r="D166" s="61"/>
      <c r="E166" s="61"/>
      <c r="F166" s="191"/>
      <c r="G166" s="191"/>
      <c r="H166" s="191"/>
      <c r="I166" s="191"/>
      <c r="J166" s="225"/>
      <c r="K166" s="225"/>
      <c r="L166" s="225"/>
      <c r="M166" s="225"/>
      <c r="N166" s="225"/>
    </row>
    <row r="167" spans="2:14" s="60" customFormat="1" ht="15" customHeight="1">
      <c r="B167" s="50" t="s">
        <v>232</v>
      </c>
      <c r="C167" s="50"/>
      <c r="D167" s="50"/>
      <c r="E167" s="50"/>
      <c r="F167" s="50"/>
      <c r="G167" s="50"/>
      <c r="H167" s="50"/>
      <c r="I167" s="50"/>
      <c r="J167" s="225"/>
      <c r="K167" s="225"/>
      <c r="L167" s="225"/>
      <c r="M167" s="225"/>
      <c r="N167" s="225"/>
    </row>
    <row r="168" spans="2:14" s="60" customFormat="1" ht="15" customHeight="1">
      <c r="B168" s="50" t="s">
        <v>233</v>
      </c>
      <c r="C168" s="50"/>
      <c r="D168" s="50"/>
      <c r="E168" s="50"/>
      <c r="F168" s="50"/>
      <c r="G168" s="50"/>
      <c r="H168" s="50"/>
      <c r="I168" s="50"/>
      <c r="J168" s="225"/>
      <c r="K168" s="225"/>
      <c r="L168" s="225"/>
      <c r="M168" s="225"/>
      <c r="N168" s="225"/>
    </row>
    <row r="169" spans="2:14" s="60" customFormat="1" ht="15" customHeight="1">
      <c r="B169" s="50" t="s">
        <v>328</v>
      </c>
      <c r="C169" s="50"/>
      <c r="D169" s="50"/>
      <c r="E169" s="50"/>
      <c r="F169" s="50"/>
      <c r="G169" s="50"/>
      <c r="H169" s="50"/>
      <c r="I169" s="50"/>
      <c r="J169" s="225"/>
      <c r="K169" s="225"/>
      <c r="L169" s="225"/>
      <c r="M169" s="225"/>
      <c r="N169" s="225"/>
    </row>
    <row r="170" spans="2:14" s="60" customFormat="1" ht="15" customHeight="1">
      <c r="B170" s="50" t="s">
        <v>329</v>
      </c>
      <c r="C170" s="50"/>
      <c r="D170" s="50"/>
      <c r="E170" s="50"/>
      <c r="F170" s="50"/>
      <c r="G170" s="50"/>
      <c r="H170" s="50"/>
      <c r="I170" s="50"/>
      <c r="J170" s="225"/>
      <c r="K170" s="225"/>
      <c r="L170" s="225"/>
      <c r="M170" s="225"/>
      <c r="N170" s="225"/>
    </row>
    <row r="171" spans="2:14" s="60" customFormat="1" ht="15" customHeight="1">
      <c r="B171" s="50" t="s">
        <v>330</v>
      </c>
      <c r="C171" s="50"/>
      <c r="D171" s="50"/>
      <c r="E171" s="50"/>
      <c r="F171" s="50"/>
      <c r="G171" s="50"/>
      <c r="H171" s="50"/>
      <c r="I171" s="50"/>
      <c r="J171" s="225"/>
      <c r="K171" s="225"/>
      <c r="L171" s="225"/>
      <c r="M171" s="225"/>
      <c r="N171" s="225"/>
    </row>
    <row r="172" spans="2:14" s="60" customFormat="1" ht="15" customHeight="1">
      <c r="B172" s="50" t="s">
        <v>798</v>
      </c>
      <c r="C172" s="50"/>
      <c r="D172" s="50"/>
      <c r="E172" s="50"/>
      <c r="F172" s="50"/>
      <c r="G172" s="50"/>
      <c r="H172" s="50"/>
      <c r="I172" s="50"/>
      <c r="J172" s="225"/>
      <c r="K172" s="225"/>
      <c r="L172" s="225"/>
      <c r="M172" s="225"/>
      <c r="N172" s="225"/>
    </row>
    <row r="173" spans="2:14" s="60" customFormat="1" ht="15" customHeight="1">
      <c r="B173" s="50" t="s">
        <v>332</v>
      </c>
      <c r="C173" s="50"/>
      <c r="D173" s="50"/>
      <c r="E173" s="50"/>
      <c r="F173" s="50"/>
      <c r="G173" s="50"/>
      <c r="H173" s="50"/>
      <c r="I173" s="50"/>
      <c r="J173" s="225"/>
      <c r="K173" s="225"/>
      <c r="L173" s="225"/>
      <c r="M173" s="225"/>
      <c r="N173" s="225"/>
    </row>
    <row r="174" spans="2:14" s="60" customFormat="1" ht="15" customHeight="1">
      <c r="B174" s="50" t="s">
        <v>333</v>
      </c>
      <c r="C174" s="50"/>
      <c r="D174" s="50"/>
      <c r="E174" s="50"/>
      <c r="F174" s="50"/>
      <c r="G174" s="50"/>
      <c r="H174" s="50"/>
      <c r="I174" s="50"/>
      <c r="J174" s="225"/>
      <c r="K174" s="225"/>
      <c r="L174" s="225"/>
      <c r="M174" s="225"/>
      <c r="N174" s="225"/>
    </row>
    <row r="175" spans="2:14" s="60" customFormat="1" ht="15" customHeight="1">
      <c r="B175" s="50" t="s">
        <v>334</v>
      </c>
      <c r="C175" s="50"/>
      <c r="D175" s="50"/>
      <c r="E175" s="50"/>
      <c r="F175" s="50"/>
      <c r="G175" s="50"/>
      <c r="H175" s="50"/>
      <c r="I175" s="50"/>
      <c r="J175" s="225"/>
      <c r="K175" s="225"/>
      <c r="L175" s="225"/>
      <c r="M175" s="225"/>
      <c r="N175" s="225"/>
    </row>
    <row r="176" spans="2:14" s="60" customFormat="1" ht="15" customHeight="1">
      <c r="B176" s="50" t="s">
        <v>335</v>
      </c>
      <c r="C176" s="50"/>
      <c r="D176" s="50"/>
      <c r="E176" s="50"/>
      <c r="F176" s="50"/>
      <c r="G176" s="50"/>
      <c r="H176" s="50"/>
      <c r="I176" s="50"/>
      <c r="J176" s="225"/>
      <c r="K176" s="225"/>
      <c r="L176" s="225"/>
      <c r="M176" s="225"/>
      <c r="N176" s="225"/>
    </row>
    <row r="177" spans="2:14" s="60" customFormat="1" ht="15" customHeight="1">
      <c r="B177" s="50" t="s">
        <v>336</v>
      </c>
      <c r="C177" s="50"/>
      <c r="D177" s="50"/>
      <c r="E177" s="50"/>
      <c r="F177" s="50"/>
      <c r="G177" s="50"/>
      <c r="H177" s="50"/>
      <c r="I177" s="50"/>
      <c r="J177" s="225"/>
      <c r="K177" s="225"/>
      <c r="L177" s="225"/>
      <c r="M177" s="225"/>
      <c r="N177" s="225"/>
    </row>
    <row r="178" spans="2:14" s="60" customFormat="1" ht="15" customHeight="1">
      <c r="B178" s="50" t="s">
        <v>337</v>
      </c>
      <c r="C178" s="50"/>
      <c r="D178" s="50"/>
      <c r="E178" s="50"/>
      <c r="F178" s="50"/>
      <c r="G178" s="50"/>
      <c r="H178" s="50"/>
      <c r="I178" s="50"/>
      <c r="J178" s="225"/>
      <c r="K178" s="225"/>
      <c r="L178" s="225"/>
      <c r="M178" s="225"/>
      <c r="N178" s="225"/>
    </row>
    <row r="179" spans="2:14" s="60" customFormat="1" ht="15" customHeight="1">
      <c r="B179" s="50" t="s">
        <v>338</v>
      </c>
      <c r="C179" s="50"/>
      <c r="D179" s="50"/>
      <c r="E179" s="50"/>
      <c r="F179" s="50"/>
      <c r="G179" s="50"/>
      <c r="H179" s="50"/>
      <c r="I179" s="50"/>
      <c r="J179" s="225"/>
      <c r="K179" s="225"/>
      <c r="L179" s="225"/>
      <c r="M179" s="225"/>
      <c r="N179" s="225"/>
    </row>
    <row r="180" spans="2:14" s="60" customFormat="1" ht="15" customHeight="1">
      <c r="B180" s="50" t="s">
        <v>234</v>
      </c>
      <c r="C180" s="50"/>
      <c r="D180" s="50"/>
      <c r="E180" s="50"/>
      <c r="F180" s="50"/>
      <c r="G180" s="50"/>
      <c r="H180" s="50"/>
      <c r="I180" s="50"/>
      <c r="J180" s="225"/>
      <c r="K180" s="225"/>
      <c r="L180" s="225"/>
      <c r="M180" s="225"/>
      <c r="N180" s="225"/>
    </row>
    <row r="181" spans="2:14" s="60" customFormat="1" ht="15" customHeight="1">
      <c r="B181" s="191" t="s">
        <v>235</v>
      </c>
      <c r="C181" s="191"/>
      <c r="D181" s="191"/>
      <c r="E181" s="191"/>
      <c r="F181" s="191"/>
      <c r="G181" s="191"/>
      <c r="H181" s="191"/>
      <c r="I181" s="191"/>
      <c r="J181" s="225"/>
      <c r="K181" s="225"/>
      <c r="L181" s="225"/>
      <c r="M181" s="225"/>
      <c r="N181" s="225"/>
    </row>
    <row r="182" spans="2:14" s="60" customFormat="1" ht="15" customHeight="1">
      <c r="B182" s="191" t="s">
        <v>339</v>
      </c>
      <c r="C182" s="191"/>
      <c r="D182" s="191"/>
      <c r="E182" s="191"/>
      <c r="F182" s="191"/>
      <c r="G182" s="191"/>
      <c r="H182" s="191"/>
      <c r="I182" s="191"/>
      <c r="J182" s="225"/>
      <c r="K182" s="225"/>
      <c r="L182" s="225"/>
      <c r="M182" s="225"/>
      <c r="N182" s="225"/>
    </row>
    <row r="183" spans="2:14" s="60" customFormat="1" ht="15" customHeight="1">
      <c r="B183" s="50" t="s">
        <v>340</v>
      </c>
      <c r="C183" s="50"/>
      <c r="D183" s="50"/>
      <c r="E183" s="50"/>
      <c r="F183" s="50"/>
      <c r="G183" s="50"/>
      <c r="H183" s="50"/>
      <c r="I183" s="50"/>
      <c r="J183" s="225"/>
      <c r="K183" s="225"/>
      <c r="L183" s="225"/>
      <c r="M183" s="225"/>
      <c r="N183" s="225"/>
    </row>
    <row r="184" spans="2:14" s="60" customFormat="1" ht="15" customHeight="1">
      <c r="B184" s="191" t="s">
        <v>341</v>
      </c>
      <c r="C184" s="191"/>
      <c r="D184" s="191"/>
      <c r="E184" s="191"/>
      <c r="F184" s="191"/>
      <c r="G184" s="191"/>
      <c r="H184" s="191"/>
      <c r="I184" s="191"/>
      <c r="J184" s="225"/>
      <c r="K184" s="225"/>
      <c r="L184" s="225"/>
      <c r="M184" s="225"/>
      <c r="N184" s="225"/>
    </row>
    <row r="185" spans="2:14" s="60" customFormat="1" ht="15" customHeight="1">
      <c r="B185" s="191" t="s">
        <v>342</v>
      </c>
      <c r="C185" s="191"/>
      <c r="D185" s="191"/>
      <c r="E185" s="191"/>
      <c r="F185" s="191"/>
      <c r="G185" s="191"/>
      <c r="H185" s="191"/>
      <c r="I185" s="191"/>
      <c r="J185" s="225"/>
      <c r="K185" s="225"/>
      <c r="L185" s="225"/>
      <c r="M185" s="225"/>
      <c r="N185" s="225"/>
    </row>
    <row r="186" spans="2:14" s="60" customFormat="1" ht="15" customHeight="1">
      <c r="B186" s="191" t="s">
        <v>343</v>
      </c>
      <c r="C186" s="191"/>
      <c r="D186" s="191"/>
      <c r="E186" s="191"/>
      <c r="F186" s="191"/>
      <c r="G186" s="191"/>
      <c r="H186" s="191"/>
      <c r="I186" s="191"/>
      <c r="J186" s="225"/>
      <c r="K186" s="225"/>
      <c r="L186" s="225"/>
      <c r="M186" s="225"/>
      <c r="N186" s="225"/>
    </row>
    <row r="187" spans="2:14" s="60" customFormat="1" ht="15" customHeight="1">
      <c r="B187" s="50" t="s">
        <v>344</v>
      </c>
      <c r="C187" s="50"/>
      <c r="D187" s="50"/>
      <c r="E187" s="50"/>
      <c r="F187" s="50"/>
      <c r="G187" s="50"/>
      <c r="H187" s="50"/>
      <c r="I187" s="50"/>
      <c r="J187" s="225"/>
      <c r="K187" s="225"/>
      <c r="L187" s="225"/>
      <c r="M187" s="225"/>
      <c r="N187" s="225"/>
    </row>
    <row r="188" spans="2:14" s="60" customFormat="1" ht="15" customHeight="1">
      <c r="B188" s="191" t="s">
        <v>345</v>
      </c>
      <c r="C188" s="191"/>
      <c r="D188" s="191"/>
      <c r="E188" s="191"/>
      <c r="F188" s="191"/>
      <c r="G188" s="191"/>
      <c r="H188" s="191"/>
      <c r="I188" s="191"/>
      <c r="J188" s="225"/>
      <c r="K188" s="225"/>
      <c r="L188" s="225"/>
      <c r="M188" s="225"/>
      <c r="N188" s="225"/>
    </row>
    <row r="189" spans="2:14" s="60" customFormat="1" ht="15" customHeight="1">
      <c r="B189" s="191" t="s">
        <v>346</v>
      </c>
      <c r="C189" s="191"/>
      <c r="D189" s="191"/>
      <c r="E189" s="191"/>
      <c r="F189" s="191"/>
      <c r="G189" s="191"/>
      <c r="H189" s="191"/>
      <c r="I189" s="191"/>
      <c r="J189" s="225"/>
      <c r="K189" s="225"/>
      <c r="L189" s="225"/>
      <c r="M189" s="225"/>
      <c r="N189" s="225"/>
    </row>
    <row r="190" spans="2:14" s="60" customFormat="1" ht="15" customHeight="1">
      <c r="B190" s="191" t="s">
        <v>799</v>
      </c>
      <c r="C190" s="191"/>
      <c r="D190" s="191"/>
      <c r="E190" s="191"/>
      <c r="F190" s="191"/>
      <c r="G190" s="191"/>
      <c r="H190" s="191"/>
      <c r="I190" s="191"/>
      <c r="J190" s="225"/>
      <c r="K190" s="225"/>
      <c r="L190" s="225"/>
      <c r="M190" s="225"/>
      <c r="N190" s="225"/>
    </row>
    <row r="191" spans="2:14" s="60" customFormat="1" ht="15" customHeight="1">
      <c r="B191" s="191" t="s">
        <v>348</v>
      </c>
      <c r="C191" s="191"/>
      <c r="D191" s="191"/>
      <c r="E191" s="191"/>
      <c r="F191" s="191"/>
      <c r="G191" s="191"/>
      <c r="H191" s="191"/>
      <c r="I191" s="191"/>
      <c r="J191" s="225"/>
      <c r="K191" s="225"/>
      <c r="L191" s="225"/>
      <c r="M191" s="225"/>
      <c r="N191" s="225"/>
    </row>
    <row r="192" spans="2:14" s="60" customFormat="1" ht="9.75" customHeight="1">
      <c r="B192" s="191"/>
      <c r="C192" s="191"/>
      <c r="D192" s="191"/>
      <c r="E192" s="191"/>
      <c r="F192" s="191"/>
      <c r="G192" s="191"/>
      <c r="H192" s="191"/>
      <c r="I192" s="191"/>
      <c r="J192" s="225"/>
      <c r="K192" s="225"/>
      <c r="L192" s="225"/>
      <c r="M192" s="225"/>
      <c r="N192" s="225"/>
    </row>
    <row r="193" spans="2:14" s="60" customFormat="1" ht="15" customHeight="1">
      <c r="B193" s="61" t="s">
        <v>236</v>
      </c>
      <c r="C193" s="61"/>
      <c r="D193" s="61"/>
      <c r="E193" s="61"/>
      <c r="F193" s="61"/>
      <c r="G193" s="61"/>
      <c r="H193" s="61"/>
      <c r="I193" s="61"/>
      <c r="J193" s="225"/>
      <c r="K193" s="225"/>
      <c r="L193" s="225"/>
      <c r="M193" s="225"/>
      <c r="N193" s="225"/>
    </row>
    <row r="194" spans="2:14" s="60" customFormat="1" ht="15" customHeight="1">
      <c r="B194" s="50" t="s">
        <v>237</v>
      </c>
      <c r="C194" s="50"/>
      <c r="D194" s="50"/>
      <c r="E194" s="50"/>
      <c r="F194" s="50"/>
      <c r="G194" s="50"/>
      <c r="H194" s="50"/>
      <c r="I194" s="50"/>
      <c r="J194" s="225"/>
      <c r="K194" s="225"/>
      <c r="L194" s="225"/>
      <c r="M194" s="225"/>
      <c r="N194" s="225"/>
    </row>
    <row r="195" spans="2:14" s="60" customFormat="1" ht="15" customHeight="1">
      <c r="B195" s="50" t="s">
        <v>238</v>
      </c>
      <c r="C195" s="50"/>
      <c r="D195" s="50"/>
      <c r="E195" s="50"/>
      <c r="F195" s="50"/>
      <c r="G195" s="50"/>
      <c r="H195" s="50"/>
      <c r="I195" s="50"/>
      <c r="J195" s="225"/>
      <c r="K195" s="225"/>
      <c r="L195" s="225"/>
      <c r="M195" s="225"/>
      <c r="N195" s="225"/>
    </row>
    <row r="196" spans="2:14" s="60" customFormat="1" ht="15" customHeight="1">
      <c r="B196" s="50" t="s">
        <v>349</v>
      </c>
      <c r="C196" s="50"/>
      <c r="D196" s="50"/>
      <c r="E196" s="50"/>
      <c r="F196" s="50"/>
      <c r="G196" s="50"/>
      <c r="H196" s="50"/>
      <c r="I196" s="50"/>
      <c r="J196" s="225"/>
      <c r="K196" s="225"/>
      <c r="L196" s="225"/>
      <c r="M196" s="225"/>
      <c r="N196" s="225"/>
    </row>
    <row r="197" spans="2:14" s="60" customFormat="1" ht="15" customHeight="1">
      <c r="B197" s="50" t="s">
        <v>350</v>
      </c>
      <c r="C197" s="50"/>
      <c r="D197" s="50"/>
      <c r="E197" s="50"/>
      <c r="F197" s="50"/>
      <c r="G197" s="50"/>
      <c r="H197" s="50"/>
      <c r="I197" s="50"/>
      <c r="J197" s="225"/>
      <c r="K197" s="225"/>
      <c r="L197" s="225"/>
      <c r="M197" s="225"/>
      <c r="N197" s="225"/>
    </row>
    <row r="198" spans="2:14" s="60" customFormat="1" ht="15" customHeight="1">
      <c r="B198" s="50" t="s">
        <v>775</v>
      </c>
      <c r="C198" s="50"/>
      <c r="D198" s="50"/>
      <c r="E198" s="50"/>
      <c r="F198" s="50"/>
      <c r="G198" s="50"/>
      <c r="H198" s="50"/>
      <c r="I198" s="50"/>
      <c r="J198" s="225"/>
      <c r="K198" s="225"/>
      <c r="L198" s="225"/>
      <c r="M198" s="225"/>
      <c r="N198" s="225"/>
    </row>
    <row r="199" spans="2:14" s="60" customFormat="1" ht="15" customHeight="1">
      <c r="B199" s="191" t="s">
        <v>352</v>
      </c>
      <c r="C199" s="191"/>
      <c r="D199" s="191"/>
      <c r="E199" s="191"/>
      <c r="F199" s="191"/>
      <c r="G199" s="191"/>
      <c r="H199" s="191"/>
      <c r="I199" s="191"/>
      <c r="J199" s="225"/>
      <c r="K199" s="225"/>
      <c r="L199" s="225"/>
      <c r="M199" s="225"/>
      <c r="N199" s="225"/>
    </row>
    <row r="200" spans="2:14" s="60" customFormat="1" ht="15" customHeight="1">
      <c r="B200" s="191" t="s">
        <v>353</v>
      </c>
      <c r="C200" s="191"/>
      <c r="D200" s="191"/>
      <c r="E200" s="191"/>
      <c r="F200" s="191"/>
      <c r="G200" s="191"/>
      <c r="H200" s="191"/>
      <c r="I200" s="191"/>
      <c r="J200" s="225"/>
      <c r="K200" s="225"/>
      <c r="L200" s="225"/>
      <c r="M200" s="225"/>
      <c r="N200" s="225"/>
    </row>
    <row r="201" spans="2:14" s="60" customFormat="1" ht="15" customHeight="1">
      <c r="B201" s="50" t="s">
        <v>239</v>
      </c>
      <c r="C201" s="50"/>
      <c r="D201" s="50"/>
      <c r="E201" s="50"/>
      <c r="F201" s="50"/>
      <c r="G201" s="50"/>
      <c r="H201" s="50"/>
      <c r="I201" s="50"/>
      <c r="J201" s="225"/>
      <c r="K201" s="225"/>
      <c r="L201" s="225"/>
      <c r="M201" s="225"/>
      <c r="N201" s="225"/>
    </row>
    <row r="202" spans="2:14" s="60" customFormat="1" ht="15" customHeight="1">
      <c r="B202" s="50" t="s">
        <v>354</v>
      </c>
      <c r="C202" s="50"/>
      <c r="D202" s="50"/>
      <c r="E202" s="50"/>
      <c r="F202" s="50"/>
      <c r="G202" s="50"/>
      <c r="H202" s="50"/>
      <c r="I202" s="50"/>
      <c r="J202" s="225"/>
      <c r="K202" s="225"/>
      <c r="L202" s="225"/>
      <c r="M202" s="225"/>
      <c r="N202" s="225"/>
    </row>
    <row r="203" spans="2:14" s="60" customFormat="1" ht="15" customHeight="1">
      <c r="B203" s="50" t="s">
        <v>355</v>
      </c>
      <c r="C203" s="50"/>
      <c r="D203" s="50"/>
      <c r="E203" s="50"/>
      <c r="F203" s="50"/>
      <c r="G203" s="50"/>
      <c r="H203" s="50"/>
      <c r="I203" s="50"/>
      <c r="J203" s="225"/>
      <c r="K203" s="225"/>
      <c r="L203" s="225"/>
      <c r="M203" s="225"/>
      <c r="N203" s="225"/>
    </row>
    <row r="204" spans="2:14" s="60" customFormat="1" ht="15" customHeight="1">
      <c r="B204" s="50" t="s">
        <v>356</v>
      </c>
      <c r="C204" s="50"/>
      <c r="D204" s="50"/>
      <c r="E204" s="50"/>
      <c r="F204" s="50"/>
      <c r="G204" s="50"/>
      <c r="H204" s="50"/>
      <c r="I204" s="50"/>
      <c r="J204" s="225"/>
      <c r="K204" s="225"/>
      <c r="L204" s="225"/>
      <c r="M204" s="225"/>
      <c r="N204" s="225"/>
    </row>
    <row r="205" spans="2:14" s="60" customFormat="1" ht="15" customHeight="1">
      <c r="B205" s="50" t="s">
        <v>240</v>
      </c>
      <c r="C205" s="50"/>
      <c r="D205" s="50"/>
      <c r="E205" s="50"/>
      <c r="F205" s="50"/>
      <c r="G205" s="50"/>
      <c r="H205" s="50"/>
      <c r="I205" s="50"/>
      <c r="J205" s="225"/>
      <c r="K205" s="225"/>
      <c r="L205" s="225"/>
      <c r="M205" s="225"/>
      <c r="N205" s="225"/>
    </row>
    <row r="206" spans="2:14" s="60" customFormat="1" ht="15" customHeight="1">
      <c r="B206" s="50" t="s">
        <v>241</v>
      </c>
      <c r="C206" s="50"/>
      <c r="D206" s="50"/>
      <c r="E206" s="50"/>
      <c r="F206" s="50"/>
      <c r="G206" s="50"/>
      <c r="H206" s="50"/>
      <c r="I206" s="50"/>
      <c r="J206" s="225"/>
      <c r="K206" s="225"/>
      <c r="L206" s="225"/>
      <c r="M206" s="225"/>
      <c r="N206" s="225"/>
    </row>
    <row r="207" spans="2:14" s="60" customFormat="1" ht="15" customHeight="1">
      <c r="B207" s="50" t="s">
        <v>357</v>
      </c>
      <c r="C207" s="50"/>
      <c r="D207" s="50"/>
      <c r="E207" s="50"/>
      <c r="F207" s="50"/>
      <c r="G207" s="50"/>
      <c r="H207" s="50"/>
      <c r="I207" s="50"/>
      <c r="J207" s="225"/>
      <c r="K207" s="225"/>
      <c r="L207" s="225"/>
      <c r="M207" s="225"/>
      <c r="N207" s="225"/>
    </row>
    <row r="208" spans="2:14" s="60" customFormat="1" ht="15" customHeight="1">
      <c r="B208" s="50" t="s">
        <v>358</v>
      </c>
      <c r="C208" s="50"/>
      <c r="D208" s="50"/>
      <c r="E208" s="50"/>
      <c r="F208" s="50"/>
      <c r="G208" s="50"/>
      <c r="H208" s="50"/>
      <c r="I208" s="50"/>
      <c r="J208" s="225"/>
      <c r="K208" s="225"/>
      <c r="L208" s="225"/>
      <c r="M208" s="225"/>
      <c r="N208" s="225"/>
    </row>
    <row r="209" spans="2:14" s="60" customFormat="1" ht="15" customHeight="1">
      <c r="B209" s="50" t="s">
        <v>242</v>
      </c>
      <c r="C209" s="50"/>
      <c r="D209" s="50"/>
      <c r="E209" s="50"/>
      <c r="F209" s="50"/>
      <c r="G209" s="50"/>
      <c r="H209" s="50"/>
      <c r="I209" s="50"/>
      <c r="J209" s="225"/>
      <c r="K209" s="225"/>
      <c r="L209" s="225"/>
      <c r="M209" s="225"/>
      <c r="N209" s="225"/>
    </row>
    <row r="210" spans="2:14" s="60" customFormat="1" ht="15" customHeight="1">
      <c r="B210" s="50" t="s">
        <v>359</v>
      </c>
      <c r="C210" s="50"/>
      <c r="D210" s="50"/>
      <c r="E210" s="50"/>
      <c r="F210" s="50"/>
      <c r="G210" s="50"/>
      <c r="H210" s="50"/>
      <c r="I210" s="50"/>
      <c r="J210" s="225"/>
      <c r="K210" s="225"/>
      <c r="L210" s="225"/>
      <c r="M210" s="225"/>
      <c r="N210" s="225"/>
    </row>
    <row r="211" spans="2:14" s="60" customFormat="1" ht="15" customHeight="1">
      <c r="B211" s="50" t="s">
        <v>360</v>
      </c>
      <c r="C211" s="50"/>
      <c r="D211" s="50"/>
      <c r="E211" s="50"/>
      <c r="F211" s="50"/>
      <c r="G211" s="50"/>
      <c r="H211" s="50"/>
      <c r="I211" s="50"/>
      <c r="J211" s="225"/>
      <c r="K211" s="225"/>
      <c r="L211" s="225"/>
      <c r="M211" s="225"/>
      <c r="N211" s="225"/>
    </row>
    <row r="212" spans="2:14" s="60" customFormat="1" ht="15" customHeight="1">
      <c r="B212" s="50" t="s">
        <v>361</v>
      </c>
      <c r="C212" s="50"/>
      <c r="D212" s="50"/>
      <c r="E212" s="50"/>
      <c r="F212" s="50"/>
      <c r="G212" s="50"/>
      <c r="H212" s="50"/>
      <c r="I212" s="50"/>
      <c r="J212" s="225"/>
      <c r="K212" s="225"/>
      <c r="L212" s="225"/>
      <c r="M212" s="225"/>
      <c r="N212" s="225"/>
    </row>
    <row r="213" spans="2:14" s="60" customFormat="1" ht="15" customHeight="1">
      <c r="B213" s="50" t="s">
        <v>362</v>
      </c>
      <c r="C213" s="50"/>
      <c r="D213" s="50"/>
      <c r="E213" s="50"/>
      <c r="F213" s="50"/>
      <c r="G213" s="50"/>
      <c r="H213" s="50"/>
      <c r="I213" s="50"/>
      <c r="J213" s="225"/>
      <c r="K213" s="225"/>
      <c r="L213" s="225"/>
      <c r="M213" s="225"/>
      <c r="N213" s="225"/>
    </row>
    <row r="214" spans="2:14" s="60" customFormat="1" ht="15" customHeight="1">
      <c r="B214" s="50" t="s">
        <v>800</v>
      </c>
      <c r="C214" s="50"/>
      <c r="D214" s="50"/>
      <c r="E214" s="50"/>
      <c r="F214" s="50"/>
      <c r="G214" s="50"/>
      <c r="H214" s="50"/>
      <c r="I214" s="50"/>
      <c r="J214" s="225"/>
      <c r="K214" s="225"/>
      <c r="L214" s="225"/>
      <c r="M214" s="225"/>
      <c r="N214" s="225"/>
    </row>
    <row r="215" spans="2:14" s="60" customFormat="1" ht="15" customHeight="1">
      <c r="B215" s="50" t="s">
        <v>243</v>
      </c>
      <c r="C215" s="50"/>
      <c r="D215" s="50"/>
      <c r="E215" s="50"/>
      <c r="F215" s="50"/>
      <c r="G215" s="50"/>
      <c r="H215" s="50"/>
      <c r="I215" s="50"/>
      <c r="J215" s="225"/>
      <c r="K215" s="225"/>
      <c r="L215" s="225"/>
      <c r="M215" s="225"/>
      <c r="N215" s="225"/>
    </row>
    <row r="216" spans="2:14" s="60" customFormat="1" ht="15" customHeight="1">
      <c r="B216" s="50" t="s">
        <v>244</v>
      </c>
      <c r="C216" s="50"/>
      <c r="D216" s="50"/>
      <c r="E216" s="50"/>
      <c r="F216" s="50"/>
      <c r="G216" s="50"/>
      <c r="H216" s="50"/>
      <c r="I216" s="50"/>
      <c r="J216" s="225"/>
      <c r="K216" s="225"/>
      <c r="L216" s="225"/>
      <c r="M216" s="225"/>
      <c r="N216" s="225"/>
    </row>
    <row r="217" spans="2:14" s="60" customFormat="1" ht="15" customHeight="1">
      <c r="B217" s="50" t="s">
        <v>245</v>
      </c>
      <c r="C217" s="50"/>
      <c r="D217" s="50"/>
      <c r="E217" s="50"/>
      <c r="F217" s="50"/>
      <c r="G217" s="50"/>
      <c r="H217" s="50"/>
      <c r="I217" s="50"/>
      <c r="J217" s="225"/>
      <c r="K217" s="225"/>
      <c r="L217" s="225"/>
      <c r="M217" s="225"/>
      <c r="N217" s="225"/>
    </row>
    <row r="218" spans="2:14" s="60" customFormat="1" ht="15" customHeight="1">
      <c r="B218" s="191" t="s">
        <v>246</v>
      </c>
      <c r="C218" s="191"/>
      <c r="D218" s="191"/>
      <c r="E218" s="191"/>
      <c r="F218" s="191"/>
      <c r="G218" s="191"/>
      <c r="H218" s="191"/>
      <c r="I218" s="191"/>
      <c r="J218" s="225"/>
      <c r="K218" s="225"/>
      <c r="L218" s="225"/>
      <c r="M218" s="225"/>
      <c r="N218" s="225"/>
    </row>
    <row r="219" spans="2:14" s="60" customFormat="1" ht="15" customHeight="1">
      <c r="B219" s="191" t="s">
        <v>247</v>
      </c>
      <c r="C219" s="191"/>
      <c r="D219" s="191"/>
      <c r="E219" s="191"/>
      <c r="F219" s="191"/>
      <c r="G219" s="191"/>
      <c r="H219" s="191"/>
      <c r="I219" s="191"/>
      <c r="J219" s="225"/>
      <c r="K219" s="225"/>
      <c r="L219" s="225"/>
      <c r="M219" s="225"/>
      <c r="N219" s="225"/>
    </row>
    <row r="220" spans="2:14" s="60" customFormat="1" ht="15" customHeight="1">
      <c r="B220" s="191" t="s">
        <v>248</v>
      </c>
      <c r="C220" s="191"/>
      <c r="D220" s="191"/>
      <c r="E220" s="191"/>
      <c r="F220" s="191"/>
      <c r="G220" s="191"/>
      <c r="H220" s="191"/>
      <c r="I220" s="191"/>
      <c r="J220" s="225"/>
      <c r="K220" s="225"/>
      <c r="L220" s="225"/>
      <c r="M220" s="225"/>
      <c r="N220" s="225"/>
    </row>
    <row r="221" spans="2:14" ht="9.75" customHeight="1">
      <c r="B221" s="186"/>
      <c r="C221" s="186"/>
      <c r="D221" s="186"/>
      <c r="E221" s="186"/>
      <c r="F221" s="186"/>
      <c r="G221" s="186"/>
      <c r="H221" s="186"/>
      <c r="I221" s="186"/>
      <c r="J221" s="154"/>
      <c r="K221" s="154"/>
      <c r="L221" s="154"/>
      <c r="M221" s="154"/>
      <c r="N221" s="154"/>
    </row>
    <row r="222" spans="2:14" s="60" customFormat="1" ht="15" customHeight="1">
      <c r="B222" s="61" t="s">
        <v>249</v>
      </c>
      <c r="C222" s="61"/>
      <c r="D222" s="61"/>
      <c r="E222" s="61"/>
      <c r="F222" s="61"/>
      <c r="G222" s="61"/>
      <c r="H222" s="61"/>
      <c r="I222" s="61"/>
      <c r="J222" s="225"/>
      <c r="K222" s="225"/>
      <c r="L222" s="225"/>
      <c r="M222" s="225"/>
      <c r="N222" s="225"/>
    </row>
    <row r="223" spans="2:14" s="60" customFormat="1" ht="15" customHeight="1">
      <c r="B223" s="50" t="s">
        <v>250</v>
      </c>
      <c r="C223" s="50"/>
      <c r="D223" s="50"/>
      <c r="E223" s="50"/>
      <c r="F223" s="50"/>
      <c r="G223" s="50"/>
      <c r="H223" s="50"/>
      <c r="I223" s="50"/>
      <c r="J223" s="225"/>
      <c r="K223" s="225"/>
      <c r="L223" s="225"/>
      <c r="M223" s="225"/>
      <c r="N223" s="225"/>
    </row>
    <row r="224" spans="2:14" s="60" customFormat="1" ht="15" customHeight="1">
      <c r="B224" s="50" t="s">
        <v>364</v>
      </c>
      <c r="C224" s="50"/>
      <c r="D224" s="50"/>
      <c r="E224" s="50"/>
      <c r="F224" s="50"/>
      <c r="G224" s="50"/>
      <c r="H224" s="50"/>
      <c r="I224" s="50"/>
      <c r="J224" s="225"/>
      <c r="K224" s="225"/>
      <c r="L224" s="225"/>
      <c r="M224" s="225"/>
      <c r="N224" s="225"/>
    </row>
    <row r="225" spans="2:14" s="60" customFormat="1" ht="15" customHeight="1">
      <c r="B225" s="50" t="s">
        <v>365</v>
      </c>
      <c r="C225" s="50"/>
      <c r="D225" s="50"/>
      <c r="E225" s="50"/>
      <c r="F225" s="50"/>
      <c r="G225" s="50"/>
      <c r="H225" s="50"/>
      <c r="I225" s="50"/>
      <c r="J225" s="225"/>
      <c r="K225" s="225"/>
      <c r="L225" s="225"/>
      <c r="M225" s="225"/>
      <c r="N225" s="225"/>
    </row>
    <row r="226" spans="2:14" s="60" customFormat="1" ht="15" customHeight="1">
      <c r="B226" s="50" t="s">
        <v>251</v>
      </c>
      <c r="C226" s="50"/>
      <c r="D226" s="50"/>
      <c r="E226" s="50"/>
      <c r="F226" s="50"/>
      <c r="G226" s="50"/>
      <c r="H226" s="50"/>
      <c r="I226" s="50"/>
      <c r="J226" s="225"/>
      <c r="K226" s="225"/>
      <c r="L226" s="225"/>
      <c r="M226" s="225"/>
      <c r="N226" s="225"/>
    </row>
    <row r="227" spans="2:14" s="60" customFormat="1" ht="15" customHeight="1">
      <c r="B227" s="50" t="s">
        <v>366</v>
      </c>
      <c r="C227" s="50"/>
      <c r="D227" s="50"/>
      <c r="E227" s="50"/>
      <c r="F227" s="50"/>
      <c r="G227" s="50"/>
      <c r="H227" s="50"/>
      <c r="I227" s="50"/>
      <c r="J227" s="225"/>
      <c r="K227" s="225"/>
      <c r="L227" s="225"/>
      <c r="M227" s="225"/>
      <c r="N227" s="225"/>
    </row>
    <row r="228" spans="2:14" ht="15" customHeight="1">
      <c r="B228" s="901" t="s">
        <v>252</v>
      </c>
      <c r="C228" s="901"/>
      <c r="D228" s="901"/>
      <c r="E228" s="901"/>
      <c r="F228" s="901"/>
      <c r="G228" s="901"/>
      <c r="H228" s="901"/>
      <c r="I228" s="901"/>
      <c r="J228" s="901"/>
      <c r="K228" s="901"/>
      <c r="L228" s="901"/>
      <c r="M228" s="901"/>
      <c r="N228" s="901"/>
    </row>
    <row r="229" spans="2:14" ht="15" customHeight="1">
      <c r="B229" s="779" t="s">
        <v>253</v>
      </c>
      <c r="C229" s="779"/>
      <c r="D229" s="779"/>
      <c r="E229" s="779"/>
      <c r="F229" s="779"/>
      <c r="G229" s="779"/>
      <c r="H229" s="779"/>
      <c r="I229" s="779"/>
      <c r="J229" s="779"/>
      <c r="K229" s="779"/>
      <c r="L229" s="779"/>
      <c r="M229" s="779"/>
      <c r="N229" s="779"/>
    </row>
    <row r="230" spans="2:14" ht="15" customHeight="1">
      <c r="B230" s="59"/>
      <c r="C230" s="58"/>
      <c r="D230" s="189"/>
      <c r="E230" s="189"/>
      <c r="F230" s="189"/>
      <c r="G230" s="189"/>
      <c r="H230" s="58"/>
      <c r="I230" s="58"/>
      <c r="J230" s="154"/>
      <c r="K230" s="154"/>
      <c r="L230" s="154"/>
      <c r="M230" s="154"/>
      <c r="N230" s="154"/>
    </row>
    <row r="231" spans="2:14" s="60" customFormat="1" ht="15" customHeight="1">
      <c r="B231" s="61" t="s">
        <v>254</v>
      </c>
      <c r="C231" s="61"/>
      <c r="D231" s="61"/>
      <c r="E231" s="61"/>
      <c r="F231" s="61"/>
      <c r="G231" s="61"/>
      <c r="H231" s="61"/>
      <c r="I231" s="61"/>
      <c r="J231" s="225"/>
      <c r="K231" s="225"/>
      <c r="L231" s="225"/>
      <c r="M231" s="225"/>
      <c r="N231" s="225"/>
    </row>
    <row r="232" spans="2:14" s="60" customFormat="1" ht="15" customHeight="1">
      <c r="B232" s="50" t="s">
        <v>255</v>
      </c>
      <c r="C232" s="50"/>
      <c r="D232" s="50"/>
      <c r="E232" s="50"/>
      <c r="F232" s="50"/>
      <c r="G232" s="50"/>
      <c r="H232" s="50"/>
      <c r="I232" s="50"/>
      <c r="J232" s="225"/>
      <c r="K232" s="225"/>
      <c r="L232" s="225"/>
      <c r="M232" s="225"/>
      <c r="N232" s="225"/>
    </row>
    <row r="233" spans="2:14" s="60" customFormat="1" ht="15" customHeight="1">
      <c r="B233" s="50" t="s">
        <v>367</v>
      </c>
      <c r="C233" s="50"/>
      <c r="D233" s="50"/>
      <c r="E233" s="50"/>
      <c r="F233" s="50"/>
      <c r="G233" s="50"/>
      <c r="H233" s="50"/>
      <c r="I233" s="50"/>
      <c r="J233" s="225"/>
      <c r="K233" s="225"/>
      <c r="L233" s="225"/>
      <c r="M233" s="225"/>
      <c r="N233" s="225"/>
    </row>
    <row r="234" spans="2:14" s="60" customFormat="1" ht="15" customHeight="1">
      <c r="B234" s="50" t="s">
        <v>368</v>
      </c>
      <c r="C234" s="50"/>
      <c r="D234" s="50"/>
      <c r="E234" s="50"/>
      <c r="F234" s="50"/>
      <c r="G234" s="50"/>
      <c r="H234" s="50"/>
      <c r="I234" s="50"/>
      <c r="J234" s="225"/>
      <c r="K234" s="225"/>
      <c r="L234" s="225"/>
      <c r="M234" s="225"/>
      <c r="N234" s="225"/>
    </row>
    <row r="235" spans="2:14" s="60" customFormat="1" ht="15" customHeight="1">
      <c r="B235" s="61" t="s">
        <v>256</v>
      </c>
      <c r="C235" s="61"/>
      <c r="D235" s="61"/>
      <c r="E235" s="61"/>
      <c r="F235" s="61"/>
      <c r="G235" s="61"/>
      <c r="H235" s="61"/>
      <c r="I235" s="61"/>
      <c r="J235" s="225"/>
      <c r="K235" s="225"/>
      <c r="L235" s="225"/>
      <c r="M235" s="225"/>
      <c r="N235" s="225"/>
    </row>
    <row r="236" spans="2:14" s="60" customFormat="1" ht="15" customHeight="1">
      <c r="B236" s="50" t="s">
        <v>257</v>
      </c>
      <c r="C236" s="50"/>
      <c r="D236" s="50"/>
      <c r="E236" s="50"/>
      <c r="F236" s="50"/>
      <c r="G236" s="50"/>
      <c r="H236" s="50"/>
      <c r="I236" s="50"/>
      <c r="J236" s="225"/>
      <c r="K236" s="225"/>
      <c r="L236" s="225"/>
      <c r="M236" s="225"/>
      <c r="N236" s="225"/>
    </row>
    <row r="237" spans="2:14" s="60" customFormat="1" ht="15" customHeight="1">
      <c r="B237" s="50" t="s">
        <v>801</v>
      </c>
      <c r="C237" s="50"/>
      <c r="D237" s="50"/>
      <c r="E237" s="50"/>
      <c r="F237" s="50"/>
      <c r="G237" s="50"/>
      <c r="H237" s="50"/>
      <c r="I237" s="50"/>
      <c r="J237" s="225"/>
      <c r="K237" s="225"/>
      <c r="L237" s="225"/>
      <c r="M237" s="225"/>
      <c r="N237" s="225"/>
    </row>
    <row r="238" spans="2:14" s="60" customFormat="1" ht="15" customHeight="1">
      <c r="B238" s="191" t="s">
        <v>259</v>
      </c>
      <c r="C238" s="191"/>
      <c r="D238" s="191"/>
      <c r="E238" s="191"/>
      <c r="F238" s="191"/>
      <c r="G238" s="191"/>
      <c r="H238" s="191"/>
      <c r="I238" s="191"/>
      <c r="J238" s="225"/>
      <c r="K238" s="225"/>
      <c r="L238" s="225"/>
      <c r="M238" s="225"/>
      <c r="N238" s="225"/>
    </row>
    <row r="239" spans="2:14" s="60" customFormat="1" ht="15" customHeight="1">
      <c r="B239" s="191" t="s">
        <v>260</v>
      </c>
      <c r="C239" s="191"/>
      <c r="D239" s="191"/>
      <c r="E239" s="191"/>
      <c r="F239" s="191"/>
      <c r="G239" s="191"/>
      <c r="H239" s="191"/>
      <c r="I239" s="191"/>
      <c r="J239" s="225"/>
      <c r="K239" s="225"/>
      <c r="L239" s="225"/>
      <c r="M239" s="225"/>
      <c r="N239" s="225"/>
    </row>
    <row r="240" spans="2:14" s="60" customFormat="1" ht="15" customHeight="1">
      <c r="B240" s="50" t="s">
        <v>261</v>
      </c>
      <c r="C240" s="50"/>
      <c r="D240" s="50"/>
      <c r="E240" s="50"/>
      <c r="F240" s="50"/>
      <c r="G240" s="50"/>
      <c r="H240" s="50"/>
      <c r="I240" s="50"/>
      <c r="J240" s="225"/>
      <c r="K240" s="225"/>
      <c r="L240" s="225"/>
      <c r="M240" s="225"/>
      <c r="N240" s="225"/>
    </row>
    <row r="241" spans="2:14" s="60" customFormat="1" ht="15" customHeight="1">
      <c r="B241" s="50" t="s">
        <v>262</v>
      </c>
      <c r="C241" s="50"/>
      <c r="D241" s="50"/>
      <c r="E241" s="50"/>
      <c r="F241" s="50"/>
      <c r="G241" s="50"/>
      <c r="H241" s="50"/>
      <c r="I241" s="50"/>
      <c r="J241" s="225"/>
      <c r="K241" s="225"/>
      <c r="L241" s="225"/>
      <c r="M241" s="225"/>
      <c r="N241" s="225"/>
    </row>
    <row r="242" spans="2:14" s="60" customFormat="1" ht="15" customHeight="1">
      <c r="B242" s="191" t="s">
        <v>369</v>
      </c>
      <c r="C242" s="191"/>
      <c r="D242" s="191"/>
      <c r="E242" s="191"/>
      <c r="F242" s="191"/>
      <c r="G242" s="191"/>
      <c r="H242" s="191"/>
      <c r="I242" s="191"/>
      <c r="J242" s="225"/>
      <c r="K242" s="225"/>
      <c r="L242" s="225"/>
      <c r="M242" s="225"/>
      <c r="N242" s="225"/>
    </row>
    <row r="243" spans="2:14" s="60" customFormat="1" ht="15" customHeight="1">
      <c r="B243" s="191" t="s">
        <v>370</v>
      </c>
      <c r="C243" s="191"/>
      <c r="D243" s="191"/>
      <c r="E243" s="191"/>
      <c r="F243" s="191"/>
      <c r="G243" s="191"/>
      <c r="H243" s="191"/>
      <c r="I243" s="191"/>
      <c r="J243" s="225"/>
      <c r="K243" s="225"/>
      <c r="L243" s="225"/>
      <c r="M243" s="225"/>
      <c r="N243" s="225"/>
    </row>
    <row r="244" spans="2:14" s="60" customFormat="1" ht="15" customHeight="1">
      <c r="B244" s="191" t="s">
        <v>371</v>
      </c>
      <c r="C244" s="191"/>
      <c r="D244" s="191"/>
      <c r="E244" s="191"/>
      <c r="F244" s="191"/>
      <c r="G244" s="191"/>
      <c r="H244" s="191"/>
      <c r="I244" s="191"/>
      <c r="J244" s="225"/>
      <c r="K244" s="225"/>
      <c r="L244" s="225"/>
      <c r="M244" s="225"/>
      <c r="N244" s="225"/>
    </row>
    <row r="245" spans="2:14" s="60" customFormat="1" ht="15" customHeight="1">
      <c r="B245" s="191" t="s">
        <v>372</v>
      </c>
      <c r="C245" s="191"/>
      <c r="D245" s="191"/>
      <c r="E245" s="191"/>
      <c r="F245" s="191"/>
      <c r="G245" s="191"/>
      <c r="H245" s="191"/>
      <c r="I245" s="191"/>
      <c r="J245" s="225"/>
      <c r="K245" s="225"/>
      <c r="L245" s="225"/>
      <c r="M245" s="225"/>
      <c r="N245" s="225"/>
    </row>
    <row r="246" spans="2:14" s="60" customFormat="1" ht="15" customHeight="1">
      <c r="B246" s="50" t="s">
        <v>263</v>
      </c>
      <c r="C246" s="50"/>
      <c r="D246" s="50"/>
      <c r="E246" s="50"/>
      <c r="F246" s="50"/>
      <c r="G246" s="50"/>
      <c r="H246" s="50"/>
      <c r="I246" s="50"/>
      <c r="J246" s="225"/>
      <c r="K246" s="225"/>
      <c r="L246" s="225"/>
      <c r="M246" s="225"/>
      <c r="N246" s="225"/>
    </row>
    <row r="247" spans="2:14" s="60" customFormat="1" ht="15" customHeight="1">
      <c r="B247" s="50" t="s">
        <v>375</v>
      </c>
      <c r="C247" s="50"/>
      <c r="D247" s="50"/>
      <c r="E247" s="50"/>
      <c r="F247" s="50"/>
      <c r="G247" s="50"/>
      <c r="H247" s="50"/>
      <c r="I247" s="50"/>
      <c r="J247" s="225"/>
      <c r="K247" s="225"/>
      <c r="L247" s="225"/>
      <c r="M247" s="225"/>
      <c r="N247" s="225"/>
    </row>
    <row r="248" spans="2:14" s="60" customFormat="1" ht="15" customHeight="1">
      <c r="B248" s="191" t="s">
        <v>376</v>
      </c>
      <c r="C248" s="191"/>
      <c r="D248" s="191"/>
      <c r="E248" s="191"/>
      <c r="F248" s="191"/>
      <c r="G248" s="191"/>
      <c r="H248" s="191"/>
      <c r="I248" s="191"/>
      <c r="J248" s="225"/>
      <c r="K248" s="225"/>
      <c r="L248" s="225"/>
      <c r="M248" s="225"/>
      <c r="N248" s="225"/>
    </row>
    <row r="249" spans="2:14" s="60" customFormat="1" ht="15" customHeight="1">
      <c r="B249" s="191" t="s">
        <v>373</v>
      </c>
      <c r="C249" s="191"/>
      <c r="D249" s="191"/>
      <c r="E249" s="191"/>
      <c r="F249" s="191"/>
      <c r="G249" s="191"/>
      <c r="H249" s="191"/>
      <c r="I249" s="191"/>
      <c r="J249" s="225"/>
      <c r="K249" s="225"/>
      <c r="L249" s="225"/>
      <c r="M249" s="225"/>
      <c r="N249" s="225"/>
    </row>
    <row r="250" spans="2:14" s="60" customFormat="1" ht="15" customHeight="1">
      <c r="B250" s="191" t="s">
        <v>374</v>
      </c>
      <c r="C250" s="191"/>
      <c r="D250" s="191"/>
      <c r="E250" s="191"/>
      <c r="F250" s="191"/>
      <c r="G250" s="191"/>
      <c r="H250" s="191"/>
      <c r="I250" s="191"/>
      <c r="J250" s="225"/>
      <c r="K250" s="225"/>
      <c r="L250" s="225"/>
      <c r="M250" s="225"/>
      <c r="N250" s="225"/>
    </row>
    <row r="251" spans="2:14" s="60" customFormat="1" ht="15" customHeight="1">
      <c r="B251" s="50" t="s">
        <v>264</v>
      </c>
      <c r="C251" s="50"/>
      <c r="D251" s="50"/>
      <c r="E251" s="50"/>
      <c r="F251" s="50"/>
      <c r="G251" s="50"/>
      <c r="H251" s="50"/>
      <c r="I251" s="50"/>
      <c r="J251" s="225"/>
      <c r="K251" s="225"/>
      <c r="L251" s="225"/>
      <c r="M251" s="225"/>
      <c r="N251" s="225"/>
    </row>
    <row r="252" spans="2:14" s="60" customFormat="1" ht="15" customHeight="1">
      <c r="B252" s="191" t="s">
        <v>265</v>
      </c>
      <c r="C252" s="191"/>
      <c r="D252" s="191"/>
      <c r="E252" s="191"/>
      <c r="F252" s="191"/>
      <c r="G252" s="191"/>
      <c r="H252" s="191"/>
      <c r="I252" s="191"/>
      <c r="J252" s="225"/>
      <c r="K252" s="225"/>
      <c r="L252" s="225"/>
      <c r="M252" s="225"/>
      <c r="N252" s="225"/>
    </row>
    <row r="253" spans="2:14" s="60" customFormat="1" ht="15" customHeight="1">
      <c r="B253" s="50" t="s">
        <v>377</v>
      </c>
      <c r="C253" s="50"/>
      <c r="D253" s="50"/>
      <c r="E253" s="50"/>
      <c r="F253" s="50"/>
      <c r="G253" s="50"/>
      <c r="H253" s="50"/>
      <c r="I253" s="50"/>
      <c r="J253" s="225"/>
      <c r="K253" s="225"/>
      <c r="L253" s="225"/>
      <c r="M253" s="225"/>
      <c r="N253" s="225"/>
    </row>
    <row r="254" spans="2:14" s="60" customFormat="1" ht="15" customHeight="1">
      <c r="B254" s="191" t="s">
        <v>378</v>
      </c>
      <c r="C254" s="191"/>
      <c r="D254" s="191"/>
      <c r="E254" s="191"/>
      <c r="F254" s="191"/>
      <c r="G254" s="191"/>
      <c r="H254" s="191"/>
      <c r="I254" s="191"/>
      <c r="J254" s="225"/>
      <c r="K254" s="225"/>
      <c r="L254" s="225"/>
      <c r="M254" s="225"/>
      <c r="N254" s="225"/>
    </row>
    <row r="255" spans="2:14" s="60" customFormat="1" ht="15" customHeight="1">
      <c r="B255" s="50" t="s">
        <v>266</v>
      </c>
      <c r="C255" s="50"/>
      <c r="D255" s="50"/>
      <c r="E255" s="50"/>
      <c r="F255" s="50"/>
      <c r="G255" s="50"/>
      <c r="H255" s="50"/>
      <c r="I255" s="50"/>
      <c r="J255" s="225"/>
      <c r="K255" s="225"/>
      <c r="L255" s="225"/>
      <c r="M255" s="225"/>
      <c r="N255" s="225"/>
    </row>
    <row r="256" spans="2:14" s="60" customFormat="1" ht="15" customHeight="1">
      <c r="B256" s="191" t="s">
        <v>267</v>
      </c>
      <c r="C256" s="191"/>
      <c r="D256" s="191"/>
      <c r="E256" s="191"/>
      <c r="F256" s="191"/>
      <c r="G256" s="191"/>
      <c r="H256" s="191"/>
      <c r="I256" s="191"/>
      <c r="J256" s="225"/>
      <c r="K256" s="225"/>
      <c r="L256" s="225"/>
      <c r="M256" s="225"/>
      <c r="N256" s="225"/>
    </row>
    <row r="257" spans="2:14" s="60" customFormat="1" ht="15" customHeight="1">
      <c r="B257" s="50" t="s">
        <v>268</v>
      </c>
      <c r="C257" s="50"/>
      <c r="D257" s="50"/>
      <c r="E257" s="50"/>
      <c r="F257" s="50"/>
      <c r="G257" s="50"/>
      <c r="H257" s="50"/>
      <c r="I257" s="50"/>
      <c r="J257" s="225"/>
      <c r="K257" s="225"/>
      <c r="L257" s="225"/>
      <c r="M257" s="225"/>
      <c r="N257" s="225"/>
    </row>
    <row r="258" spans="2:14" s="60" customFormat="1" ht="15" customHeight="1">
      <c r="B258" s="50" t="s">
        <v>379</v>
      </c>
      <c r="C258" s="50"/>
      <c r="D258" s="50"/>
      <c r="E258" s="50"/>
      <c r="F258" s="50"/>
      <c r="G258" s="50"/>
      <c r="H258" s="50"/>
      <c r="I258" s="50"/>
      <c r="J258" s="225"/>
      <c r="K258" s="225"/>
      <c r="L258" s="225"/>
      <c r="M258" s="225"/>
      <c r="N258" s="225"/>
    </row>
    <row r="259" spans="2:14" s="60" customFormat="1" ht="15" customHeight="1">
      <c r="B259" s="50" t="s">
        <v>802</v>
      </c>
      <c r="C259" s="50"/>
      <c r="D259" s="50"/>
      <c r="E259" s="50"/>
      <c r="F259" s="50"/>
      <c r="G259" s="50"/>
      <c r="H259" s="50"/>
      <c r="I259" s="50"/>
      <c r="J259" s="225"/>
      <c r="K259" s="225"/>
      <c r="L259" s="225"/>
      <c r="M259" s="225"/>
      <c r="N259" s="225"/>
    </row>
    <row r="260" spans="2:14" s="60" customFormat="1" ht="15" customHeight="1">
      <c r="B260" s="50" t="s">
        <v>776</v>
      </c>
      <c r="C260" s="50"/>
      <c r="D260" s="50"/>
      <c r="E260" s="50"/>
      <c r="F260" s="50"/>
      <c r="G260" s="50"/>
      <c r="H260" s="50"/>
      <c r="I260" s="50"/>
      <c r="J260" s="225"/>
      <c r="K260" s="225"/>
      <c r="L260" s="225"/>
      <c r="M260" s="225"/>
      <c r="N260" s="225"/>
    </row>
    <row r="261" spans="2:14" s="60" customFormat="1" ht="15" customHeight="1">
      <c r="B261" s="191" t="s">
        <v>269</v>
      </c>
      <c r="C261" s="191"/>
      <c r="D261" s="191"/>
      <c r="E261" s="191"/>
      <c r="F261" s="191"/>
      <c r="G261" s="191"/>
      <c r="H261" s="191"/>
      <c r="I261" s="191"/>
      <c r="J261" s="225"/>
      <c r="K261" s="225"/>
      <c r="L261" s="225"/>
      <c r="M261" s="225"/>
      <c r="N261" s="225"/>
    </row>
    <row r="262" spans="2:14" s="60" customFormat="1" ht="15" customHeight="1">
      <c r="B262" s="50" t="s">
        <v>382</v>
      </c>
      <c r="C262" s="50"/>
      <c r="D262" s="50"/>
      <c r="E262" s="50"/>
      <c r="F262" s="50"/>
      <c r="G262" s="50"/>
      <c r="H262" s="50"/>
      <c r="I262" s="50"/>
      <c r="J262" s="225"/>
      <c r="K262" s="225"/>
      <c r="L262" s="225"/>
      <c r="M262" s="225"/>
      <c r="N262" s="225"/>
    </row>
    <row r="263" spans="2:14" s="60" customFormat="1" ht="15" customHeight="1">
      <c r="B263" s="50" t="s">
        <v>383</v>
      </c>
      <c r="C263" s="50"/>
      <c r="D263" s="50"/>
      <c r="E263" s="50"/>
      <c r="F263" s="50"/>
      <c r="G263" s="50"/>
      <c r="H263" s="50"/>
      <c r="I263" s="50"/>
      <c r="J263" s="225"/>
      <c r="K263" s="225"/>
      <c r="L263" s="225"/>
      <c r="M263" s="225"/>
      <c r="N263" s="225"/>
    </row>
    <row r="264" spans="2:14" s="60" customFormat="1" ht="15" customHeight="1">
      <c r="B264" s="50" t="s">
        <v>270</v>
      </c>
      <c r="C264" s="50"/>
      <c r="D264" s="50"/>
      <c r="E264" s="50"/>
      <c r="F264" s="50"/>
      <c r="G264" s="50"/>
      <c r="H264" s="50"/>
      <c r="I264" s="50"/>
      <c r="J264" s="225"/>
      <c r="K264" s="225"/>
      <c r="L264" s="225"/>
      <c r="M264" s="225"/>
      <c r="N264" s="225"/>
    </row>
    <row r="265" spans="2:14" s="60" customFormat="1" ht="9.75" customHeight="1">
      <c r="B265" s="50"/>
      <c r="C265" s="50"/>
      <c r="D265" s="50"/>
      <c r="E265" s="50"/>
      <c r="F265" s="50"/>
      <c r="G265" s="50"/>
      <c r="H265" s="50"/>
      <c r="I265" s="50"/>
      <c r="J265" s="225"/>
      <c r="K265" s="225"/>
      <c r="L265" s="225"/>
      <c r="M265" s="225"/>
      <c r="N265" s="225"/>
    </row>
    <row r="266" spans="2:14" s="60" customFormat="1" ht="15" customHeight="1">
      <c r="B266" s="61" t="s">
        <v>271</v>
      </c>
      <c r="C266" s="61"/>
      <c r="D266" s="61"/>
      <c r="E266" s="61"/>
      <c r="F266" s="61"/>
      <c r="G266" s="61"/>
      <c r="H266" s="61"/>
      <c r="I266" s="61"/>
      <c r="J266" s="225"/>
      <c r="K266" s="225"/>
      <c r="L266" s="225"/>
      <c r="M266" s="225"/>
      <c r="N266" s="225"/>
    </row>
    <row r="267" spans="2:14" s="60" customFormat="1" ht="15" customHeight="1">
      <c r="B267" s="50" t="s">
        <v>803</v>
      </c>
      <c r="C267" s="61"/>
      <c r="D267" s="61"/>
      <c r="E267" s="61"/>
      <c r="F267" s="61"/>
      <c r="G267" s="61"/>
      <c r="H267" s="61"/>
      <c r="I267" s="61"/>
      <c r="J267" s="225"/>
      <c r="K267" s="225"/>
      <c r="L267" s="225"/>
      <c r="M267" s="225"/>
      <c r="N267" s="225"/>
    </row>
    <row r="268" spans="2:14" s="60" customFormat="1" ht="15" customHeight="1">
      <c r="B268" s="50" t="s">
        <v>272</v>
      </c>
      <c r="C268" s="50"/>
      <c r="D268" s="50"/>
      <c r="E268" s="50"/>
      <c r="F268" s="50"/>
      <c r="G268" s="50"/>
      <c r="H268" s="50"/>
      <c r="I268" s="50"/>
      <c r="J268" s="225"/>
      <c r="K268" s="225"/>
      <c r="L268" s="225"/>
      <c r="M268" s="225"/>
      <c r="N268" s="225"/>
    </row>
    <row r="269" spans="2:14" s="60" customFormat="1" ht="15" customHeight="1">
      <c r="B269" s="50" t="s">
        <v>387</v>
      </c>
      <c r="C269" s="50"/>
      <c r="D269" s="50"/>
      <c r="E269" s="50"/>
      <c r="F269" s="50"/>
      <c r="G269" s="50"/>
      <c r="H269" s="50"/>
      <c r="I269" s="50"/>
      <c r="J269" s="225"/>
      <c r="K269" s="225"/>
      <c r="L269" s="225"/>
      <c r="M269" s="225"/>
      <c r="N269" s="225"/>
    </row>
    <row r="270" spans="2:14" s="60" customFormat="1" ht="15" customHeight="1">
      <c r="B270" s="50" t="s">
        <v>388</v>
      </c>
      <c r="C270" s="50"/>
      <c r="D270" s="50"/>
      <c r="E270" s="50"/>
      <c r="F270" s="50"/>
      <c r="G270" s="50"/>
      <c r="H270" s="50"/>
      <c r="I270" s="50"/>
      <c r="J270" s="225"/>
      <c r="K270" s="225"/>
      <c r="L270" s="225"/>
      <c r="M270" s="225"/>
      <c r="N270" s="225"/>
    </row>
    <row r="271" spans="2:14" s="60" customFormat="1" ht="15" customHeight="1">
      <c r="B271" s="50" t="s">
        <v>273</v>
      </c>
      <c r="C271" s="50"/>
      <c r="D271" s="50"/>
      <c r="E271" s="50"/>
      <c r="F271" s="50"/>
      <c r="G271" s="50"/>
      <c r="H271" s="50"/>
      <c r="I271" s="50"/>
      <c r="J271" s="225"/>
      <c r="K271" s="225"/>
      <c r="L271" s="225"/>
      <c r="M271" s="225"/>
      <c r="N271" s="225"/>
    </row>
    <row r="272" spans="2:14" s="60" customFormat="1" ht="15" customHeight="1">
      <c r="B272" s="50" t="s">
        <v>385</v>
      </c>
      <c r="C272" s="50"/>
      <c r="D272" s="50"/>
      <c r="E272" s="50"/>
      <c r="F272" s="50"/>
      <c r="G272" s="50"/>
      <c r="H272" s="50"/>
      <c r="I272" s="50"/>
      <c r="J272" s="225"/>
      <c r="K272" s="225"/>
      <c r="L272" s="225"/>
      <c r="M272" s="225"/>
      <c r="N272" s="225"/>
    </row>
    <row r="273" spans="2:14" s="60" customFormat="1" ht="15" customHeight="1">
      <c r="B273" s="50" t="s">
        <v>386</v>
      </c>
      <c r="C273" s="50"/>
      <c r="D273" s="50"/>
      <c r="E273" s="50"/>
      <c r="F273" s="50"/>
      <c r="G273" s="50"/>
      <c r="H273" s="50"/>
      <c r="I273" s="50"/>
      <c r="J273" s="225"/>
      <c r="K273" s="225"/>
      <c r="L273" s="225"/>
      <c r="M273" s="225"/>
      <c r="N273" s="225"/>
    </row>
    <row r="274" spans="2:14" s="60" customFormat="1" ht="15" customHeight="1">
      <c r="B274" s="50" t="s">
        <v>274</v>
      </c>
      <c r="C274" s="50"/>
      <c r="D274" s="50"/>
      <c r="E274" s="50"/>
      <c r="F274" s="50"/>
      <c r="G274" s="50"/>
      <c r="H274" s="50"/>
      <c r="I274" s="50"/>
      <c r="J274" s="225"/>
      <c r="K274" s="225"/>
      <c r="L274" s="225"/>
      <c r="M274" s="225"/>
      <c r="N274" s="225"/>
    </row>
    <row r="275" spans="2:14" s="60" customFormat="1" ht="15" customHeight="1">
      <c r="B275" s="191" t="s">
        <v>275</v>
      </c>
      <c r="C275" s="191"/>
      <c r="D275" s="191"/>
      <c r="E275" s="191"/>
      <c r="F275" s="191"/>
      <c r="G275" s="191"/>
      <c r="H275" s="191"/>
      <c r="I275" s="191"/>
      <c r="J275" s="225"/>
      <c r="K275" s="225"/>
      <c r="L275" s="225"/>
      <c r="M275" s="225"/>
      <c r="N275" s="225"/>
    </row>
    <row r="276" spans="2:14" s="60" customFormat="1" ht="8.25" customHeight="1">
      <c r="B276" s="191"/>
      <c r="C276" s="191"/>
      <c r="D276" s="191"/>
      <c r="E276" s="191"/>
      <c r="F276" s="191"/>
      <c r="G276" s="191"/>
      <c r="H276" s="191"/>
      <c r="I276" s="191"/>
      <c r="J276" s="225"/>
      <c r="K276" s="225"/>
      <c r="L276" s="225"/>
      <c r="M276" s="225"/>
      <c r="N276" s="225"/>
    </row>
    <row r="277" spans="2:14" s="60" customFormat="1" ht="15" customHeight="1">
      <c r="B277" s="61" t="s">
        <v>276</v>
      </c>
      <c r="C277" s="61"/>
      <c r="D277" s="61"/>
      <c r="E277" s="61"/>
      <c r="F277" s="61"/>
      <c r="G277" s="61"/>
      <c r="H277" s="61"/>
      <c r="I277" s="61"/>
      <c r="J277" s="225"/>
      <c r="K277" s="225"/>
      <c r="L277" s="225"/>
      <c r="M277" s="225"/>
      <c r="N277" s="225"/>
    </row>
    <row r="278" spans="2:14" s="60" customFormat="1" ht="15" customHeight="1">
      <c r="B278" s="50" t="s">
        <v>389</v>
      </c>
      <c r="C278" s="50"/>
      <c r="D278" s="50"/>
      <c r="E278" s="50"/>
      <c r="F278" s="50"/>
      <c r="G278" s="50"/>
      <c r="H278" s="50"/>
      <c r="I278" s="50"/>
      <c r="J278" s="225"/>
      <c r="K278" s="225"/>
      <c r="L278" s="225"/>
      <c r="M278" s="225"/>
      <c r="N278" s="225"/>
    </row>
    <row r="279" spans="2:14" s="60" customFormat="1" ht="15" customHeight="1">
      <c r="B279" s="50" t="s">
        <v>804</v>
      </c>
      <c r="C279" s="50"/>
      <c r="D279" s="50"/>
      <c r="E279" s="50"/>
      <c r="F279" s="50"/>
      <c r="G279" s="50"/>
      <c r="H279" s="50"/>
      <c r="I279" s="50"/>
      <c r="J279" s="225"/>
      <c r="K279" s="225"/>
      <c r="L279" s="225"/>
      <c r="M279" s="225"/>
      <c r="N279" s="225"/>
    </row>
    <row r="280" spans="2:14" s="60" customFormat="1" ht="15" customHeight="1">
      <c r="B280" s="50" t="s">
        <v>277</v>
      </c>
      <c r="C280" s="50"/>
      <c r="D280" s="50"/>
      <c r="E280" s="50"/>
      <c r="F280" s="50"/>
      <c r="G280" s="50"/>
      <c r="H280" s="50"/>
      <c r="I280" s="50"/>
      <c r="J280" s="225"/>
      <c r="K280" s="225"/>
      <c r="L280" s="225"/>
      <c r="M280" s="225"/>
      <c r="N280" s="225"/>
    </row>
    <row r="281" spans="2:14" s="60" customFormat="1" ht="15" customHeight="1">
      <c r="B281" s="50" t="s">
        <v>278</v>
      </c>
      <c r="C281" s="50"/>
      <c r="D281" s="50"/>
      <c r="E281" s="50"/>
      <c r="F281" s="50"/>
      <c r="G281" s="50"/>
      <c r="H281" s="50"/>
      <c r="I281" s="50"/>
      <c r="J281" s="225"/>
      <c r="K281" s="225"/>
      <c r="L281" s="225"/>
      <c r="M281" s="225"/>
      <c r="N281" s="225"/>
    </row>
    <row r="282" spans="2:14" s="60" customFormat="1" ht="15" customHeight="1">
      <c r="B282" s="191" t="s">
        <v>777</v>
      </c>
      <c r="C282" s="191"/>
      <c r="D282" s="191"/>
      <c r="E282" s="191"/>
      <c r="F282" s="191"/>
      <c r="G282" s="191"/>
      <c r="H282" s="191"/>
      <c r="I282" s="191"/>
      <c r="J282" s="225"/>
      <c r="K282" s="225"/>
      <c r="L282" s="225"/>
      <c r="M282" s="225"/>
      <c r="N282" s="225"/>
    </row>
    <row r="283" spans="2:14" s="60" customFormat="1" ht="15" customHeight="1">
      <c r="B283" s="191" t="s">
        <v>392</v>
      </c>
      <c r="C283" s="191"/>
      <c r="D283" s="191"/>
      <c r="E283" s="191"/>
      <c r="F283" s="191"/>
      <c r="G283" s="191"/>
      <c r="H283" s="191"/>
      <c r="I283" s="191"/>
      <c r="J283" s="225"/>
      <c r="K283" s="225"/>
      <c r="L283" s="225"/>
      <c r="M283" s="225"/>
      <c r="N283" s="225"/>
    </row>
    <row r="284" spans="2:14" s="60" customFormat="1" ht="15" customHeight="1">
      <c r="B284" s="191" t="s">
        <v>393</v>
      </c>
      <c r="C284" s="191"/>
      <c r="D284" s="191"/>
      <c r="E284" s="191"/>
      <c r="F284" s="191"/>
      <c r="G284" s="191"/>
      <c r="H284" s="191"/>
      <c r="I284" s="191"/>
      <c r="J284" s="225"/>
      <c r="K284" s="225"/>
      <c r="L284" s="225"/>
      <c r="M284" s="225"/>
      <c r="N284" s="225"/>
    </row>
    <row r="285" spans="2:14" s="60" customFormat="1" ht="15" customHeight="1">
      <c r="B285" s="191" t="s">
        <v>394</v>
      </c>
      <c r="C285" s="191"/>
      <c r="D285" s="191"/>
      <c r="E285" s="191"/>
      <c r="F285" s="191"/>
      <c r="G285" s="191"/>
      <c r="H285" s="191"/>
      <c r="I285" s="191"/>
      <c r="J285" s="225"/>
      <c r="K285" s="225"/>
      <c r="L285" s="225"/>
      <c r="M285" s="225"/>
      <c r="N285" s="225"/>
    </row>
    <row r="286" spans="2:14" s="60" customFormat="1" ht="15" customHeight="1">
      <c r="B286" s="50" t="s">
        <v>279</v>
      </c>
      <c r="C286" s="50"/>
      <c r="D286" s="50"/>
      <c r="E286" s="50"/>
      <c r="F286" s="50"/>
      <c r="G286" s="50"/>
      <c r="H286" s="50"/>
      <c r="I286" s="50"/>
      <c r="J286" s="225"/>
      <c r="K286" s="225"/>
      <c r="L286" s="225"/>
      <c r="M286" s="225"/>
      <c r="N286" s="225"/>
    </row>
    <row r="287" spans="2:14" s="60" customFormat="1" ht="15" customHeight="1">
      <c r="B287" s="50" t="s">
        <v>671</v>
      </c>
      <c r="C287" s="50"/>
      <c r="D287" s="50"/>
      <c r="E287" s="50"/>
      <c r="F287" s="50"/>
      <c r="G287" s="50"/>
      <c r="H287" s="50"/>
      <c r="I287" s="50"/>
      <c r="J287" s="225"/>
      <c r="K287" s="225"/>
      <c r="L287" s="225"/>
      <c r="M287" s="225"/>
      <c r="N287" s="225"/>
    </row>
    <row r="288" spans="2:14" s="60" customFormat="1" ht="15" customHeight="1">
      <c r="B288" s="50" t="s">
        <v>395</v>
      </c>
      <c r="C288" s="50"/>
      <c r="D288" s="50"/>
      <c r="E288" s="50"/>
      <c r="F288" s="50"/>
      <c r="G288" s="50"/>
      <c r="H288" s="50"/>
      <c r="I288" s="50"/>
      <c r="J288" s="225"/>
      <c r="K288" s="225"/>
      <c r="L288" s="225"/>
      <c r="M288" s="225"/>
      <c r="N288" s="225"/>
    </row>
    <row r="289" spans="2:14" s="60" customFormat="1" ht="15" customHeight="1">
      <c r="B289" s="191" t="s">
        <v>280</v>
      </c>
      <c r="C289" s="191"/>
      <c r="D289" s="191"/>
      <c r="E289" s="191"/>
      <c r="F289" s="191"/>
      <c r="G289" s="191"/>
      <c r="H289" s="191"/>
      <c r="I289" s="191"/>
      <c r="J289" s="225"/>
      <c r="K289" s="225"/>
      <c r="L289" s="225"/>
      <c r="M289" s="225"/>
      <c r="N289" s="225"/>
    </row>
    <row r="290" spans="2:14" s="60" customFormat="1" ht="15" customHeight="1">
      <c r="B290" s="191" t="s">
        <v>396</v>
      </c>
      <c r="C290" s="191"/>
      <c r="D290" s="191"/>
      <c r="E290" s="191"/>
      <c r="F290" s="191"/>
      <c r="G290" s="191"/>
      <c r="H290" s="191"/>
      <c r="I290" s="191"/>
      <c r="J290" s="225"/>
      <c r="K290" s="225"/>
      <c r="L290" s="225"/>
      <c r="M290" s="225"/>
      <c r="N290" s="225"/>
    </row>
    <row r="291" spans="2:14" s="60" customFormat="1" ht="15" customHeight="1">
      <c r="B291" s="191" t="s">
        <v>780</v>
      </c>
      <c r="C291" s="191"/>
      <c r="D291" s="191"/>
      <c r="E291" s="191"/>
      <c r="F291" s="191"/>
      <c r="G291" s="191"/>
      <c r="H291" s="191"/>
      <c r="I291" s="191"/>
      <c r="J291" s="225"/>
      <c r="K291" s="225"/>
      <c r="L291" s="225"/>
      <c r="M291" s="225"/>
      <c r="N291" s="225"/>
    </row>
    <row r="292" spans="2:14" s="60" customFormat="1" ht="15" customHeight="1">
      <c r="B292" s="191" t="s">
        <v>398</v>
      </c>
      <c r="C292" s="191"/>
      <c r="D292" s="191"/>
      <c r="E292" s="191"/>
      <c r="F292" s="191"/>
      <c r="G292" s="191"/>
      <c r="H292" s="191"/>
      <c r="I292" s="191"/>
      <c r="J292" s="225"/>
      <c r="K292" s="225"/>
      <c r="L292" s="225"/>
      <c r="M292" s="225"/>
      <c r="N292" s="225"/>
    </row>
    <row r="293" spans="2:14" s="60" customFormat="1" ht="15" customHeight="1">
      <c r="B293" s="50" t="s">
        <v>399</v>
      </c>
      <c r="C293" s="50"/>
      <c r="D293" s="50"/>
      <c r="E293" s="50"/>
      <c r="F293" s="50"/>
      <c r="G293" s="50"/>
      <c r="H293" s="50"/>
      <c r="I293" s="50"/>
      <c r="J293" s="225"/>
      <c r="K293" s="225"/>
      <c r="L293" s="225"/>
      <c r="M293" s="225"/>
      <c r="N293" s="225"/>
    </row>
    <row r="294" spans="2:14" s="60" customFormat="1" ht="15" customHeight="1">
      <c r="B294" s="191" t="s">
        <v>400</v>
      </c>
      <c r="C294" s="191"/>
      <c r="D294" s="191"/>
      <c r="E294" s="191"/>
      <c r="F294" s="191"/>
      <c r="G294" s="191"/>
      <c r="H294" s="191"/>
      <c r="I294" s="191"/>
      <c r="J294" s="225"/>
      <c r="K294" s="225"/>
      <c r="L294" s="225"/>
      <c r="M294" s="225"/>
      <c r="N294" s="225"/>
    </row>
    <row r="295" spans="2:14" s="60" customFormat="1" ht="15" customHeight="1">
      <c r="B295" s="191" t="s">
        <v>401</v>
      </c>
      <c r="C295" s="191"/>
      <c r="D295" s="191"/>
      <c r="E295" s="191"/>
      <c r="F295" s="191"/>
      <c r="G295" s="191"/>
      <c r="H295" s="191"/>
      <c r="I295" s="191"/>
      <c r="J295" s="225"/>
      <c r="K295" s="225"/>
      <c r="L295" s="225"/>
      <c r="M295" s="225"/>
      <c r="N295" s="225"/>
    </row>
    <row r="296" spans="2:14" s="60" customFormat="1" ht="6.75" customHeight="1">
      <c r="B296" s="191"/>
      <c r="C296" s="191"/>
      <c r="D296" s="191"/>
      <c r="E296" s="191"/>
      <c r="F296" s="191"/>
      <c r="G296" s="191"/>
      <c r="H296" s="191"/>
      <c r="I296" s="191"/>
      <c r="J296" s="225"/>
      <c r="K296" s="225"/>
      <c r="L296" s="225"/>
      <c r="M296" s="225"/>
      <c r="N296" s="225"/>
    </row>
    <row r="297" spans="2:14" s="60" customFormat="1" ht="15" customHeight="1">
      <c r="B297" s="61" t="s">
        <v>281</v>
      </c>
      <c r="C297" s="61"/>
      <c r="D297" s="61"/>
      <c r="E297" s="61"/>
      <c r="F297" s="61"/>
      <c r="G297" s="61"/>
      <c r="H297" s="61"/>
      <c r="I297" s="61"/>
      <c r="J297" s="225"/>
      <c r="K297" s="225"/>
      <c r="L297" s="225"/>
      <c r="M297" s="225"/>
      <c r="N297" s="225"/>
    </row>
    <row r="298" spans="2:14" s="60" customFormat="1" ht="15" customHeight="1">
      <c r="B298" s="50" t="s">
        <v>402</v>
      </c>
      <c r="C298" s="50"/>
      <c r="D298" s="50"/>
      <c r="E298" s="50"/>
      <c r="F298" s="50"/>
      <c r="G298" s="50"/>
      <c r="H298" s="50"/>
      <c r="I298" s="50"/>
      <c r="J298" s="225"/>
      <c r="K298" s="225"/>
      <c r="L298" s="225"/>
      <c r="M298" s="225"/>
      <c r="N298" s="225"/>
    </row>
    <row r="299" spans="2:14" s="60" customFormat="1" ht="15" customHeight="1">
      <c r="B299" s="191" t="s">
        <v>403</v>
      </c>
      <c r="C299" s="191"/>
      <c r="D299" s="191"/>
      <c r="E299" s="191"/>
      <c r="F299" s="191"/>
      <c r="G299" s="191"/>
      <c r="H299" s="191"/>
      <c r="I299" s="191"/>
      <c r="J299" s="225"/>
      <c r="K299" s="225"/>
      <c r="L299" s="225"/>
      <c r="M299" s="225"/>
      <c r="N299" s="225"/>
    </row>
    <row r="300" spans="2:14" s="60" customFormat="1" ht="15" customHeight="1">
      <c r="B300" s="191" t="s">
        <v>404</v>
      </c>
      <c r="C300" s="191"/>
      <c r="D300" s="191"/>
      <c r="E300" s="191"/>
      <c r="F300" s="191"/>
      <c r="G300" s="191"/>
      <c r="H300" s="191"/>
      <c r="I300" s="191"/>
      <c r="J300" s="225"/>
      <c r="K300" s="225"/>
      <c r="L300" s="225"/>
      <c r="M300" s="225"/>
      <c r="N300" s="225"/>
    </row>
    <row r="301" spans="2:14" s="60" customFormat="1" ht="6.75" customHeight="1">
      <c r="B301" s="186"/>
      <c r="C301" s="186"/>
      <c r="D301" s="186"/>
      <c r="E301" s="186"/>
      <c r="F301" s="186"/>
      <c r="G301" s="186"/>
      <c r="H301" s="186"/>
      <c r="I301" s="186"/>
      <c r="J301" s="225"/>
      <c r="K301" s="225"/>
      <c r="L301" s="225"/>
      <c r="M301" s="225"/>
      <c r="N301" s="225"/>
    </row>
    <row r="302" spans="2:14" s="60" customFormat="1" ht="15" customHeight="1">
      <c r="B302" s="61" t="s">
        <v>282</v>
      </c>
      <c r="C302" s="61"/>
      <c r="D302" s="61"/>
      <c r="E302" s="61"/>
      <c r="F302" s="61"/>
      <c r="G302" s="61"/>
      <c r="H302" s="61"/>
      <c r="I302" s="61"/>
      <c r="J302" s="225"/>
      <c r="K302" s="225"/>
      <c r="L302" s="225"/>
      <c r="M302" s="225"/>
      <c r="N302" s="225"/>
    </row>
    <row r="303" spans="2:14" s="60" customFormat="1" ht="15" customHeight="1">
      <c r="B303" s="191" t="s">
        <v>283</v>
      </c>
      <c r="C303" s="191"/>
      <c r="D303" s="191"/>
      <c r="E303" s="191"/>
      <c r="F303" s="191"/>
      <c r="G303" s="191"/>
      <c r="H303" s="191"/>
      <c r="I303" s="191"/>
      <c r="J303" s="225"/>
      <c r="K303" s="225"/>
      <c r="L303" s="225"/>
      <c r="M303" s="225"/>
      <c r="N303" s="225"/>
    </row>
    <row r="304" spans="2:14" s="60" customFormat="1" ht="15" customHeight="1">
      <c r="B304" s="191" t="s">
        <v>483</v>
      </c>
      <c r="C304" s="191"/>
      <c r="D304" s="191"/>
      <c r="E304" s="191"/>
      <c r="F304" s="191"/>
      <c r="G304" s="191"/>
      <c r="H304" s="191"/>
      <c r="I304" s="191"/>
      <c r="J304" s="225"/>
      <c r="K304" s="225"/>
      <c r="L304" s="225"/>
      <c r="M304" s="225"/>
      <c r="N304" s="225"/>
    </row>
    <row r="305" spans="2:14" s="60" customFormat="1" ht="15" customHeight="1">
      <c r="B305" s="191" t="s">
        <v>284</v>
      </c>
      <c r="C305" s="191"/>
      <c r="D305" s="191"/>
      <c r="E305" s="191"/>
      <c r="F305" s="191"/>
      <c r="G305" s="191"/>
      <c r="H305" s="191"/>
      <c r="I305" s="191"/>
      <c r="J305" s="225"/>
      <c r="K305" s="225"/>
      <c r="L305" s="225"/>
      <c r="M305" s="225"/>
      <c r="N305" s="225"/>
    </row>
    <row r="306" spans="2:14" s="60" customFormat="1" ht="15" customHeight="1">
      <c r="B306" s="95" t="s">
        <v>591</v>
      </c>
      <c r="C306" s="95"/>
      <c r="D306" s="95"/>
      <c r="E306" s="95"/>
      <c r="F306" s="95"/>
      <c r="G306" s="95"/>
      <c r="H306" s="95"/>
      <c r="I306" s="95"/>
      <c r="J306" s="225"/>
      <c r="K306" s="225"/>
      <c r="L306" s="225"/>
      <c r="M306" s="225"/>
      <c r="N306" s="225"/>
    </row>
    <row r="307" spans="2:14" s="60" customFormat="1" ht="15" customHeight="1">
      <c r="B307" s="95" t="s">
        <v>484</v>
      </c>
      <c r="C307" s="95"/>
      <c r="D307" s="95"/>
      <c r="E307" s="95"/>
      <c r="F307" s="95"/>
      <c r="G307" s="95"/>
      <c r="H307" s="95"/>
      <c r="I307" s="95"/>
      <c r="J307" s="225"/>
      <c r="K307" s="225"/>
      <c r="L307" s="225"/>
      <c r="M307" s="225"/>
      <c r="N307" s="225"/>
    </row>
    <row r="308" spans="2:14" s="60" customFormat="1" ht="15" customHeight="1">
      <c r="B308" s="95" t="s">
        <v>485</v>
      </c>
      <c r="C308" s="190"/>
      <c r="D308" s="190"/>
      <c r="E308" s="190"/>
      <c r="F308" s="190"/>
      <c r="G308" s="190"/>
      <c r="H308" s="190"/>
      <c r="I308" s="190"/>
      <c r="J308" s="225"/>
      <c r="K308" s="225"/>
      <c r="L308" s="225"/>
      <c r="M308" s="225"/>
      <c r="N308" s="225"/>
    </row>
    <row r="309" spans="2:14" s="60" customFormat="1" ht="6.75" customHeight="1">
      <c r="B309" s="191"/>
      <c r="C309" s="191"/>
      <c r="D309" s="191"/>
      <c r="E309" s="191"/>
      <c r="F309" s="191"/>
      <c r="G309" s="191"/>
      <c r="H309" s="191"/>
      <c r="I309" s="191"/>
      <c r="J309" s="225"/>
      <c r="K309" s="225"/>
      <c r="L309" s="225"/>
      <c r="M309" s="225"/>
      <c r="N309" s="225"/>
    </row>
    <row r="310" spans="2:14" s="60" customFormat="1" ht="15" customHeight="1">
      <c r="B310" s="61" t="s">
        <v>285</v>
      </c>
      <c r="C310" s="61"/>
      <c r="D310" s="61"/>
      <c r="E310" s="61"/>
      <c r="F310" s="61"/>
      <c r="G310" s="61"/>
      <c r="H310" s="61"/>
      <c r="I310" s="61"/>
      <c r="J310" s="225"/>
      <c r="K310" s="225"/>
      <c r="L310" s="225"/>
      <c r="M310" s="225"/>
      <c r="N310" s="225"/>
    </row>
    <row r="311" spans="2:14" s="60" customFormat="1" ht="15" customHeight="1">
      <c r="B311" s="50" t="s">
        <v>286</v>
      </c>
      <c r="C311" s="50"/>
      <c r="D311" s="50"/>
      <c r="E311" s="50"/>
      <c r="F311" s="50"/>
      <c r="G311" s="50"/>
      <c r="H311" s="50"/>
      <c r="I311" s="50"/>
      <c r="J311" s="225"/>
      <c r="K311" s="225"/>
      <c r="L311" s="225"/>
      <c r="M311" s="225"/>
      <c r="N311" s="225"/>
    </row>
    <row r="312" spans="2:14" s="60" customFormat="1" ht="15" customHeight="1">
      <c r="B312" s="50" t="s">
        <v>287</v>
      </c>
      <c r="C312" s="50"/>
      <c r="D312" s="50"/>
      <c r="E312" s="50"/>
      <c r="F312" s="50"/>
      <c r="G312" s="50"/>
      <c r="H312" s="50"/>
      <c r="I312" s="50"/>
      <c r="J312" s="225"/>
      <c r="K312" s="225"/>
      <c r="L312" s="225"/>
      <c r="M312" s="225"/>
      <c r="N312" s="225"/>
    </row>
    <row r="313" spans="2:14" s="60" customFormat="1" ht="15" customHeight="1">
      <c r="B313" s="50" t="s">
        <v>288</v>
      </c>
      <c r="C313" s="50"/>
      <c r="D313" s="50"/>
      <c r="E313" s="50"/>
      <c r="F313" s="50"/>
      <c r="G313" s="50"/>
      <c r="H313" s="50"/>
      <c r="I313" s="50"/>
      <c r="J313" s="225"/>
      <c r="K313" s="225"/>
      <c r="L313" s="225"/>
      <c r="M313" s="225"/>
      <c r="N313" s="225"/>
    </row>
    <row r="314" spans="2:14" s="60" customFormat="1" ht="6.75" customHeight="1">
      <c r="B314" s="185"/>
      <c r="C314" s="185"/>
      <c r="D314" s="185"/>
      <c r="E314" s="185"/>
      <c r="F314" s="185"/>
      <c r="G314" s="185"/>
      <c r="H314" s="185"/>
      <c r="I314" s="185"/>
      <c r="J314" s="225"/>
      <c r="K314" s="225"/>
      <c r="L314" s="225"/>
      <c r="M314" s="225"/>
      <c r="N314" s="225"/>
    </row>
    <row r="315" spans="2:14" s="60" customFormat="1" ht="15" customHeight="1">
      <c r="B315" s="61" t="s">
        <v>289</v>
      </c>
      <c r="C315" s="61"/>
      <c r="D315" s="61"/>
      <c r="E315" s="61"/>
      <c r="F315" s="61"/>
      <c r="G315" s="61"/>
      <c r="H315" s="61"/>
      <c r="I315" s="61"/>
      <c r="J315" s="225"/>
      <c r="K315" s="225"/>
      <c r="L315" s="225"/>
      <c r="M315" s="225"/>
      <c r="N315" s="225"/>
    </row>
    <row r="316" spans="2:14" s="60" customFormat="1" ht="15" customHeight="1">
      <c r="B316" s="50" t="s">
        <v>405</v>
      </c>
      <c r="C316" s="50"/>
      <c r="D316" s="50"/>
      <c r="E316" s="50"/>
      <c r="F316" s="50"/>
      <c r="G316" s="50"/>
      <c r="H316" s="50"/>
      <c r="I316" s="50"/>
      <c r="J316" s="225"/>
      <c r="K316" s="225"/>
      <c r="L316" s="225"/>
      <c r="M316" s="225"/>
      <c r="N316" s="225"/>
    </row>
    <row r="317" spans="2:14" s="60" customFormat="1" ht="15" customHeight="1">
      <c r="B317" s="50" t="s">
        <v>406</v>
      </c>
      <c r="C317" s="50"/>
      <c r="D317" s="50"/>
      <c r="E317" s="50"/>
      <c r="F317" s="50"/>
      <c r="G317" s="50"/>
      <c r="H317" s="50"/>
      <c r="I317" s="50"/>
      <c r="J317" s="225"/>
      <c r="K317" s="225"/>
      <c r="L317" s="225"/>
      <c r="M317" s="225"/>
      <c r="N317" s="225"/>
    </row>
    <row r="318" spans="2:14" s="60" customFormat="1" ht="15" customHeight="1">
      <c r="B318" s="50" t="s">
        <v>290</v>
      </c>
      <c r="C318" s="50"/>
      <c r="D318" s="50"/>
      <c r="E318" s="50"/>
      <c r="F318" s="50"/>
      <c r="G318" s="50"/>
      <c r="H318" s="50"/>
      <c r="I318" s="50"/>
      <c r="J318" s="225"/>
      <c r="K318" s="225"/>
      <c r="L318" s="225"/>
      <c r="M318" s="225"/>
      <c r="N318" s="225"/>
    </row>
    <row r="319" spans="2:14" s="60" customFormat="1" ht="15" customHeight="1">
      <c r="B319" s="50" t="s">
        <v>291</v>
      </c>
      <c r="C319" s="50"/>
      <c r="D319" s="50"/>
      <c r="E319" s="50"/>
      <c r="F319" s="50"/>
      <c r="G319" s="50"/>
      <c r="H319" s="50"/>
      <c r="I319" s="50"/>
      <c r="J319" s="225"/>
      <c r="K319" s="225"/>
      <c r="L319" s="225"/>
      <c r="M319" s="225"/>
      <c r="N319" s="225"/>
    </row>
    <row r="320" spans="2:14" s="60" customFormat="1" ht="15" customHeight="1">
      <c r="B320" s="50" t="s">
        <v>292</v>
      </c>
      <c r="C320" s="50"/>
      <c r="D320" s="50"/>
      <c r="E320" s="50"/>
      <c r="F320" s="50"/>
      <c r="G320" s="50"/>
      <c r="H320" s="50"/>
      <c r="I320" s="50"/>
      <c r="J320" s="225"/>
      <c r="K320" s="225"/>
      <c r="L320" s="225"/>
      <c r="M320" s="225"/>
      <c r="N320" s="225"/>
    </row>
    <row r="321" spans="2:14" s="60" customFormat="1" ht="15" customHeight="1">
      <c r="B321" s="191" t="s">
        <v>293</v>
      </c>
      <c r="C321" s="191"/>
      <c r="D321" s="191"/>
      <c r="E321" s="191"/>
      <c r="F321" s="191"/>
      <c r="G321" s="191"/>
      <c r="H321" s="191"/>
      <c r="I321" s="191"/>
      <c r="J321" s="225"/>
      <c r="K321" s="225"/>
      <c r="L321" s="225"/>
      <c r="M321" s="225"/>
      <c r="N321" s="225"/>
    </row>
    <row r="322" spans="2:14" s="60" customFormat="1" ht="15" customHeight="1">
      <c r="B322" s="50" t="s">
        <v>294</v>
      </c>
      <c r="C322" s="50"/>
      <c r="D322" s="50"/>
      <c r="E322" s="50"/>
      <c r="F322" s="50"/>
      <c r="G322" s="50"/>
      <c r="H322" s="50"/>
      <c r="I322" s="50"/>
      <c r="J322" s="225"/>
      <c r="K322" s="225"/>
      <c r="L322" s="225"/>
      <c r="M322" s="225"/>
      <c r="N322" s="225"/>
    </row>
    <row r="323" spans="2:14" s="60" customFormat="1" ht="15" customHeight="1">
      <c r="B323" s="50" t="s">
        <v>295</v>
      </c>
      <c r="C323" s="50"/>
      <c r="D323" s="50"/>
      <c r="E323" s="50"/>
      <c r="F323" s="50"/>
      <c r="G323" s="50"/>
      <c r="H323" s="50"/>
      <c r="I323" s="50"/>
      <c r="J323" s="225"/>
      <c r="K323" s="225"/>
      <c r="L323" s="225"/>
      <c r="M323" s="225"/>
      <c r="N323" s="225"/>
    </row>
    <row r="324" spans="2:14" s="60" customFormat="1" ht="15" customHeight="1">
      <c r="B324" s="50" t="s">
        <v>407</v>
      </c>
      <c r="C324" s="50"/>
      <c r="D324" s="50"/>
      <c r="E324" s="50"/>
      <c r="F324" s="50"/>
      <c r="G324" s="50"/>
      <c r="H324" s="50"/>
      <c r="I324" s="50"/>
      <c r="J324" s="225"/>
      <c r="K324" s="225"/>
      <c r="L324" s="225"/>
      <c r="M324" s="225"/>
      <c r="N324" s="225"/>
    </row>
    <row r="325" spans="2:14" s="60" customFormat="1" ht="15" customHeight="1">
      <c r="B325" s="50" t="s">
        <v>408</v>
      </c>
      <c r="C325" s="50"/>
      <c r="D325" s="50"/>
      <c r="E325" s="50"/>
      <c r="F325" s="50"/>
      <c r="G325" s="50"/>
      <c r="H325" s="50"/>
      <c r="I325" s="50"/>
      <c r="J325" s="225"/>
      <c r="K325" s="225"/>
      <c r="L325" s="225"/>
      <c r="M325" s="225"/>
      <c r="N325" s="225"/>
    </row>
    <row r="326" spans="2:14" s="60" customFormat="1" ht="15" customHeight="1">
      <c r="B326" s="191" t="s">
        <v>409</v>
      </c>
      <c r="C326" s="191"/>
      <c r="D326" s="191"/>
      <c r="E326" s="191"/>
      <c r="F326" s="191"/>
      <c r="G326" s="191"/>
      <c r="H326" s="191"/>
      <c r="I326" s="191"/>
      <c r="J326" s="225"/>
      <c r="K326" s="225"/>
      <c r="L326" s="225"/>
      <c r="M326" s="225"/>
      <c r="N326" s="225"/>
    </row>
    <row r="327" spans="2:14" s="60" customFormat="1" ht="15" customHeight="1">
      <c r="B327" s="50" t="s">
        <v>410</v>
      </c>
      <c r="C327" s="50"/>
      <c r="D327" s="50"/>
      <c r="E327" s="50"/>
      <c r="F327" s="50"/>
      <c r="G327" s="50"/>
      <c r="H327" s="50"/>
      <c r="I327" s="50"/>
      <c r="J327" s="225"/>
      <c r="K327" s="225"/>
      <c r="L327" s="225"/>
      <c r="M327" s="225"/>
      <c r="N327" s="225"/>
    </row>
    <row r="328" spans="2:14" s="60" customFormat="1" ht="15" customHeight="1">
      <c r="B328" s="191" t="s">
        <v>411</v>
      </c>
      <c r="C328" s="191"/>
      <c r="D328" s="191"/>
      <c r="E328" s="191"/>
      <c r="F328" s="191"/>
      <c r="G328" s="191"/>
      <c r="H328" s="191"/>
      <c r="I328" s="191"/>
      <c r="J328" s="225"/>
      <c r="K328" s="225"/>
      <c r="L328" s="225"/>
      <c r="M328" s="225"/>
      <c r="N328" s="225"/>
    </row>
    <row r="329" spans="2:14" s="60" customFormat="1" ht="15" customHeight="1">
      <c r="B329" s="191" t="s">
        <v>412</v>
      </c>
      <c r="C329" s="191"/>
      <c r="D329" s="191"/>
      <c r="E329" s="191"/>
      <c r="F329" s="191"/>
      <c r="G329" s="191"/>
      <c r="H329" s="191"/>
      <c r="I329" s="191"/>
      <c r="J329" s="225"/>
      <c r="K329" s="225"/>
      <c r="L329" s="225"/>
      <c r="M329" s="225"/>
      <c r="N329" s="225"/>
    </row>
    <row r="330" spans="2:14" s="60" customFormat="1" ht="15" customHeight="1">
      <c r="B330" s="191" t="s">
        <v>413</v>
      </c>
      <c r="C330" s="191"/>
      <c r="D330" s="191"/>
      <c r="E330" s="191"/>
      <c r="F330" s="191"/>
      <c r="G330" s="191"/>
      <c r="H330" s="191"/>
      <c r="I330" s="191"/>
      <c r="J330" s="225"/>
      <c r="K330" s="225"/>
      <c r="L330" s="225"/>
      <c r="M330" s="225"/>
      <c r="N330" s="225"/>
    </row>
    <row r="331" spans="2:14" s="60" customFormat="1" ht="15" customHeight="1">
      <c r="B331" s="191" t="s">
        <v>414</v>
      </c>
      <c r="C331" s="191"/>
      <c r="D331" s="191"/>
      <c r="E331" s="191"/>
      <c r="F331" s="191"/>
      <c r="G331" s="191"/>
      <c r="H331" s="191"/>
      <c r="I331" s="191"/>
      <c r="J331" s="225"/>
      <c r="K331" s="225"/>
      <c r="L331" s="225"/>
      <c r="M331" s="225"/>
      <c r="N331" s="225"/>
    </row>
    <row r="332" spans="2:14" s="60" customFormat="1" ht="15" customHeight="1">
      <c r="B332" s="191" t="s">
        <v>296</v>
      </c>
      <c r="C332" s="191"/>
      <c r="D332" s="191"/>
      <c r="E332" s="191"/>
      <c r="F332" s="191"/>
      <c r="G332" s="191"/>
      <c r="H332" s="191"/>
      <c r="I332" s="191"/>
      <c r="J332" s="225"/>
      <c r="K332" s="225"/>
      <c r="L332" s="225"/>
      <c r="M332" s="225"/>
      <c r="N332" s="225"/>
    </row>
    <row r="333" spans="2:14" s="60" customFormat="1" ht="15" customHeight="1">
      <c r="B333" s="50" t="s">
        <v>415</v>
      </c>
      <c r="C333" s="50"/>
      <c r="D333" s="50"/>
      <c r="E333" s="50"/>
      <c r="F333" s="50"/>
      <c r="G333" s="50"/>
      <c r="H333" s="50"/>
      <c r="I333" s="50"/>
      <c r="J333" s="225"/>
      <c r="K333" s="225"/>
      <c r="L333" s="225"/>
      <c r="M333" s="225"/>
      <c r="N333" s="225"/>
    </row>
    <row r="334" spans="2:14" s="60" customFormat="1" ht="15" customHeight="1">
      <c r="B334" s="50" t="s">
        <v>416</v>
      </c>
      <c r="C334" s="50"/>
      <c r="D334" s="50"/>
      <c r="E334" s="50"/>
      <c r="F334" s="50"/>
      <c r="G334" s="50"/>
      <c r="H334" s="50"/>
      <c r="I334" s="50"/>
      <c r="J334" s="225"/>
      <c r="K334" s="225"/>
      <c r="L334" s="225"/>
      <c r="M334" s="225"/>
      <c r="N334" s="225"/>
    </row>
    <row r="335" spans="2:14" s="60" customFormat="1" ht="15" customHeight="1">
      <c r="B335" s="50" t="s">
        <v>417</v>
      </c>
      <c r="C335" s="50"/>
      <c r="D335" s="50"/>
      <c r="E335" s="50"/>
      <c r="F335" s="50"/>
      <c r="G335" s="50"/>
      <c r="H335" s="50"/>
      <c r="I335" s="50"/>
      <c r="J335" s="225"/>
      <c r="K335" s="225"/>
      <c r="L335" s="225"/>
      <c r="M335" s="225"/>
      <c r="N335" s="225"/>
    </row>
    <row r="336" spans="2:14" s="60" customFormat="1" ht="15" customHeight="1">
      <c r="B336" s="50" t="s">
        <v>297</v>
      </c>
      <c r="C336" s="50"/>
      <c r="D336" s="50"/>
      <c r="E336" s="50"/>
      <c r="F336" s="50"/>
      <c r="G336" s="50"/>
      <c r="H336" s="50"/>
      <c r="I336" s="50"/>
      <c r="J336" s="225"/>
      <c r="K336" s="225"/>
      <c r="L336" s="225"/>
      <c r="M336" s="225"/>
      <c r="N336" s="225"/>
    </row>
    <row r="337" spans="2:14" s="60" customFormat="1" ht="15" customHeight="1">
      <c r="B337" s="50" t="s">
        <v>418</v>
      </c>
      <c r="C337" s="50"/>
      <c r="D337" s="50"/>
      <c r="E337" s="50"/>
      <c r="F337" s="50"/>
      <c r="G337" s="50"/>
      <c r="H337" s="50"/>
      <c r="I337" s="50"/>
      <c r="J337" s="225"/>
      <c r="K337" s="225"/>
      <c r="L337" s="225"/>
      <c r="M337" s="225"/>
      <c r="N337" s="225"/>
    </row>
    <row r="338" spans="2:14" s="60" customFormat="1" ht="15" customHeight="1">
      <c r="B338" s="191" t="s">
        <v>419</v>
      </c>
      <c r="C338" s="191"/>
      <c r="D338" s="191"/>
      <c r="E338" s="191"/>
      <c r="F338" s="191"/>
      <c r="G338" s="191"/>
      <c r="H338" s="191"/>
      <c r="I338" s="191"/>
      <c r="J338" s="225"/>
      <c r="K338" s="225"/>
      <c r="L338" s="225"/>
      <c r="M338" s="225"/>
      <c r="N338" s="225"/>
    </row>
    <row r="339" spans="2:14" s="60" customFormat="1" ht="15" customHeight="1">
      <c r="B339" s="191" t="s">
        <v>808</v>
      </c>
      <c r="C339" s="191"/>
      <c r="D339" s="191"/>
      <c r="E339" s="191"/>
      <c r="F339" s="191"/>
      <c r="G339" s="191"/>
      <c r="H339" s="191"/>
      <c r="I339" s="191"/>
      <c r="J339" s="225"/>
      <c r="K339" s="225"/>
      <c r="L339" s="225"/>
      <c r="M339" s="225"/>
      <c r="N339" s="225"/>
    </row>
    <row r="340" spans="2:14" s="60" customFormat="1" ht="15" customHeight="1">
      <c r="B340" s="191" t="s">
        <v>809</v>
      </c>
      <c r="C340" s="191"/>
      <c r="D340" s="191"/>
      <c r="E340" s="191"/>
      <c r="F340" s="191"/>
      <c r="G340" s="191"/>
      <c r="H340" s="191"/>
      <c r="I340" s="191"/>
      <c r="J340" s="225"/>
      <c r="K340" s="225"/>
      <c r="L340" s="225"/>
      <c r="M340" s="225"/>
      <c r="N340" s="225"/>
    </row>
    <row r="341" spans="2:14" s="60" customFormat="1" ht="15" customHeight="1">
      <c r="B341" s="191" t="s">
        <v>298</v>
      </c>
      <c r="C341" s="191"/>
      <c r="D341" s="191"/>
      <c r="E341" s="191"/>
      <c r="F341" s="191"/>
      <c r="G341" s="191"/>
      <c r="H341" s="191"/>
      <c r="I341" s="191"/>
      <c r="J341" s="225"/>
      <c r="K341" s="225"/>
      <c r="L341" s="225"/>
      <c r="M341" s="225"/>
      <c r="N341" s="225"/>
    </row>
    <row r="342" spans="2:14" s="60" customFormat="1" ht="15" customHeight="1">
      <c r="B342" s="50" t="s">
        <v>778</v>
      </c>
      <c r="C342" s="50"/>
      <c r="D342" s="50"/>
      <c r="E342" s="50"/>
      <c r="F342" s="50"/>
      <c r="G342" s="50"/>
      <c r="H342" s="50"/>
      <c r="I342" s="50"/>
      <c r="J342" s="225"/>
      <c r="K342" s="225"/>
      <c r="L342" s="225"/>
      <c r="M342" s="225"/>
      <c r="N342" s="225"/>
    </row>
    <row r="343" spans="2:14" s="60" customFormat="1" ht="15" customHeight="1">
      <c r="B343" s="50" t="s">
        <v>423</v>
      </c>
      <c r="C343" s="50"/>
      <c r="D343" s="50"/>
      <c r="E343" s="50"/>
      <c r="F343" s="50"/>
      <c r="G343" s="50"/>
      <c r="H343" s="50"/>
      <c r="I343" s="50"/>
      <c r="J343" s="225"/>
      <c r="K343" s="225"/>
      <c r="L343" s="225"/>
      <c r="M343" s="225"/>
      <c r="N343" s="225"/>
    </row>
    <row r="344" spans="2:14" s="60" customFormat="1" ht="15" customHeight="1">
      <c r="B344" s="50" t="s">
        <v>424</v>
      </c>
      <c r="C344" s="50"/>
      <c r="D344" s="50"/>
      <c r="E344" s="50"/>
      <c r="F344" s="50"/>
      <c r="G344" s="50"/>
      <c r="H344" s="50"/>
      <c r="I344" s="50"/>
      <c r="J344" s="225"/>
      <c r="K344" s="225"/>
      <c r="L344" s="225"/>
      <c r="M344" s="225"/>
      <c r="N344" s="225"/>
    </row>
    <row r="345" spans="2:14" s="60" customFormat="1" ht="15" customHeight="1">
      <c r="B345" s="50" t="s">
        <v>593</v>
      </c>
      <c r="C345" s="50"/>
      <c r="D345" s="50"/>
      <c r="E345" s="50"/>
      <c r="F345" s="50"/>
      <c r="G345" s="50"/>
      <c r="H345" s="50"/>
      <c r="I345" s="50"/>
      <c r="J345" s="225"/>
      <c r="K345" s="225"/>
      <c r="L345" s="225"/>
      <c r="M345" s="225"/>
      <c r="N345" s="225"/>
    </row>
    <row r="346" spans="2:14" s="60" customFormat="1" ht="15" customHeight="1">
      <c r="B346" s="50" t="s">
        <v>425</v>
      </c>
      <c r="C346" s="50"/>
      <c r="D346" s="50"/>
      <c r="E346" s="50"/>
      <c r="F346" s="50"/>
      <c r="G346" s="50"/>
      <c r="H346" s="50"/>
      <c r="I346" s="50"/>
      <c r="J346" s="225"/>
      <c r="K346" s="225"/>
      <c r="L346" s="225"/>
      <c r="M346" s="225"/>
      <c r="N346" s="225"/>
    </row>
    <row r="347" spans="2:14" s="60" customFormat="1" ht="15" customHeight="1">
      <c r="B347" s="50" t="s">
        <v>426</v>
      </c>
      <c r="C347" s="50"/>
      <c r="D347" s="50"/>
      <c r="E347" s="50"/>
      <c r="F347" s="50"/>
      <c r="G347" s="50"/>
      <c r="H347" s="50"/>
      <c r="I347" s="50"/>
      <c r="J347" s="225"/>
      <c r="K347" s="225"/>
      <c r="L347" s="225"/>
      <c r="M347" s="225"/>
      <c r="N347" s="225"/>
    </row>
    <row r="348" spans="2:14" s="60" customFormat="1" ht="15" customHeight="1">
      <c r="B348" s="191" t="s">
        <v>368</v>
      </c>
      <c r="C348" s="191"/>
      <c r="D348" s="191"/>
      <c r="E348" s="191"/>
      <c r="F348" s="191"/>
      <c r="G348" s="191"/>
      <c r="H348" s="191"/>
      <c r="I348" s="191"/>
      <c r="J348" s="225"/>
      <c r="K348" s="225"/>
      <c r="L348" s="225"/>
      <c r="M348" s="225"/>
      <c r="N348" s="225"/>
    </row>
    <row r="349" spans="2:14" s="60" customFormat="1" ht="15" customHeight="1">
      <c r="B349" s="50" t="s">
        <v>299</v>
      </c>
      <c r="C349" s="50"/>
      <c r="D349" s="50"/>
      <c r="E349" s="50"/>
      <c r="F349" s="50"/>
      <c r="G349" s="50"/>
      <c r="H349" s="50"/>
      <c r="I349" s="50"/>
      <c r="J349" s="225"/>
      <c r="K349" s="225"/>
      <c r="L349" s="225"/>
      <c r="M349" s="225"/>
      <c r="N349" s="225"/>
    </row>
    <row r="350" spans="2:14" s="60" customFormat="1" ht="15" customHeight="1">
      <c r="B350" s="50" t="s">
        <v>300</v>
      </c>
      <c r="C350" s="50"/>
      <c r="D350" s="50"/>
      <c r="E350" s="50"/>
      <c r="F350" s="50"/>
      <c r="G350" s="50"/>
      <c r="H350" s="50"/>
      <c r="I350" s="50"/>
      <c r="J350" s="225"/>
      <c r="K350" s="225"/>
      <c r="L350" s="225"/>
      <c r="M350" s="225"/>
      <c r="N350" s="225"/>
    </row>
    <row r="351" spans="2:14" s="60" customFormat="1" ht="15" customHeight="1">
      <c r="B351" s="50" t="s">
        <v>301</v>
      </c>
      <c r="C351" s="50"/>
      <c r="D351" s="50"/>
      <c r="E351" s="50"/>
      <c r="F351" s="50"/>
      <c r="G351" s="50"/>
      <c r="H351" s="50"/>
      <c r="I351" s="50"/>
      <c r="J351" s="225"/>
      <c r="K351" s="225"/>
      <c r="L351" s="225"/>
      <c r="M351" s="225"/>
      <c r="N351" s="225"/>
    </row>
    <row r="352" spans="2:14" s="60" customFormat="1" ht="15" customHeight="1">
      <c r="B352" s="50" t="s">
        <v>302</v>
      </c>
      <c r="C352" s="50"/>
      <c r="D352" s="50"/>
      <c r="E352" s="50"/>
      <c r="F352" s="50"/>
      <c r="G352" s="50"/>
      <c r="H352" s="50"/>
      <c r="I352" s="50"/>
      <c r="J352" s="225"/>
      <c r="K352" s="225"/>
      <c r="L352" s="225"/>
      <c r="M352" s="225"/>
      <c r="N352" s="225"/>
    </row>
    <row r="353" spans="2:14" ht="15" customHeight="1">
      <c r="B353" s="791" t="s">
        <v>427</v>
      </c>
      <c r="C353" s="791"/>
      <c r="D353" s="791"/>
      <c r="E353" s="791"/>
      <c r="F353" s="791"/>
      <c r="G353" s="791"/>
      <c r="H353" s="791"/>
      <c r="I353" s="791"/>
      <c r="J353" s="791"/>
      <c r="K353" s="791"/>
      <c r="L353" s="791"/>
      <c r="M353" s="791"/>
      <c r="N353" s="791"/>
    </row>
    <row r="354" spans="2:14" ht="15" customHeight="1">
      <c r="B354" s="779" t="s">
        <v>303</v>
      </c>
      <c r="C354" s="779"/>
      <c r="D354" s="779"/>
      <c r="E354" s="779"/>
      <c r="F354" s="779"/>
      <c r="G354" s="779"/>
      <c r="H354" s="779"/>
      <c r="I354" s="779"/>
      <c r="J354" s="779"/>
      <c r="K354" s="779"/>
      <c r="L354" s="779"/>
      <c r="M354" s="779"/>
      <c r="N354" s="779"/>
    </row>
    <row r="355" spans="2:14" s="60" customFormat="1" ht="15" customHeight="1">
      <c r="B355" s="61" t="s">
        <v>304</v>
      </c>
      <c r="C355" s="61"/>
      <c r="D355" s="61"/>
      <c r="E355" s="61"/>
      <c r="F355" s="61"/>
      <c r="G355" s="61"/>
      <c r="H355" s="61"/>
      <c r="I355" s="61"/>
      <c r="J355" s="225"/>
      <c r="K355" s="225"/>
      <c r="L355" s="225"/>
      <c r="M355" s="225"/>
      <c r="N355" s="225"/>
    </row>
    <row r="356" spans="2:14" s="60" customFormat="1" ht="15" customHeight="1">
      <c r="B356" s="50" t="s">
        <v>305</v>
      </c>
      <c r="C356" s="50"/>
      <c r="D356" s="50"/>
      <c r="E356" s="50"/>
      <c r="F356" s="50"/>
      <c r="G356" s="50"/>
      <c r="H356" s="50"/>
      <c r="I356" s="50"/>
      <c r="J356" s="225"/>
      <c r="K356" s="225"/>
      <c r="L356" s="225"/>
      <c r="M356" s="225"/>
      <c r="N356" s="225"/>
    </row>
    <row r="357" spans="2:14" s="60" customFormat="1" ht="15" customHeight="1">
      <c r="B357" s="191" t="s">
        <v>306</v>
      </c>
      <c r="C357" s="191"/>
      <c r="D357" s="191"/>
      <c r="E357" s="191"/>
      <c r="F357" s="191"/>
      <c r="G357" s="191"/>
      <c r="H357" s="191"/>
      <c r="I357" s="191"/>
      <c r="J357" s="225"/>
      <c r="K357" s="225"/>
      <c r="L357" s="225"/>
      <c r="M357" s="225"/>
      <c r="N357" s="225"/>
    </row>
    <row r="358" spans="2:14" s="60" customFormat="1" ht="4.5" customHeight="1">
      <c r="B358" s="191"/>
      <c r="C358" s="191"/>
      <c r="D358" s="191"/>
      <c r="E358" s="191"/>
      <c r="F358" s="191"/>
      <c r="G358" s="191"/>
      <c r="H358" s="191"/>
      <c r="I358" s="191"/>
      <c r="J358" s="225"/>
      <c r="K358" s="225"/>
      <c r="L358" s="225"/>
      <c r="M358" s="225"/>
      <c r="N358" s="225"/>
    </row>
    <row r="359" spans="2:14" s="60" customFormat="1" ht="15" customHeight="1">
      <c r="B359" s="61" t="s">
        <v>307</v>
      </c>
      <c r="C359" s="61"/>
      <c r="D359" s="61"/>
      <c r="E359" s="61"/>
      <c r="F359" s="61"/>
      <c r="G359" s="61"/>
      <c r="H359" s="61"/>
      <c r="I359" s="61"/>
      <c r="J359" s="225"/>
      <c r="K359" s="225"/>
      <c r="L359" s="225"/>
      <c r="M359" s="225"/>
      <c r="N359" s="225"/>
    </row>
    <row r="360" spans="2:14" s="60" customFormat="1" ht="15" customHeight="1">
      <c r="B360" s="50" t="s">
        <v>308</v>
      </c>
      <c r="C360" s="50"/>
      <c r="D360" s="50"/>
      <c r="E360" s="50"/>
      <c r="F360" s="50"/>
      <c r="G360" s="50"/>
      <c r="H360" s="50"/>
      <c r="I360" s="50"/>
      <c r="J360" s="225"/>
      <c r="K360" s="225"/>
      <c r="L360" s="225"/>
      <c r="M360" s="225"/>
      <c r="N360" s="225"/>
    </row>
    <row r="361" spans="2:14" s="60" customFormat="1" ht="15" customHeight="1">
      <c r="B361" s="50" t="s">
        <v>309</v>
      </c>
      <c r="C361" s="50"/>
      <c r="D361" s="50"/>
      <c r="E361" s="50"/>
      <c r="F361" s="50"/>
      <c r="G361" s="50"/>
      <c r="H361" s="50"/>
      <c r="I361" s="50"/>
      <c r="J361" s="225"/>
      <c r="K361" s="225"/>
      <c r="L361" s="225"/>
      <c r="M361" s="225"/>
      <c r="N361" s="225"/>
    </row>
    <row r="362" spans="2:14" s="60" customFormat="1" ht="4.5" customHeight="1">
      <c r="B362" s="50"/>
      <c r="C362" s="50"/>
      <c r="D362" s="50"/>
      <c r="E362" s="50"/>
      <c r="F362" s="50"/>
      <c r="G362" s="50"/>
      <c r="H362" s="50"/>
      <c r="I362" s="50"/>
      <c r="J362" s="225"/>
      <c r="K362" s="225"/>
      <c r="L362" s="225"/>
      <c r="M362" s="225"/>
      <c r="N362" s="225"/>
    </row>
    <row r="363" spans="2:14" s="60" customFormat="1" ht="15" customHeight="1">
      <c r="B363" s="61" t="s">
        <v>310</v>
      </c>
      <c r="C363" s="61"/>
      <c r="D363" s="61"/>
      <c r="E363" s="61"/>
      <c r="F363" s="61"/>
      <c r="G363" s="61"/>
      <c r="H363" s="61"/>
      <c r="I363" s="61"/>
      <c r="J363" s="225"/>
      <c r="K363" s="225"/>
      <c r="L363" s="225"/>
      <c r="M363" s="225"/>
      <c r="N363" s="225"/>
    </row>
    <row r="364" spans="2:14" s="60" customFormat="1" ht="15" customHeight="1">
      <c r="B364" s="50" t="s">
        <v>311</v>
      </c>
      <c r="C364" s="50"/>
      <c r="D364" s="50"/>
      <c r="E364" s="50"/>
      <c r="F364" s="50"/>
      <c r="G364" s="50"/>
      <c r="H364" s="50"/>
      <c r="I364" s="50"/>
      <c r="J364" s="225"/>
      <c r="K364" s="225"/>
      <c r="L364" s="225"/>
      <c r="M364" s="225"/>
      <c r="N364" s="225"/>
    </row>
    <row r="365" spans="2:14" s="60" customFormat="1" ht="15" customHeight="1">
      <c r="B365" s="50" t="s">
        <v>312</v>
      </c>
      <c r="C365" s="50"/>
      <c r="D365" s="50"/>
      <c r="E365" s="50"/>
      <c r="F365" s="50"/>
      <c r="G365" s="50"/>
      <c r="H365" s="50"/>
      <c r="I365" s="50"/>
      <c r="J365" s="225"/>
      <c r="K365" s="225"/>
      <c r="L365" s="225"/>
      <c r="M365" s="225"/>
      <c r="N365" s="225"/>
    </row>
    <row r="366" spans="2:14" s="60" customFormat="1" ht="15" customHeight="1">
      <c r="B366" s="50" t="s">
        <v>313</v>
      </c>
      <c r="C366" s="50"/>
      <c r="D366" s="50"/>
      <c r="E366" s="50"/>
      <c r="F366" s="50"/>
      <c r="G366" s="50"/>
      <c r="H366" s="50"/>
      <c r="I366" s="50"/>
      <c r="J366" s="225"/>
      <c r="K366" s="225"/>
      <c r="L366" s="225"/>
      <c r="M366" s="225"/>
      <c r="N366" s="225"/>
    </row>
    <row r="367" spans="2:14" s="60" customFormat="1" ht="15" customHeight="1">
      <c r="B367" s="50" t="s">
        <v>594</v>
      </c>
      <c r="C367" s="50"/>
      <c r="D367" s="50"/>
      <c r="E367" s="50"/>
      <c r="F367" s="50"/>
      <c r="G367" s="50"/>
      <c r="H367" s="50"/>
      <c r="I367" s="50"/>
      <c r="J367" s="225"/>
      <c r="K367" s="225"/>
      <c r="L367" s="225"/>
      <c r="M367" s="225"/>
      <c r="N367" s="225"/>
    </row>
    <row r="368" spans="2:14" s="60" customFormat="1" ht="15" customHeight="1">
      <c r="B368" s="50" t="s">
        <v>595</v>
      </c>
      <c r="C368" s="50"/>
      <c r="D368" s="50"/>
      <c r="E368" s="50"/>
      <c r="F368" s="50"/>
      <c r="G368" s="50"/>
      <c r="H368" s="50"/>
      <c r="I368" s="50"/>
      <c r="J368" s="225"/>
      <c r="K368" s="225"/>
      <c r="L368" s="225"/>
      <c r="M368" s="225"/>
      <c r="N368" s="225"/>
    </row>
    <row r="369" spans="2:14" s="60" customFormat="1" ht="4.5" customHeight="1">
      <c r="B369" s="50"/>
      <c r="C369" s="50"/>
      <c r="D369" s="50"/>
      <c r="E369" s="50"/>
      <c r="F369" s="50"/>
      <c r="G369" s="50"/>
      <c r="H369" s="50"/>
      <c r="I369" s="50"/>
      <c r="J369" s="225"/>
      <c r="K369" s="225"/>
      <c r="L369" s="225"/>
      <c r="M369" s="225"/>
      <c r="N369" s="225"/>
    </row>
    <row r="370" spans="2:14" s="60" customFormat="1" ht="15" customHeight="1">
      <c r="B370" s="61" t="s">
        <v>314</v>
      </c>
      <c r="C370" s="61"/>
      <c r="D370" s="61"/>
      <c r="E370" s="61"/>
      <c r="F370" s="61"/>
      <c r="G370" s="61"/>
      <c r="H370" s="61"/>
      <c r="I370" s="61"/>
      <c r="J370" s="225"/>
      <c r="K370" s="225"/>
      <c r="L370" s="225"/>
      <c r="M370" s="225"/>
      <c r="N370" s="225"/>
    </row>
    <row r="371" spans="2:14" s="60" customFormat="1" ht="15" customHeight="1">
      <c r="B371" s="50" t="s">
        <v>596</v>
      </c>
      <c r="C371" s="50"/>
      <c r="D371" s="50"/>
      <c r="E371" s="50"/>
      <c r="F371" s="50"/>
      <c r="G371" s="50"/>
      <c r="H371" s="50"/>
      <c r="I371" s="50"/>
      <c r="J371" s="225"/>
      <c r="K371" s="225"/>
      <c r="L371" s="225"/>
      <c r="M371" s="225"/>
      <c r="N371" s="225"/>
    </row>
    <row r="372" spans="2:14" s="60" customFormat="1" ht="15" customHeight="1">
      <c r="B372" s="50" t="s">
        <v>315</v>
      </c>
      <c r="C372" s="50"/>
      <c r="D372" s="50"/>
      <c r="E372" s="50"/>
      <c r="F372" s="50"/>
      <c r="G372" s="50"/>
      <c r="H372" s="50"/>
      <c r="I372" s="50"/>
      <c r="J372" s="225"/>
      <c r="K372" s="225"/>
      <c r="L372" s="225"/>
      <c r="M372" s="225"/>
      <c r="N372" s="225"/>
    </row>
    <row r="373" spans="2:14" s="60" customFormat="1" ht="4.5" customHeight="1">
      <c r="B373" s="50"/>
      <c r="C373" s="50"/>
      <c r="D373" s="50"/>
      <c r="E373" s="50"/>
      <c r="F373" s="50"/>
      <c r="G373" s="50"/>
      <c r="H373" s="50"/>
      <c r="I373" s="50"/>
      <c r="J373" s="225"/>
      <c r="K373" s="225"/>
      <c r="L373" s="225"/>
      <c r="M373" s="225"/>
      <c r="N373" s="225"/>
    </row>
    <row r="374" spans="2:14" s="60" customFormat="1" ht="15" customHeight="1">
      <c r="B374" s="61" t="s">
        <v>316</v>
      </c>
      <c r="C374" s="61"/>
      <c r="D374" s="61"/>
      <c r="E374" s="61"/>
      <c r="F374" s="61"/>
      <c r="G374" s="61"/>
      <c r="H374" s="61"/>
      <c r="I374" s="61"/>
      <c r="J374" s="225"/>
      <c r="K374" s="225"/>
      <c r="L374" s="225"/>
      <c r="M374" s="225"/>
      <c r="N374" s="225"/>
    </row>
    <row r="375" spans="2:14" s="60" customFormat="1" ht="15" customHeight="1">
      <c r="B375" s="50" t="s">
        <v>317</v>
      </c>
      <c r="C375" s="50"/>
      <c r="D375" s="50"/>
      <c r="E375" s="50"/>
      <c r="F375" s="50"/>
      <c r="G375" s="50"/>
      <c r="H375" s="50"/>
      <c r="I375" s="50"/>
      <c r="J375" s="225"/>
      <c r="K375" s="225"/>
      <c r="L375" s="225"/>
      <c r="M375" s="225"/>
      <c r="N375" s="225"/>
    </row>
    <row r="376" spans="2:14" s="60" customFormat="1" ht="15" customHeight="1">
      <c r="B376" s="50" t="s">
        <v>318</v>
      </c>
      <c r="C376" s="50"/>
      <c r="D376" s="50"/>
      <c r="E376" s="50"/>
      <c r="F376" s="50"/>
      <c r="G376" s="50"/>
      <c r="H376" s="50"/>
      <c r="I376" s="50"/>
      <c r="J376" s="225"/>
      <c r="K376" s="225"/>
      <c r="L376" s="225"/>
      <c r="M376" s="225"/>
      <c r="N376" s="225"/>
    </row>
    <row r="377" spans="2:14" s="60" customFormat="1" ht="15" customHeight="1">
      <c r="B377" s="191" t="s">
        <v>822</v>
      </c>
      <c r="C377" s="191"/>
      <c r="D377" s="191"/>
      <c r="E377" s="191"/>
      <c r="F377" s="191"/>
      <c r="G377" s="191"/>
      <c r="H377" s="191"/>
      <c r="I377" s="191"/>
      <c r="J377" s="225"/>
      <c r="K377" s="225"/>
      <c r="L377" s="225"/>
      <c r="M377" s="225"/>
      <c r="N377" s="225"/>
    </row>
    <row r="378" spans="2:14" s="60" customFormat="1" ht="15" customHeight="1">
      <c r="B378" s="191" t="s">
        <v>320</v>
      </c>
      <c r="C378" s="191"/>
      <c r="D378" s="191"/>
      <c r="E378" s="191"/>
      <c r="F378" s="191"/>
      <c r="G378" s="191"/>
      <c r="H378" s="191"/>
      <c r="I378" s="191"/>
      <c r="J378" s="225"/>
      <c r="K378" s="225"/>
      <c r="L378" s="225"/>
      <c r="M378" s="225"/>
      <c r="N378" s="225"/>
    </row>
    <row r="379" spans="2:14" s="60" customFormat="1" ht="4.5" customHeight="1">
      <c r="B379" s="191"/>
      <c r="C379" s="191"/>
      <c r="D379" s="191"/>
      <c r="E379" s="191"/>
      <c r="F379" s="191"/>
      <c r="G379" s="191"/>
      <c r="H379" s="191"/>
      <c r="I379" s="191"/>
      <c r="J379" s="225"/>
      <c r="K379" s="225"/>
      <c r="L379" s="225"/>
      <c r="M379" s="225"/>
      <c r="N379" s="225"/>
    </row>
    <row r="380" spans="2:14" s="60" customFormat="1" ht="15" customHeight="1">
      <c r="B380" s="61" t="s">
        <v>321</v>
      </c>
      <c r="C380" s="61"/>
      <c r="D380" s="61"/>
      <c r="E380" s="61"/>
      <c r="F380" s="61"/>
      <c r="G380" s="61"/>
      <c r="H380" s="61"/>
      <c r="I380" s="61"/>
      <c r="J380" s="225"/>
      <c r="K380" s="225"/>
      <c r="L380" s="225"/>
      <c r="M380" s="225"/>
      <c r="N380" s="225"/>
    </row>
    <row r="381" spans="2:14" s="60" customFormat="1" ht="15" customHeight="1">
      <c r="B381" s="211" t="s">
        <v>589</v>
      </c>
      <c r="C381" s="50"/>
      <c r="D381" s="50"/>
      <c r="E381" s="50"/>
      <c r="F381" s="918" t="e">
        <f>DATOS!#REF!</f>
        <v>#REF!</v>
      </c>
      <c r="G381" s="918"/>
      <c r="H381" s="918"/>
      <c r="I381" s="918"/>
      <c r="J381" s="919" t="s">
        <v>492</v>
      </c>
      <c r="K381" s="919"/>
      <c r="L381" s="917" t="str">
        <f>DATOS!D7</f>
        <v>-</v>
      </c>
      <c r="M381" s="917"/>
      <c r="N381" s="917"/>
    </row>
    <row r="382" spans="2:14" s="60" customFormat="1" ht="15" customHeight="1">
      <c r="B382" s="211" t="s">
        <v>590</v>
      </c>
      <c r="C382" s="50"/>
      <c r="D382" s="50"/>
      <c r="E382" s="50"/>
      <c r="F382" s="50"/>
      <c r="G382" s="50"/>
      <c r="H382" s="50"/>
      <c r="I382" s="50"/>
      <c r="J382" s="225"/>
      <c r="K382" s="225"/>
    </row>
    <row r="383" spans="2:14" ht="4.5" customHeight="1">
      <c r="B383" s="185"/>
      <c r="C383" s="185"/>
      <c r="D383" s="185"/>
      <c r="E383" s="185"/>
      <c r="F383" s="185"/>
      <c r="G383" s="185"/>
      <c r="H383" s="185"/>
      <c r="I383" s="185"/>
      <c r="J383" s="154"/>
      <c r="K383" s="154"/>
      <c r="L383" s="154"/>
      <c r="M383" s="154"/>
      <c r="N383" s="154"/>
    </row>
    <row r="384" spans="2:14" ht="15" customHeight="1">
      <c r="B384" s="905" t="s">
        <v>811</v>
      </c>
      <c r="C384" s="905"/>
      <c r="D384" s="905"/>
      <c r="E384" s="905"/>
      <c r="F384" s="905"/>
      <c r="G384" s="905"/>
      <c r="H384" s="905"/>
      <c r="I384" s="905"/>
      <c r="J384" s="905"/>
      <c r="K384" s="905"/>
      <c r="L384" s="905"/>
      <c r="M384" s="905"/>
      <c r="N384" s="905"/>
    </row>
    <row r="385" spans="1:14" ht="15" customHeight="1">
      <c r="B385" s="894" t="s">
        <v>810</v>
      </c>
      <c r="C385" s="894"/>
      <c r="D385" s="894"/>
      <c r="E385" s="894"/>
      <c r="F385" s="894"/>
      <c r="G385" s="894"/>
      <c r="H385" s="894"/>
      <c r="I385" s="894"/>
      <c r="J385" s="894"/>
      <c r="K385" s="894"/>
      <c r="L385" s="894"/>
      <c r="M385" s="894"/>
      <c r="N385" s="894"/>
    </row>
    <row r="386" spans="1:14" s="59" customFormat="1" ht="3.75" customHeight="1">
      <c r="C386" s="136"/>
      <c r="D386" s="136"/>
      <c r="E386" s="136"/>
      <c r="F386" s="136"/>
      <c r="G386" s="136"/>
      <c r="H386" s="136"/>
      <c r="I386" s="136"/>
      <c r="J386" s="136"/>
      <c r="K386" s="136"/>
      <c r="L386" s="136"/>
      <c r="M386" s="136"/>
      <c r="N386" s="136"/>
    </row>
    <row r="387" spans="1:14" s="59" customFormat="1" ht="16.5" customHeight="1">
      <c r="B387" s="849" t="s">
        <v>814</v>
      </c>
      <c r="C387" s="849"/>
      <c r="D387" s="849"/>
      <c r="E387" s="849"/>
      <c r="F387" s="140"/>
      <c r="G387" s="140"/>
      <c r="H387" s="51"/>
      <c r="I387" s="51"/>
      <c r="J387" s="51"/>
      <c r="K387" s="51"/>
      <c r="L387" s="51"/>
      <c r="M387" s="71"/>
      <c r="N387" s="71"/>
    </row>
    <row r="388" spans="1:14" s="59" customFormat="1" ht="16.5" customHeight="1">
      <c r="A388" s="70"/>
      <c r="B388" s="848" t="s">
        <v>759</v>
      </c>
      <c r="C388" s="848"/>
      <c r="D388" s="848"/>
      <c r="E388" s="841" t="s">
        <v>666</v>
      </c>
      <c r="F388" s="841"/>
      <c r="G388" s="51"/>
      <c r="H388" s="51"/>
      <c r="I388" s="51"/>
      <c r="J388" s="51"/>
      <c r="K388" s="51"/>
      <c r="L388" s="51"/>
      <c r="N388" s="71"/>
    </row>
    <row r="389" spans="1:14" s="59" customFormat="1" ht="16.5" customHeight="1">
      <c r="B389" s="850" t="s">
        <v>773</v>
      </c>
      <c r="C389" s="850"/>
      <c r="D389" s="850"/>
      <c r="E389" s="851">
        <v>247.095</v>
      </c>
      <c r="F389" s="851"/>
      <c r="G389" s="235"/>
      <c r="H389" s="51"/>
      <c r="I389" s="51"/>
      <c r="J389" s="51"/>
      <c r="K389" s="51"/>
      <c r="L389" s="51"/>
    </row>
    <row r="390" spans="1:14" s="59" customFormat="1" ht="16.5" customHeight="1">
      <c r="B390" s="850" t="s">
        <v>761</v>
      </c>
      <c r="C390" s="850"/>
      <c r="D390" s="850"/>
      <c r="E390" s="51"/>
      <c r="F390" s="51"/>
      <c r="G390" s="51"/>
      <c r="H390" s="51"/>
      <c r="I390" s="51"/>
      <c r="J390" s="51"/>
      <c r="K390" s="51"/>
      <c r="L390" s="51"/>
      <c r="M390" s="71"/>
      <c r="N390" s="71"/>
    </row>
    <row r="391" spans="1:14" s="59" customFormat="1" ht="16.5" customHeight="1">
      <c r="C391" s="902" t="s">
        <v>762</v>
      </c>
      <c r="D391" s="902"/>
      <c r="E391" s="216" t="s">
        <v>763</v>
      </c>
      <c r="F391" s="782" t="s">
        <v>654</v>
      </c>
      <c r="G391" s="782"/>
      <c r="H391" s="782"/>
      <c r="I391" s="782"/>
      <c r="M391" s="71"/>
      <c r="N391" s="71"/>
    </row>
    <row r="392" spans="1:14" s="59" customFormat="1" ht="16.5" customHeight="1">
      <c r="C392" s="903" t="s">
        <v>764</v>
      </c>
      <c r="D392" s="903"/>
      <c r="E392" s="217">
        <v>1</v>
      </c>
      <c r="F392" s="59" t="s">
        <v>765</v>
      </c>
      <c r="G392" s="59" t="s">
        <v>766</v>
      </c>
      <c r="H392" s="222">
        <v>8.4</v>
      </c>
      <c r="I392" s="218" t="s">
        <v>760</v>
      </c>
      <c r="J392" s="218"/>
      <c r="K392" s="218"/>
      <c r="L392" s="218"/>
      <c r="M392" s="71"/>
      <c r="N392" s="71"/>
    </row>
    <row r="393" spans="1:14" s="59" customFormat="1" ht="16.5" customHeight="1">
      <c r="C393" s="902" t="s">
        <v>92</v>
      </c>
      <c r="D393" s="902"/>
      <c r="E393" s="216" t="s">
        <v>763</v>
      </c>
      <c r="F393" s="782" t="s">
        <v>718</v>
      </c>
      <c r="G393" s="782"/>
      <c r="H393" s="782"/>
      <c r="I393" s="782"/>
      <c r="M393" s="71"/>
      <c r="N393" s="71"/>
    </row>
    <row r="394" spans="1:14" s="59" customFormat="1" ht="16.5" customHeight="1">
      <c r="C394" s="903" t="s">
        <v>764</v>
      </c>
      <c r="D394" s="903"/>
      <c r="E394" s="219">
        <v>5</v>
      </c>
      <c r="F394" s="59" t="s">
        <v>765</v>
      </c>
      <c r="G394" s="59" t="s">
        <v>766</v>
      </c>
      <c r="H394" s="224" t="s">
        <v>770</v>
      </c>
      <c r="I394" s="223"/>
      <c r="J394" s="223"/>
      <c r="K394" s="220"/>
      <c r="L394" s="220"/>
      <c r="M394" s="71"/>
      <c r="N394" s="71"/>
    </row>
    <row r="395" spans="1:14" s="59" customFormat="1" ht="16.5" customHeight="1">
      <c r="C395" s="902" t="s">
        <v>767</v>
      </c>
      <c r="D395" s="902"/>
      <c r="E395" s="216" t="s">
        <v>763</v>
      </c>
      <c r="F395" s="782" t="s">
        <v>719</v>
      </c>
      <c r="G395" s="782"/>
      <c r="H395" s="782"/>
      <c r="I395" s="782"/>
      <c r="M395" s="71"/>
      <c r="N395" s="71"/>
    </row>
    <row r="396" spans="1:14" s="59" customFormat="1" ht="16.5" customHeight="1">
      <c r="C396" s="903" t="s">
        <v>764</v>
      </c>
      <c r="D396" s="903"/>
      <c r="E396" s="219">
        <v>1</v>
      </c>
      <c r="F396" s="59" t="s">
        <v>765</v>
      </c>
      <c r="G396" s="216" t="s">
        <v>766</v>
      </c>
      <c r="H396" s="222">
        <v>24.84</v>
      </c>
      <c r="I396" s="220" t="s">
        <v>760</v>
      </c>
      <c r="J396" s="218"/>
      <c r="K396" s="221"/>
      <c r="L396" s="218"/>
      <c r="M396" s="71"/>
      <c r="N396" s="71"/>
    </row>
    <row r="397" spans="1:14" s="59" customFormat="1" ht="16.5" customHeight="1">
      <c r="C397" s="902" t="s">
        <v>31</v>
      </c>
      <c r="D397" s="902"/>
      <c r="E397" s="216" t="s">
        <v>763</v>
      </c>
      <c r="F397" s="782" t="s">
        <v>720</v>
      </c>
      <c r="G397" s="782"/>
      <c r="H397" s="782"/>
      <c r="I397" s="782"/>
      <c r="M397" s="71"/>
      <c r="N397" s="71"/>
    </row>
    <row r="398" spans="1:14" s="59" customFormat="1" ht="16.5" customHeight="1">
      <c r="C398" s="903" t="s">
        <v>764</v>
      </c>
      <c r="D398" s="903"/>
      <c r="E398" s="219">
        <v>1</v>
      </c>
      <c r="F398" s="59" t="s">
        <v>765</v>
      </c>
      <c r="G398" s="216" t="s">
        <v>766</v>
      </c>
      <c r="H398" s="222">
        <v>12.16</v>
      </c>
      <c r="I398" s="218" t="s">
        <v>760</v>
      </c>
      <c r="J398" s="218"/>
      <c r="K398" s="218"/>
      <c r="L398" s="218"/>
      <c r="M398" s="71"/>
      <c r="N398" s="71"/>
    </row>
    <row r="399" spans="1:14" s="59" customFormat="1" ht="15" customHeight="1">
      <c r="E399" s="862" t="s">
        <v>768</v>
      </c>
      <c r="F399" s="862"/>
      <c r="G399" s="907" t="s">
        <v>646</v>
      </c>
      <c r="H399" s="907"/>
      <c r="K399" s="71"/>
      <c r="L399" s="71"/>
      <c r="M399" s="71"/>
      <c r="N399" s="71"/>
    </row>
    <row r="400" spans="1:14" s="59" customFormat="1" ht="15" customHeight="1">
      <c r="B400" s="849" t="s">
        <v>806</v>
      </c>
      <c r="C400" s="849"/>
      <c r="D400" s="849"/>
      <c r="E400" s="849"/>
      <c r="F400" s="849"/>
      <c r="G400" s="849"/>
      <c r="H400" s="51"/>
      <c r="I400" s="51"/>
      <c r="J400" s="51"/>
      <c r="K400" s="51"/>
      <c r="L400" s="51"/>
      <c r="M400" s="71"/>
      <c r="N400" s="71"/>
    </row>
    <row r="401" spans="1:14" s="59" customFormat="1" ht="15" customHeight="1">
      <c r="A401" s="70"/>
      <c r="B401" s="848" t="s">
        <v>759</v>
      </c>
      <c r="C401" s="848"/>
      <c r="D401" s="848"/>
      <c r="E401" s="841" t="s">
        <v>805</v>
      </c>
      <c r="F401" s="841"/>
      <c r="G401" s="51"/>
      <c r="H401" s="51"/>
      <c r="I401" s="51"/>
      <c r="J401" s="51"/>
      <c r="K401" s="51"/>
      <c r="L401" s="51"/>
      <c r="N401" s="71"/>
    </row>
    <row r="402" spans="1:14" s="59" customFormat="1" ht="15" customHeight="1">
      <c r="B402" s="850" t="s">
        <v>773</v>
      </c>
      <c r="C402" s="850"/>
      <c r="D402" s="850"/>
      <c r="E402" s="904">
        <v>12.96</v>
      </c>
      <c r="F402" s="904"/>
      <c r="G402" s="236"/>
      <c r="H402" s="51"/>
      <c r="I402" s="51"/>
      <c r="J402" s="51"/>
      <c r="K402" s="51"/>
      <c r="L402" s="51"/>
    </row>
    <row r="403" spans="1:14" s="59" customFormat="1" ht="15" customHeight="1">
      <c r="B403" s="850" t="s">
        <v>761</v>
      </c>
      <c r="C403" s="850"/>
      <c r="D403" s="850"/>
      <c r="E403" s="51"/>
      <c r="F403" s="51"/>
      <c r="G403" s="51"/>
      <c r="H403" s="51"/>
      <c r="I403" s="51"/>
      <c r="J403" s="51"/>
      <c r="K403" s="51"/>
      <c r="L403" s="51"/>
      <c r="M403" s="71"/>
      <c r="N403" s="71"/>
    </row>
    <row r="404" spans="1:14" s="59" customFormat="1" ht="15" customHeight="1">
      <c r="C404" s="902" t="s">
        <v>762</v>
      </c>
      <c r="D404" s="902"/>
      <c r="E404" s="216" t="s">
        <v>763</v>
      </c>
      <c r="F404" s="782" t="s">
        <v>466</v>
      </c>
      <c r="G404" s="782"/>
      <c r="H404" s="782"/>
      <c r="I404" s="782"/>
      <c r="M404" s="71"/>
      <c r="N404" s="71"/>
    </row>
    <row r="405" spans="1:14" s="59" customFormat="1" ht="15" customHeight="1">
      <c r="C405" s="903" t="s">
        <v>764</v>
      </c>
      <c r="D405" s="903"/>
      <c r="E405" s="217">
        <v>1</v>
      </c>
      <c r="F405" s="59" t="s">
        <v>765</v>
      </c>
      <c r="G405" s="59" t="s">
        <v>766</v>
      </c>
      <c r="H405" s="222">
        <v>2.85</v>
      </c>
      <c r="I405" s="218" t="s">
        <v>760</v>
      </c>
      <c r="J405" s="218"/>
      <c r="K405" s="218"/>
      <c r="L405" s="218"/>
      <c r="M405" s="71"/>
      <c r="N405" s="71"/>
    </row>
    <row r="406" spans="1:14" s="59" customFormat="1" ht="15" customHeight="1">
      <c r="C406" s="902" t="s">
        <v>92</v>
      </c>
      <c r="D406" s="902"/>
      <c r="E406" s="216" t="s">
        <v>763</v>
      </c>
      <c r="F406" s="782" t="s">
        <v>721</v>
      </c>
      <c r="G406" s="782"/>
      <c r="H406" s="782"/>
      <c r="I406" s="782"/>
      <c r="M406" s="71"/>
      <c r="N406" s="71"/>
    </row>
    <row r="407" spans="1:14" s="59" customFormat="1" ht="15" customHeight="1">
      <c r="C407" s="903" t="s">
        <v>764</v>
      </c>
      <c r="D407" s="903"/>
      <c r="E407" s="219">
        <v>1</v>
      </c>
      <c r="F407" s="59" t="s">
        <v>765</v>
      </c>
      <c r="G407" s="59" t="s">
        <v>766</v>
      </c>
      <c r="H407" s="222">
        <v>4.2</v>
      </c>
      <c r="I407" s="223" t="s">
        <v>760</v>
      </c>
      <c r="J407" s="223"/>
      <c r="K407" s="220"/>
      <c r="L407" s="220"/>
      <c r="M407" s="71"/>
      <c r="N407" s="71"/>
    </row>
    <row r="408" spans="1:14" s="59" customFormat="1" ht="15" customHeight="1">
      <c r="C408" s="902" t="s">
        <v>767</v>
      </c>
      <c r="D408" s="902"/>
      <c r="E408" s="216" t="s">
        <v>763</v>
      </c>
      <c r="F408" s="782" t="s">
        <v>655</v>
      </c>
      <c r="G408" s="782"/>
      <c r="H408" s="782"/>
      <c r="I408" s="782"/>
      <c r="M408" s="71"/>
      <c r="N408" s="71"/>
    </row>
    <row r="409" spans="1:14" s="59" customFormat="1" ht="15" customHeight="1">
      <c r="C409" s="903" t="s">
        <v>764</v>
      </c>
      <c r="D409" s="903"/>
      <c r="E409" s="219">
        <v>1</v>
      </c>
      <c r="F409" s="59" t="s">
        <v>765</v>
      </c>
      <c r="G409" s="216" t="s">
        <v>766</v>
      </c>
      <c r="H409" s="222">
        <v>4.7</v>
      </c>
      <c r="I409" s="220" t="s">
        <v>760</v>
      </c>
      <c r="J409" s="218"/>
      <c r="K409" s="221"/>
      <c r="L409" s="218"/>
      <c r="M409" s="71"/>
      <c r="N409" s="71"/>
    </row>
    <row r="410" spans="1:14" s="59" customFormat="1" ht="15" customHeight="1">
      <c r="C410" s="902" t="s">
        <v>31</v>
      </c>
      <c r="D410" s="902"/>
      <c r="E410" s="216" t="s">
        <v>763</v>
      </c>
      <c r="F410" s="782" t="s">
        <v>655</v>
      </c>
      <c r="G410" s="782"/>
      <c r="H410" s="782"/>
      <c r="I410" s="782"/>
      <c r="M410" s="71"/>
      <c r="N410" s="71"/>
    </row>
    <row r="411" spans="1:14" s="59" customFormat="1" ht="15" customHeight="1">
      <c r="C411" s="903" t="s">
        <v>764</v>
      </c>
      <c r="D411" s="903"/>
      <c r="E411" s="219">
        <v>3</v>
      </c>
      <c r="F411" s="59" t="s">
        <v>765</v>
      </c>
      <c r="G411" s="216" t="s">
        <v>766</v>
      </c>
      <c r="H411" s="224" t="s">
        <v>769</v>
      </c>
      <c r="I411" s="223"/>
      <c r="J411" s="223"/>
      <c r="K411" s="218"/>
      <c r="L411" s="218"/>
      <c r="M411" s="71"/>
      <c r="N411" s="71"/>
    </row>
    <row r="412" spans="1:14" s="59" customFormat="1" ht="15" customHeight="1">
      <c r="E412" s="862" t="s">
        <v>768</v>
      </c>
      <c r="F412" s="862"/>
      <c r="G412" s="907" t="s">
        <v>805</v>
      </c>
      <c r="H412" s="907"/>
      <c r="I412" s="218"/>
      <c r="K412" s="71"/>
      <c r="L412" s="71"/>
      <c r="M412" s="71"/>
      <c r="N412" s="71"/>
    </row>
    <row r="413" spans="1:14" s="59" customFormat="1" ht="4.5" customHeight="1">
      <c r="C413" s="136"/>
      <c r="D413" s="136"/>
      <c r="E413" s="136"/>
      <c r="F413" s="136"/>
      <c r="G413" s="136"/>
      <c r="H413" s="136"/>
      <c r="I413" s="136"/>
      <c r="J413" s="136"/>
      <c r="K413" s="136"/>
      <c r="L413" s="136"/>
      <c r="M413" s="136"/>
      <c r="N413" s="136"/>
    </row>
    <row r="414" spans="1:14" s="59" customFormat="1" ht="15" customHeight="1">
      <c r="B414" s="849" t="s">
        <v>807</v>
      </c>
      <c r="C414" s="849"/>
      <c r="D414" s="849"/>
      <c r="E414" s="849"/>
      <c r="F414" s="849"/>
      <c r="G414" s="849"/>
      <c r="H414" s="51"/>
      <c r="I414" s="51"/>
      <c r="J414" s="51"/>
      <c r="K414" s="51"/>
      <c r="L414" s="51"/>
      <c r="M414" s="71"/>
      <c r="N414" s="71"/>
    </row>
    <row r="415" spans="1:14" s="59" customFormat="1" ht="15" customHeight="1">
      <c r="A415" s="70"/>
      <c r="B415" s="848" t="s">
        <v>759</v>
      </c>
      <c r="C415" s="848"/>
      <c r="D415" s="848"/>
      <c r="E415" s="841" t="s">
        <v>466</v>
      </c>
      <c r="F415" s="841"/>
      <c r="G415" s="51"/>
      <c r="H415" s="51"/>
      <c r="I415" s="51"/>
      <c r="J415" s="51"/>
      <c r="K415" s="51"/>
      <c r="L415" s="51"/>
      <c r="N415" s="71"/>
    </row>
    <row r="416" spans="1:14" s="59" customFormat="1" ht="15" customHeight="1">
      <c r="B416" s="850" t="s">
        <v>773</v>
      </c>
      <c r="C416" s="850"/>
      <c r="D416" s="850"/>
      <c r="E416" s="904">
        <v>17.239999999999998</v>
      </c>
      <c r="F416" s="904"/>
      <c r="G416" s="236"/>
      <c r="H416" s="51"/>
      <c r="I416" s="51"/>
      <c r="J416" s="51"/>
      <c r="K416" s="51"/>
      <c r="L416" s="51"/>
    </row>
    <row r="417" spans="2:14" s="59" customFormat="1" ht="15" customHeight="1">
      <c r="B417" s="850" t="s">
        <v>761</v>
      </c>
      <c r="C417" s="850"/>
      <c r="D417" s="850"/>
      <c r="E417" s="51"/>
      <c r="F417" s="51"/>
      <c r="G417" s="51"/>
      <c r="H417" s="51"/>
      <c r="I417" s="51"/>
      <c r="J417" s="51"/>
      <c r="K417" s="51"/>
      <c r="L417" s="51"/>
      <c r="M417" s="71"/>
      <c r="N417" s="71"/>
    </row>
    <row r="418" spans="2:14" s="59" customFormat="1" ht="15" customHeight="1">
      <c r="C418" s="902" t="s">
        <v>762</v>
      </c>
      <c r="D418" s="902"/>
      <c r="E418" s="216" t="s">
        <v>763</v>
      </c>
      <c r="F418" s="782" t="s">
        <v>654</v>
      </c>
      <c r="G418" s="782"/>
      <c r="H418" s="782"/>
      <c r="I418" s="782"/>
      <c r="M418" s="71"/>
      <c r="N418" s="71"/>
    </row>
    <row r="419" spans="2:14" s="59" customFormat="1" ht="15" customHeight="1">
      <c r="C419" s="903" t="s">
        <v>764</v>
      </c>
      <c r="D419" s="903"/>
      <c r="E419" s="217">
        <v>1</v>
      </c>
      <c r="F419" s="59" t="s">
        <v>765</v>
      </c>
      <c r="G419" s="59" t="s">
        <v>766</v>
      </c>
      <c r="H419" s="222">
        <v>2.85</v>
      </c>
      <c r="I419" s="223" t="s">
        <v>760</v>
      </c>
      <c r="J419" s="223"/>
      <c r="K419" s="223"/>
      <c r="L419" s="223"/>
      <c r="M419" s="71"/>
      <c r="N419" s="71"/>
    </row>
    <row r="420" spans="2:14" s="59" customFormat="1" ht="15" customHeight="1">
      <c r="C420" s="902" t="s">
        <v>92</v>
      </c>
      <c r="D420" s="902"/>
      <c r="E420" s="216" t="s">
        <v>763</v>
      </c>
      <c r="F420" s="782" t="s">
        <v>721</v>
      </c>
      <c r="G420" s="782"/>
      <c r="H420" s="782"/>
      <c r="I420" s="782"/>
      <c r="M420" s="71"/>
      <c r="N420" s="71"/>
    </row>
    <row r="421" spans="2:14" s="59" customFormat="1" ht="15" customHeight="1">
      <c r="C421" s="903" t="s">
        <v>764</v>
      </c>
      <c r="D421" s="903"/>
      <c r="E421" s="219">
        <v>1</v>
      </c>
      <c r="F421" s="59" t="s">
        <v>765</v>
      </c>
      <c r="G421" s="59" t="s">
        <v>766</v>
      </c>
      <c r="H421" s="222">
        <v>6.05</v>
      </c>
      <c r="I421" s="223" t="s">
        <v>760</v>
      </c>
      <c r="J421" s="223"/>
      <c r="K421" s="220"/>
      <c r="L421" s="220"/>
      <c r="M421" s="71"/>
      <c r="N421" s="71"/>
    </row>
    <row r="422" spans="2:14" s="59" customFormat="1" ht="15" customHeight="1">
      <c r="C422" s="902" t="s">
        <v>767</v>
      </c>
      <c r="D422" s="902"/>
      <c r="E422" s="216" t="s">
        <v>763</v>
      </c>
      <c r="F422" s="782" t="s">
        <v>655</v>
      </c>
      <c r="G422" s="782"/>
      <c r="H422" s="782"/>
      <c r="I422" s="782"/>
      <c r="M422" s="71"/>
      <c r="N422" s="71"/>
    </row>
    <row r="423" spans="2:14" s="59" customFormat="1" ht="15" customHeight="1">
      <c r="C423" s="903" t="s">
        <v>764</v>
      </c>
      <c r="D423" s="903"/>
      <c r="E423" s="219">
        <v>1</v>
      </c>
      <c r="F423" s="59" t="s">
        <v>765</v>
      </c>
      <c r="G423" s="216" t="s">
        <v>766</v>
      </c>
      <c r="H423" s="222">
        <v>6.05</v>
      </c>
      <c r="I423" s="223" t="s">
        <v>760</v>
      </c>
      <c r="J423" s="223"/>
      <c r="K423" s="223"/>
      <c r="L423" s="223"/>
      <c r="M423" s="71"/>
      <c r="N423" s="71"/>
    </row>
    <row r="424" spans="2:14" s="59" customFormat="1" ht="15" customHeight="1">
      <c r="C424" s="902" t="s">
        <v>31</v>
      </c>
      <c r="D424" s="902"/>
      <c r="E424" s="216" t="s">
        <v>763</v>
      </c>
      <c r="F424" s="782" t="s">
        <v>805</v>
      </c>
      <c r="G424" s="782"/>
      <c r="H424" s="782"/>
      <c r="I424" s="782"/>
      <c r="M424" s="71"/>
      <c r="N424" s="71"/>
    </row>
    <row r="425" spans="2:14" s="59" customFormat="1" ht="15" customHeight="1">
      <c r="C425" s="903" t="s">
        <v>764</v>
      </c>
      <c r="D425" s="903"/>
      <c r="E425" s="219">
        <v>1</v>
      </c>
      <c r="F425" s="59" t="s">
        <v>765</v>
      </c>
      <c r="G425" s="216" t="s">
        <v>766</v>
      </c>
      <c r="H425" s="222">
        <v>2.85</v>
      </c>
      <c r="I425" s="223" t="s">
        <v>760</v>
      </c>
      <c r="J425" s="223"/>
      <c r="K425" s="223"/>
      <c r="L425" s="218"/>
      <c r="M425" s="71"/>
      <c r="N425" s="71"/>
    </row>
    <row r="426" spans="2:14" s="59" customFormat="1" ht="15" customHeight="1">
      <c r="E426" s="862" t="s">
        <v>768</v>
      </c>
      <c r="F426" s="862"/>
      <c r="G426" s="907" t="s">
        <v>466</v>
      </c>
      <c r="H426" s="907"/>
      <c r="I426" s="218"/>
      <c r="K426" s="71"/>
      <c r="L426" s="71"/>
      <c r="M426" s="71"/>
      <c r="N426" s="71"/>
    </row>
    <row r="427" spans="2:14" s="59" customFormat="1" ht="6" customHeight="1">
      <c r="C427" s="136"/>
      <c r="D427" s="136"/>
      <c r="E427" s="136"/>
      <c r="F427" s="136"/>
      <c r="G427" s="136"/>
      <c r="H427" s="136"/>
      <c r="I427" s="136"/>
      <c r="J427" s="136"/>
      <c r="K427" s="136"/>
      <c r="L427" s="136"/>
      <c r="M427" s="136"/>
      <c r="N427" s="136"/>
    </row>
    <row r="428" spans="2:14" ht="14.25" customHeight="1">
      <c r="B428" s="906" t="s">
        <v>751</v>
      </c>
      <c r="C428" s="906"/>
      <c r="D428" s="906"/>
      <c r="E428" s="906"/>
      <c r="F428" s="906"/>
      <c r="G428" s="906"/>
      <c r="H428" s="906"/>
      <c r="I428" s="906"/>
      <c r="J428" s="906"/>
      <c r="K428" s="906"/>
      <c r="L428" s="906"/>
      <c r="M428" s="906"/>
      <c r="N428" s="906"/>
    </row>
    <row r="429" spans="2:14" ht="14.25" customHeight="1">
      <c r="B429" s="916" t="s">
        <v>750</v>
      </c>
      <c r="C429" s="916"/>
      <c r="D429" s="916"/>
      <c r="E429" s="916"/>
      <c r="F429" s="916"/>
      <c r="G429" s="916"/>
      <c r="H429" s="916"/>
      <c r="I429" s="916"/>
      <c r="J429" s="916"/>
      <c r="K429" s="916"/>
      <c r="L429" s="916"/>
      <c r="M429" s="916"/>
      <c r="N429" s="207"/>
    </row>
    <row r="430" spans="2:14" ht="14.25" customHeight="1">
      <c r="B430" s="894" t="s">
        <v>756</v>
      </c>
      <c r="C430" s="894"/>
      <c r="D430" s="894"/>
      <c r="E430" s="894"/>
      <c r="F430" s="894"/>
      <c r="G430" s="894"/>
      <c r="H430" s="894"/>
      <c r="I430" s="894"/>
      <c r="J430" s="894"/>
      <c r="K430" s="894"/>
      <c r="L430" s="894"/>
      <c r="M430" s="894"/>
      <c r="N430" s="174"/>
    </row>
    <row r="431" spans="2:14" ht="14.25" customHeight="1">
      <c r="B431" s="894" t="s">
        <v>757</v>
      </c>
      <c r="C431" s="894"/>
      <c r="D431" s="894"/>
      <c r="E431" s="894"/>
      <c r="F431" s="894"/>
      <c r="G431" s="894"/>
      <c r="H431" s="894"/>
      <c r="I431" s="894"/>
      <c r="J431" s="894"/>
      <c r="K431" s="894"/>
      <c r="L431" s="894"/>
      <c r="M431" s="894"/>
      <c r="N431" s="894"/>
    </row>
    <row r="432" spans="2:14" ht="6" customHeight="1">
      <c r="B432" s="213"/>
      <c r="C432" s="213"/>
      <c r="D432" s="213"/>
      <c r="E432" s="213"/>
      <c r="F432" s="213"/>
      <c r="G432" s="213"/>
      <c r="H432" s="213"/>
      <c r="I432" s="213"/>
      <c r="J432" s="213"/>
      <c r="K432" s="213"/>
      <c r="L432" s="213"/>
      <c r="M432" s="213"/>
      <c r="N432" s="213"/>
    </row>
    <row r="433" spans="1:14" ht="14.25" customHeight="1">
      <c r="B433" s="906" t="s">
        <v>744</v>
      </c>
      <c r="C433" s="906"/>
      <c r="D433" s="906"/>
      <c r="E433" s="906"/>
      <c r="F433" s="906"/>
      <c r="G433" s="906"/>
      <c r="H433" s="906"/>
      <c r="I433" s="906"/>
      <c r="J433" s="906"/>
      <c r="K433" s="906"/>
      <c r="L433" s="906"/>
      <c r="M433" s="906"/>
      <c r="N433" s="906"/>
    </row>
    <row r="434" spans="1:14" ht="14.25" customHeight="1">
      <c r="B434" s="916" t="s">
        <v>752</v>
      </c>
      <c r="C434" s="916"/>
      <c r="D434" s="916"/>
      <c r="E434" s="916"/>
      <c r="F434" s="916"/>
      <c r="G434" s="916"/>
      <c r="H434" s="916"/>
      <c r="I434" s="916"/>
      <c r="J434" s="916"/>
      <c r="K434" s="916"/>
      <c r="L434" s="916"/>
      <c r="M434" s="207"/>
      <c r="N434" s="207"/>
    </row>
    <row r="435" spans="1:14" ht="14.25" customHeight="1">
      <c r="B435" s="916" t="s">
        <v>745</v>
      </c>
      <c r="C435" s="916"/>
      <c r="D435" s="916"/>
      <c r="E435" s="916"/>
      <c r="F435" s="916"/>
      <c r="G435" s="916"/>
      <c r="H435" s="916"/>
      <c r="I435" s="916"/>
      <c r="J435" s="916"/>
      <c r="K435" s="916"/>
      <c r="L435" s="916"/>
      <c r="M435" s="916"/>
      <c r="N435" s="207"/>
    </row>
    <row r="436" spans="1:14" ht="14.25" customHeight="1">
      <c r="B436" s="916" t="s">
        <v>746</v>
      </c>
      <c r="C436" s="916"/>
      <c r="D436" s="916"/>
      <c r="E436" s="916"/>
      <c r="F436" s="916"/>
      <c r="G436" s="916"/>
      <c r="H436" s="916"/>
      <c r="I436" s="916"/>
      <c r="J436" s="916"/>
      <c r="K436" s="916"/>
      <c r="L436" s="916"/>
      <c r="M436" s="916"/>
      <c r="N436" s="207"/>
    </row>
    <row r="437" spans="1:14" ht="6" customHeight="1">
      <c r="B437" s="215"/>
      <c r="C437" s="215"/>
      <c r="D437" s="215"/>
      <c r="E437" s="215"/>
      <c r="F437" s="215"/>
      <c r="G437" s="215"/>
      <c r="H437" s="215"/>
      <c r="I437" s="215"/>
      <c r="J437" s="215"/>
      <c r="K437" s="215"/>
      <c r="L437" s="215"/>
      <c r="M437" s="215"/>
      <c r="N437" s="207"/>
    </row>
    <row r="438" spans="1:14" ht="14.25" customHeight="1">
      <c r="B438" s="906" t="s">
        <v>747</v>
      </c>
      <c r="C438" s="906"/>
      <c r="D438" s="906"/>
      <c r="E438" s="906"/>
      <c r="F438" s="906"/>
      <c r="G438" s="906"/>
      <c r="H438" s="906"/>
      <c r="I438" s="906"/>
      <c r="J438" s="906"/>
      <c r="K438" s="906"/>
      <c r="L438" s="906"/>
      <c r="M438" s="906"/>
      <c r="N438" s="906"/>
    </row>
    <row r="439" spans="1:14" ht="14.25" customHeight="1">
      <c r="B439" s="916" t="s">
        <v>753</v>
      </c>
      <c r="C439" s="916"/>
      <c r="D439" s="916"/>
      <c r="E439" s="916"/>
      <c r="F439" s="916"/>
      <c r="G439" s="916"/>
      <c r="H439" s="916"/>
      <c r="I439" s="916"/>
      <c r="J439" s="916"/>
      <c r="K439" s="916"/>
      <c r="L439" s="916"/>
      <c r="M439" s="916"/>
      <c r="N439" s="916"/>
    </row>
    <row r="440" spans="1:14" ht="14.25" customHeight="1">
      <c r="B440" s="916" t="s">
        <v>754</v>
      </c>
      <c r="C440" s="916"/>
      <c r="D440" s="916"/>
      <c r="E440" s="916"/>
      <c r="F440" s="916"/>
      <c r="G440" s="916"/>
      <c r="H440" s="916"/>
      <c r="I440" s="916"/>
      <c r="J440" s="916"/>
      <c r="K440" s="916"/>
      <c r="L440" s="916"/>
      <c r="M440" s="916"/>
      <c r="N440" s="916"/>
    </row>
    <row r="441" spans="1:14" ht="6" customHeight="1">
      <c r="B441" s="215"/>
      <c r="C441" s="215"/>
      <c r="D441" s="215"/>
      <c r="E441" s="215"/>
      <c r="F441" s="215"/>
      <c r="G441" s="215"/>
      <c r="H441" s="215"/>
      <c r="I441" s="215"/>
      <c r="J441" s="215"/>
      <c r="K441" s="215"/>
      <c r="L441" s="215"/>
      <c r="M441" s="215"/>
      <c r="N441" s="207"/>
    </row>
    <row r="442" spans="1:14" ht="14.25" customHeight="1">
      <c r="B442" s="908" t="s">
        <v>815</v>
      </c>
      <c r="C442" s="908"/>
      <c r="D442" s="908"/>
      <c r="E442" s="908"/>
      <c r="F442" s="908"/>
      <c r="G442" s="908"/>
      <c r="H442" s="908"/>
      <c r="I442" s="908"/>
      <c r="J442" s="908"/>
      <c r="K442" s="908"/>
      <c r="L442" s="908"/>
      <c r="M442" s="908"/>
      <c r="N442" s="908"/>
    </row>
    <row r="443" spans="1:14" ht="14.25" customHeight="1">
      <c r="B443" s="782" t="s">
        <v>821</v>
      </c>
      <c r="C443" s="782"/>
      <c r="D443" s="782"/>
      <c r="E443" s="782"/>
      <c r="F443" s="782"/>
      <c r="G443" s="782"/>
      <c r="H443" s="782"/>
      <c r="I443" s="782"/>
      <c r="J443" s="782"/>
      <c r="K443" s="782"/>
      <c r="L443" s="782"/>
      <c r="M443" s="782"/>
      <c r="N443" s="782"/>
    </row>
    <row r="444" spans="1:14" ht="14.25" customHeight="1">
      <c r="B444" s="782" t="s">
        <v>816</v>
      </c>
      <c r="C444" s="782"/>
      <c r="D444" s="782"/>
      <c r="E444" s="782"/>
      <c r="F444" s="782"/>
      <c r="G444" s="782"/>
      <c r="H444" s="782"/>
      <c r="I444" s="782"/>
      <c r="J444" s="782"/>
      <c r="K444" s="782"/>
      <c r="L444" s="782"/>
      <c r="M444" s="782"/>
      <c r="N444" s="782"/>
    </row>
    <row r="445" spans="1:14" ht="6" customHeight="1">
      <c r="B445" s="208"/>
      <c r="C445" s="214"/>
      <c r="D445" s="214"/>
      <c r="E445" s="214"/>
      <c r="F445" s="214"/>
      <c r="G445" s="214"/>
      <c r="H445" s="214"/>
      <c r="I445" s="214"/>
      <c r="J445" s="214"/>
      <c r="K445" s="215"/>
      <c r="L445" s="215"/>
      <c r="M445" s="215"/>
      <c r="N445" s="207"/>
    </row>
    <row r="446" spans="1:14" s="59" customFormat="1" ht="15" customHeight="1">
      <c r="B446" s="849" t="s">
        <v>774</v>
      </c>
      <c r="C446" s="849"/>
      <c r="D446" s="849"/>
      <c r="E446" s="849"/>
      <c r="F446" s="849"/>
      <c r="G446" s="849"/>
      <c r="H446" s="849"/>
      <c r="I446" s="51"/>
      <c r="J446" s="51"/>
      <c r="K446" s="51"/>
      <c r="L446" s="51"/>
      <c r="M446" s="71"/>
      <c r="N446" s="71"/>
    </row>
    <row r="447" spans="1:14" s="59" customFormat="1" ht="15" customHeight="1">
      <c r="A447" s="70"/>
      <c r="B447" s="848" t="s">
        <v>759</v>
      </c>
      <c r="C447" s="848"/>
      <c r="D447" s="848"/>
      <c r="E447" s="841" t="s">
        <v>723</v>
      </c>
      <c r="F447" s="841"/>
      <c r="G447" s="841"/>
      <c r="H447" s="51"/>
      <c r="I447" s="51"/>
      <c r="J447" s="51"/>
      <c r="K447" s="51"/>
      <c r="L447" s="51"/>
      <c r="N447" s="71"/>
    </row>
    <row r="448" spans="1:14" s="59" customFormat="1" ht="15" customHeight="1">
      <c r="B448" s="850" t="s">
        <v>773</v>
      </c>
      <c r="C448" s="850"/>
      <c r="D448" s="850"/>
      <c r="E448" s="904">
        <v>11.85</v>
      </c>
      <c r="F448" s="904"/>
      <c r="G448" s="904"/>
      <c r="H448" s="51"/>
      <c r="I448" s="51"/>
      <c r="J448" s="51"/>
      <c r="K448" s="51"/>
      <c r="L448" s="51"/>
    </row>
    <row r="449" spans="1:14" s="59" customFormat="1" ht="15" customHeight="1">
      <c r="B449" s="850" t="s">
        <v>761</v>
      </c>
      <c r="C449" s="850"/>
      <c r="D449" s="850"/>
      <c r="E449" s="51"/>
      <c r="F449" s="51"/>
      <c r="G449" s="51"/>
      <c r="H449" s="51"/>
      <c r="I449" s="51"/>
      <c r="J449" s="51"/>
      <c r="K449" s="51"/>
      <c r="L449" s="51"/>
      <c r="M449" s="71"/>
      <c r="N449" s="71"/>
    </row>
    <row r="450" spans="1:14" s="59" customFormat="1" ht="15" customHeight="1">
      <c r="C450" s="902" t="s">
        <v>762</v>
      </c>
      <c r="D450" s="902"/>
      <c r="E450" s="216" t="s">
        <v>763</v>
      </c>
      <c r="F450" s="782" t="s">
        <v>726</v>
      </c>
      <c r="G450" s="782"/>
      <c r="H450" s="782"/>
      <c r="I450" s="782"/>
      <c r="J450" s="782"/>
      <c r="K450" s="782"/>
      <c r="L450" s="782"/>
      <c r="M450" s="71"/>
      <c r="N450" s="71"/>
    </row>
    <row r="451" spans="1:14" s="59" customFormat="1" ht="15" customHeight="1">
      <c r="C451" s="903" t="s">
        <v>764</v>
      </c>
      <c r="D451" s="903"/>
      <c r="E451" s="217">
        <v>3</v>
      </c>
      <c r="F451" s="59" t="s">
        <v>765</v>
      </c>
      <c r="G451" s="59" t="s">
        <v>766</v>
      </c>
      <c r="H451" s="224" t="s">
        <v>771</v>
      </c>
      <c r="I451" s="223"/>
      <c r="J451" s="223"/>
      <c r="K451" s="223"/>
      <c r="L451" s="218"/>
      <c r="M451" s="71"/>
      <c r="N451" s="71"/>
    </row>
    <row r="452" spans="1:14" s="59" customFormat="1" ht="15" customHeight="1">
      <c r="C452" s="902" t="s">
        <v>92</v>
      </c>
      <c r="D452" s="902"/>
      <c r="E452" s="216" t="s">
        <v>763</v>
      </c>
      <c r="F452" s="782" t="s">
        <v>722</v>
      </c>
      <c r="G452" s="782"/>
      <c r="H452" s="782"/>
      <c r="I452" s="782"/>
      <c r="M452" s="71"/>
      <c r="N452" s="71"/>
    </row>
    <row r="453" spans="1:14" s="59" customFormat="1" ht="15" customHeight="1">
      <c r="C453" s="903" t="s">
        <v>764</v>
      </c>
      <c r="D453" s="903"/>
      <c r="E453" s="219">
        <v>1</v>
      </c>
      <c r="F453" s="59" t="s">
        <v>765</v>
      </c>
      <c r="G453" s="59" t="s">
        <v>766</v>
      </c>
      <c r="H453" s="222">
        <v>2.12</v>
      </c>
      <c r="I453" s="223" t="s">
        <v>760</v>
      </c>
      <c r="J453" s="223"/>
      <c r="K453" s="220"/>
      <c r="L453" s="220"/>
      <c r="M453" s="71"/>
      <c r="N453" s="71"/>
    </row>
    <row r="454" spans="1:14" s="59" customFormat="1" ht="15" customHeight="1">
      <c r="C454" s="902" t="s">
        <v>767</v>
      </c>
      <c r="D454" s="902"/>
      <c r="E454" s="216" t="s">
        <v>763</v>
      </c>
      <c r="F454" s="782" t="s">
        <v>656</v>
      </c>
      <c r="G454" s="782"/>
      <c r="H454" s="782"/>
      <c r="I454" s="782"/>
      <c r="M454" s="71"/>
      <c r="N454" s="71"/>
    </row>
    <row r="455" spans="1:14" s="59" customFormat="1" ht="15" customHeight="1">
      <c r="C455" s="903" t="s">
        <v>764</v>
      </c>
      <c r="D455" s="903"/>
      <c r="E455" s="219">
        <v>3</v>
      </c>
      <c r="F455" s="59" t="s">
        <v>765</v>
      </c>
      <c r="G455" s="216" t="s">
        <v>766</v>
      </c>
      <c r="H455" s="224" t="s">
        <v>772</v>
      </c>
      <c r="I455" s="223"/>
      <c r="J455" s="223"/>
      <c r="K455" s="221"/>
      <c r="L455" s="218"/>
      <c r="M455" s="71"/>
      <c r="N455" s="71"/>
    </row>
    <row r="456" spans="1:14" s="59" customFormat="1" ht="15" customHeight="1">
      <c r="C456" s="902" t="s">
        <v>31</v>
      </c>
      <c r="D456" s="902"/>
      <c r="E456" s="216" t="s">
        <v>763</v>
      </c>
      <c r="F456" s="782" t="s">
        <v>725</v>
      </c>
      <c r="G456" s="782"/>
      <c r="H456" s="782"/>
      <c r="I456" s="782"/>
      <c r="M456" s="71"/>
      <c r="N456" s="71"/>
    </row>
    <row r="457" spans="1:14" s="59" customFormat="1" ht="15" customHeight="1">
      <c r="C457" s="903" t="s">
        <v>764</v>
      </c>
      <c r="D457" s="903"/>
      <c r="E457" s="219">
        <v>1</v>
      </c>
      <c r="F457" s="59" t="s">
        <v>765</v>
      </c>
      <c r="G457" s="216" t="s">
        <v>766</v>
      </c>
      <c r="H457" s="222">
        <v>4.8499999999999996</v>
      </c>
      <c r="I457" s="223" t="s">
        <v>760</v>
      </c>
      <c r="J457" s="223"/>
      <c r="K457" s="218"/>
      <c r="L457" s="218"/>
      <c r="M457" s="71"/>
      <c r="N457" s="71"/>
    </row>
    <row r="458" spans="1:14" s="59" customFormat="1" ht="15" customHeight="1">
      <c r="E458" s="862" t="s">
        <v>768</v>
      </c>
      <c r="F458" s="862"/>
      <c r="G458" s="907" t="s">
        <v>724</v>
      </c>
      <c r="H458" s="907"/>
      <c r="I458" s="218"/>
      <c r="K458" s="71"/>
      <c r="L458" s="71"/>
      <c r="M458" s="71"/>
      <c r="N458" s="71"/>
    </row>
    <row r="459" spans="1:14" ht="14.25" customHeight="1">
      <c r="B459" s="908" t="s">
        <v>817</v>
      </c>
      <c r="C459" s="908"/>
      <c r="D459" s="908"/>
      <c r="E459" s="908"/>
      <c r="F459" s="908"/>
      <c r="G459" s="908"/>
      <c r="H459" s="908"/>
      <c r="I459" s="908"/>
      <c r="J459" s="908"/>
      <c r="K459" s="908"/>
      <c r="L459" s="908"/>
      <c r="M459" s="908"/>
      <c r="N459" s="908"/>
    </row>
    <row r="460" spans="1:14" ht="14.25" customHeight="1">
      <c r="B460" s="782" t="s">
        <v>820</v>
      </c>
      <c r="C460" s="782"/>
      <c r="D460" s="782"/>
      <c r="E460" s="782"/>
      <c r="F460" s="782"/>
      <c r="G460" s="782"/>
      <c r="H460" s="782"/>
      <c r="I460" s="782"/>
      <c r="J460" s="782"/>
      <c r="K460" s="782"/>
      <c r="L460" s="782"/>
      <c r="M460" s="782"/>
      <c r="N460" s="782"/>
    </row>
    <row r="461" spans="1:14" ht="14.25" customHeight="1">
      <c r="B461" s="782" t="s">
        <v>818</v>
      </c>
      <c r="C461" s="782"/>
      <c r="D461" s="782"/>
      <c r="E461" s="782"/>
      <c r="F461" s="782"/>
      <c r="G461" s="782"/>
      <c r="H461" s="782"/>
      <c r="I461" s="782"/>
      <c r="J461" s="782"/>
      <c r="K461" s="782"/>
      <c r="L461" s="782"/>
      <c r="M461" s="782"/>
      <c r="N461" s="782"/>
    </row>
    <row r="462" spans="1:14" ht="10.5" customHeight="1">
      <c r="B462" s="208"/>
      <c r="C462" s="214"/>
      <c r="D462" s="214"/>
      <c r="E462" s="214"/>
      <c r="F462" s="214"/>
      <c r="G462" s="214"/>
      <c r="H462" s="214"/>
      <c r="I462" s="214"/>
      <c r="J462" s="214"/>
      <c r="K462" s="215"/>
      <c r="L462" s="215"/>
      <c r="M462" s="215"/>
      <c r="N462" s="207"/>
    </row>
    <row r="463" spans="1:14" s="59" customFormat="1" ht="15" customHeight="1">
      <c r="B463" s="849" t="s">
        <v>819</v>
      </c>
      <c r="C463" s="849"/>
      <c r="D463" s="849"/>
      <c r="E463" s="849"/>
      <c r="F463" s="849"/>
      <c r="G463" s="849"/>
      <c r="H463" s="849"/>
      <c r="I463" s="51"/>
      <c r="J463" s="51"/>
      <c r="K463" s="51"/>
      <c r="L463" s="51"/>
      <c r="M463" s="71"/>
      <c r="N463" s="71"/>
    </row>
    <row r="464" spans="1:14" s="59" customFormat="1" ht="15" customHeight="1">
      <c r="A464" s="70"/>
      <c r="B464" s="848" t="s">
        <v>759</v>
      </c>
      <c r="C464" s="848"/>
      <c r="D464" s="848"/>
      <c r="E464" s="841" t="s">
        <v>723</v>
      </c>
      <c r="F464" s="841"/>
      <c r="G464" s="841"/>
      <c r="H464" s="51"/>
      <c r="I464" s="51"/>
      <c r="J464" s="51"/>
      <c r="K464" s="51"/>
      <c r="L464" s="51"/>
      <c r="N464" s="71"/>
    </row>
    <row r="465" spans="2:14" s="59" customFormat="1" ht="15" customHeight="1">
      <c r="B465" s="850" t="s">
        <v>773</v>
      </c>
      <c r="C465" s="850"/>
      <c r="D465" s="850"/>
      <c r="E465" s="904">
        <v>11.85</v>
      </c>
      <c r="F465" s="904"/>
      <c r="G465" s="904"/>
      <c r="H465" s="51"/>
      <c r="I465" s="51"/>
      <c r="J465" s="51"/>
      <c r="K465" s="51"/>
      <c r="L465" s="51"/>
    </row>
    <row r="466" spans="2:14" s="59" customFormat="1" ht="15" customHeight="1">
      <c r="B466" s="850" t="s">
        <v>761</v>
      </c>
      <c r="C466" s="850"/>
      <c r="D466" s="850"/>
      <c r="E466" s="51"/>
      <c r="F466" s="51"/>
      <c r="G466" s="51"/>
      <c r="H466" s="51"/>
      <c r="I466" s="51"/>
      <c r="J466" s="51"/>
      <c r="K466" s="51"/>
      <c r="L466" s="51"/>
      <c r="M466" s="71"/>
      <c r="N466" s="71"/>
    </row>
    <row r="467" spans="2:14" s="59" customFormat="1" ht="15" customHeight="1">
      <c r="C467" s="902" t="s">
        <v>762</v>
      </c>
      <c r="D467" s="902"/>
      <c r="E467" s="216" t="s">
        <v>763</v>
      </c>
      <c r="F467" s="782" t="s">
        <v>658</v>
      </c>
      <c r="G467" s="782"/>
      <c r="H467" s="782"/>
      <c r="I467" s="782"/>
      <c r="J467" s="782"/>
      <c r="K467" s="782"/>
      <c r="L467" s="782"/>
      <c r="M467" s="71"/>
      <c r="N467" s="71"/>
    </row>
    <row r="468" spans="2:14" s="59" customFormat="1" ht="15" customHeight="1">
      <c r="C468" s="903" t="s">
        <v>764</v>
      </c>
      <c r="D468" s="903"/>
      <c r="E468" s="217">
        <v>3</v>
      </c>
      <c r="F468" s="59" t="s">
        <v>765</v>
      </c>
      <c r="G468" s="59" t="s">
        <v>766</v>
      </c>
      <c r="H468" s="224" t="s">
        <v>771</v>
      </c>
      <c r="I468" s="223"/>
      <c r="J468" s="223"/>
      <c r="K468" s="223"/>
      <c r="L468" s="218"/>
      <c r="M468" s="71"/>
      <c r="N468" s="71"/>
    </row>
    <row r="469" spans="2:14" s="59" customFormat="1" ht="15" customHeight="1">
      <c r="C469" s="902" t="s">
        <v>92</v>
      </c>
      <c r="D469" s="902"/>
      <c r="E469" s="216" t="s">
        <v>763</v>
      </c>
      <c r="F469" s="782" t="s">
        <v>722</v>
      </c>
      <c r="G469" s="782"/>
      <c r="H469" s="782"/>
      <c r="I469" s="782"/>
      <c r="M469" s="71"/>
      <c r="N469" s="71"/>
    </row>
    <row r="470" spans="2:14" s="59" customFormat="1" ht="15" customHeight="1">
      <c r="C470" s="903" t="s">
        <v>764</v>
      </c>
      <c r="D470" s="903"/>
      <c r="E470" s="219">
        <v>1</v>
      </c>
      <c r="F470" s="59" t="s">
        <v>765</v>
      </c>
      <c r="G470" s="59" t="s">
        <v>766</v>
      </c>
      <c r="H470" s="222">
        <v>2.12</v>
      </c>
      <c r="I470" s="223" t="s">
        <v>760</v>
      </c>
      <c r="J470" s="223"/>
      <c r="K470" s="220"/>
      <c r="L470" s="220"/>
      <c r="M470" s="71"/>
      <c r="N470" s="71"/>
    </row>
    <row r="471" spans="2:14" s="59" customFormat="1" ht="15" customHeight="1">
      <c r="C471" s="902" t="s">
        <v>767</v>
      </c>
      <c r="D471" s="902"/>
      <c r="E471" s="216" t="s">
        <v>763</v>
      </c>
      <c r="F471" s="59" t="s">
        <v>658</v>
      </c>
      <c r="M471" s="71"/>
      <c r="N471" s="71"/>
    </row>
    <row r="472" spans="2:14" s="59" customFormat="1" ht="15" customHeight="1">
      <c r="C472" s="903" t="s">
        <v>764</v>
      </c>
      <c r="D472" s="903"/>
      <c r="E472" s="219">
        <v>3</v>
      </c>
      <c r="F472" s="59" t="s">
        <v>765</v>
      </c>
      <c r="G472" s="216" t="s">
        <v>766</v>
      </c>
      <c r="H472" s="224" t="s">
        <v>772</v>
      </c>
      <c r="I472" s="223"/>
      <c r="J472" s="223"/>
      <c r="K472" s="221"/>
      <c r="L472" s="218"/>
      <c r="M472" s="71"/>
      <c r="N472" s="71"/>
    </row>
    <row r="473" spans="2:14" s="59" customFormat="1" ht="15" customHeight="1">
      <c r="C473" s="902" t="s">
        <v>31</v>
      </c>
      <c r="D473" s="902"/>
      <c r="E473" s="216" t="s">
        <v>763</v>
      </c>
      <c r="F473" s="782" t="s">
        <v>725</v>
      </c>
      <c r="G473" s="782"/>
      <c r="H473" s="782"/>
      <c r="I473" s="782"/>
      <c r="M473" s="71"/>
      <c r="N473" s="71"/>
    </row>
    <row r="474" spans="2:14" s="59" customFormat="1" ht="15" customHeight="1">
      <c r="C474" s="903" t="s">
        <v>764</v>
      </c>
      <c r="D474" s="903"/>
      <c r="E474" s="219">
        <v>1</v>
      </c>
      <c r="F474" s="59" t="s">
        <v>765</v>
      </c>
      <c r="G474" s="216" t="s">
        <v>766</v>
      </c>
      <c r="H474" s="222">
        <v>4.8499999999999996</v>
      </c>
      <c r="I474" s="223" t="s">
        <v>760</v>
      </c>
      <c r="J474" s="223"/>
      <c r="K474" s="218"/>
      <c r="L474" s="218"/>
      <c r="M474" s="71"/>
      <c r="N474" s="71"/>
    </row>
    <row r="475" spans="2:14" s="59" customFormat="1" ht="15" customHeight="1">
      <c r="E475" s="862" t="s">
        <v>768</v>
      </c>
      <c r="F475" s="862"/>
      <c r="G475" s="907" t="s">
        <v>724</v>
      </c>
      <c r="H475" s="907"/>
      <c r="I475" s="218"/>
      <c r="K475" s="71"/>
      <c r="L475" s="71"/>
      <c r="M475" s="71"/>
      <c r="N475" s="71"/>
    </row>
    <row r="476" spans="2:14" s="59" customFormat="1" ht="10.5" customHeight="1">
      <c r="E476" s="216"/>
      <c r="F476" s="216"/>
      <c r="G476" s="221"/>
      <c r="H476" s="221"/>
      <c r="I476" s="221"/>
      <c r="K476" s="71"/>
      <c r="L476" s="71"/>
      <c r="M476" s="71"/>
      <c r="N476" s="71"/>
    </row>
    <row r="477" spans="2:14" s="59" customFormat="1" ht="15.75" customHeight="1">
      <c r="B477" s="862" t="s">
        <v>677</v>
      </c>
      <c r="C477" s="862"/>
      <c r="D477" s="862"/>
      <c r="E477" s="862"/>
      <c r="F477" s="862"/>
      <c r="G477" s="862"/>
      <c r="H477" s="862"/>
      <c r="I477" s="862"/>
      <c r="J477" s="862"/>
      <c r="K477" s="862"/>
      <c r="L477" s="862"/>
      <c r="M477" s="862"/>
      <c r="N477" s="862"/>
    </row>
    <row r="478" spans="2:14" s="59" customFormat="1" ht="15.75" customHeight="1">
      <c r="B478" s="862" t="s">
        <v>368</v>
      </c>
      <c r="C478" s="862"/>
      <c r="D478" s="862"/>
      <c r="E478" s="862"/>
      <c r="F478" s="862"/>
      <c r="G478" s="862"/>
      <c r="H478" s="862"/>
      <c r="I478" s="862"/>
      <c r="J478" s="862"/>
      <c r="K478" s="862"/>
      <c r="L478" s="862"/>
      <c r="M478" s="862"/>
      <c r="N478" s="862"/>
    </row>
    <row r="479" spans="2:14" ht="15" customHeight="1">
      <c r="B479" s="841" t="s">
        <v>640</v>
      </c>
      <c r="C479" s="841"/>
      <c r="D479" s="841"/>
      <c r="E479" s="841"/>
      <c r="F479" s="841"/>
      <c r="G479" s="841"/>
      <c r="H479" s="841"/>
      <c r="I479" s="841"/>
      <c r="J479" s="841"/>
      <c r="K479" s="841"/>
      <c r="L479" s="841"/>
      <c r="M479" s="841"/>
      <c r="N479" s="841"/>
    </row>
    <row r="480" spans="2:14" ht="10.5" customHeight="1">
      <c r="B480" s="98"/>
      <c r="C480" s="98"/>
      <c r="D480" s="98"/>
      <c r="E480" s="98"/>
      <c r="F480" s="98"/>
      <c r="G480" s="98"/>
      <c r="H480" s="98"/>
      <c r="I480" s="98"/>
    </row>
    <row r="481" spans="2:14" ht="90" customHeight="1" thickBot="1">
      <c r="B481" s="696"/>
      <c r="C481" s="696"/>
      <c r="D481" s="696"/>
      <c r="E481" s="696"/>
      <c r="F481" s="99" t="s">
        <v>639</v>
      </c>
      <c r="G481" s="135"/>
      <c r="H481" s="863"/>
      <c r="I481" s="863"/>
      <c r="J481" s="863"/>
      <c r="K481" s="863"/>
      <c r="L481" s="863"/>
      <c r="M481" s="863"/>
    </row>
    <row r="482" spans="2:14" ht="15" customHeight="1">
      <c r="B482" s="842" t="s">
        <v>638</v>
      </c>
      <c r="C482" s="842"/>
      <c r="D482" s="842"/>
      <c r="E482" s="842"/>
      <c r="F482" s="842"/>
      <c r="G482" s="842"/>
      <c r="H482" s="98"/>
      <c r="I482" s="98"/>
    </row>
    <row r="483" spans="2:14" ht="10.5" customHeight="1">
      <c r="H483" s="98"/>
      <c r="I483" s="98"/>
    </row>
    <row r="484" spans="2:14" ht="15" customHeight="1">
      <c r="B484" s="696"/>
      <c r="C484" s="696"/>
      <c r="D484" s="696"/>
      <c r="E484" s="696"/>
      <c r="F484" s="696" t="s">
        <v>639</v>
      </c>
      <c r="G484" s="859"/>
      <c r="H484" s="860"/>
      <c r="I484" s="860"/>
      <c r="J484" s="860"/>
      <c r="K484" s="860"/>
      <c r="L484" s="860"/>
      <c r="M484" s="860"/>
      <c r="N484" s="100"/>
    </row>
    <row r="485" spans="2:14" ht="15" customHeight="1">
      <c r="B485" s="696"/>
      <c r="C485" s="696"/>
      <c r="D485" s="696"/>
      <c r="E485" s="696"/>
      <c r="F485" s="696"/>
      <c r="G485" s="859"/>
      <c r="H485" s="860"/>
      <c r="I485" s="860"/>
      <c r="J485" s="860"/>
      <c r="K485" s="860"/>
      <c r="L485" s="860"/>
      <c r="M485" s="860"/>
    </row>
    <row r="486" spans="2:14" ht="15" customHeight="1">
      <c r="B486" s="696"/>
      <c r="C486" s="696"/>
      <c r="D486" s="696"/>
      <c r="E486" s="696"/>
      <c r="F486" s="696"/>
      <c r="G486" s="859"/>
      <c r="H486" s="860"/>
      <c r="I486" s="860"/>
      <c r="J486" s="860"/>
      <c r="K486" s="860"/>
      <c r="L486" s="860"/>
      <c r="M486" s="860"/>
      <c r="N486" s="100"/>
    </row>
    <row r="487" spans="2:14" ht="15" customHeight="1">
      <c r="B487" s="696"/>
      <c r="C487" s="696"/>
      <c r="D487" s="696"/>
      <c r="E487" s="696"/>
      <c r="F487" s="696"/>
      <c r="G487" s="859"/>
      <c r="H487" s="860"/>
      <c r="I487" s="860"/>
      <c r="J487" s="860"/>
      <c r="K487" s="860"/>
      <c r="L487" s="860"/>
      <c r="M487" s="860"/>
      <c r="N487" s="100"/>
    </row>
    <row r="488" spans="2:14" ht="15" customHeight="1">
      <c r="B488" s="696"/>
      <c r="C488" s="696"/>
      <c r="D488" s="696"/>
      <c r="E488" s="696"/>
      <c r="F488" s="696"/>
      <c r="G488" s="859"/>
      <c r="H488" s="860"/>
      <c r="I488" s="860"/>
      <c r="J488" s="860"/>
      <c r="K488" s="860"/>
      <c r="L488" s="860"/>
      <c r="M488" s="860"/>
      <c r="N488" s="100"/>
    </row>
    <row r="489" spans="2:14" ht="15" customHeight="1" thickBot="1">
      <c r="B489" s="696"/>
      <c r="C489" s="696"/>
      <c r="D489" s="696"/>
      <c r="E489" s="696"/>
      <c r="F489" s="696"/>
      <c r="G489" s="859"/>
      <c r="H489" s="861"/>
      <c r="I489" s="861"/>
      <c r="J489" s="861"/>
      <c r="K489" s="861"/>
      <c r="L489" s="861"/>
      <c r="M489" s="861"/>
    </row>
    <row r="490" spans="2:14" ht="12" customHeight="1"/>
  </sheetData>
  <protectedRanges>
    <protectedRange sqref="B33" name="I15"/>
    <protectedRange sqref="B71:F71 H71:I71" name="I15_1"/>
    <protectedRange sqref="K414:K417 K400:K403 K387:K390 K446:K449 K463:K466" name="I15_2_3"/>
    <protectedRange sqref="K391:K398 I399 K404:K411 I412 K418:K425 I426 K467:K474 I475:I476 K450:K457 I458" name="I15_2_4"/>
  </protectedRanges>
  <mergeCells count="351">
    <mergeCell ref="B446:H446"/>
    <mergeCell ref="E447:G447"/>
    <mergeCell ref="F450:L450"/>
    <mergeCell ref="B447:D447"/>
    <mergeCell ref="B448:D448"/>
    <mergeCell ref="E448:G448"/>
    <mergeCell ref="B449:D449"/>
    <mergeCell ref="C450:D450"/>
    <mergeCell ref="C425:D425"/>
    <mergeCell ref="E426:F426"/>
    <mergeCell ref="B434:L434"/>
    <mergeCell ref="B435:M435"/>
    <mergeCell ref="B436:M436"/>
    <mergeCell ref="B442:N442"/>
    <mergeCell ref="B433:N433"/>
    <mergeCell ref="B438:N438"/>
    <mergeCell ref="G426:H426"/>
    <mergeCell ref="B431:N431"/>
    <mergeCell ref="B430:M430"/>
    <mergeCell ref="B429:M429"/>
    <mergeCell ref="I83:M83"/>
    <mergeCell ref="D92:E92"/>
    <mergeCell ref="B87:N87"/>
    <mergeCell ref="B88:N88"/>
    <mergeCell ref="H90:I91"/>
    <mergeCell ref="B440:N440"/>
    <mergeCell ref="B439:N439"/>
    <mergeCell ref="B444:N444"/>
    <mergeCell ref="B443:N443"/>
    <mergeCell ref="B400:G400"/>
    <mergeCell ref="L381:N381"/>
    <mergeCell ref="F381:I381"/>
    <mergeCell ref="J381:K381"/>
    <mergeCell ref="B417:D417"/>
    <mergeCell ref="C418:D418"/>
    <mergeCell ref="F418:I418"/>
    <mergeCell ref="C419:D419"/>
    <mergeCell ref="C420:D420"/>
    <mergeCell ref="B353:N353"/>
    <mergeCell ref="B136:N136"/>
    <mergeCell ref="E144:F145"/>
    <mergeCell ref="B114:N114"/>
    <mergeCell ref="B113:N113"/>
    <mergeCell ref="B115:N115"/>
    <mergeCell ref="G76:I76"/>
    <mergeCell ref="G75:I75"/>
    <mergeCell ref="B52:J52"/>
    <mergeCell ref="E74:F74"/>
    <mergeCell ref="E75:F75"/>
    <mergeCell ref="E81:F81"/>
    <mergeCell ref="B68:N68"/>
    <mergeCell ref="B67:N67"/>
    <mergeCell ref="B66:N66"/>
    <mergeCell ref="B65:N65"/>
    <mergeCell ref="B63:N63"/>
    <mergeCell ref="B57:N57"/>
    <mergeCell ref="B55:N55"/>
    <mergeCell ref="C72:L72"/>
    <mergeCell ref="C73:L73"/>
    <mergeCell ref="B62:N62"/>
    <mergeCell ref="F452:I452"/>
    <mergeCell ref="C453:D453"/>
    <mergeCell ref="C454:D454"/>
    <mergeCell ref="F454:I454"/>
    <mergeCell ref="C455:D455"/>
    <mergeCell ref="C456:D456"/>
    <mergeCell ref="F456:I456"/>
    <mergeCell ref="B460:N460"/>
    <mergeCell ref="B461:N461"/>
    <mergeCell ref="G458:H458"/>
    <mergeCell ref="B459:N459"/>
    <mergeCell ref="E458:F458"/>
    <mergeCell ref="C457:D457"/>
    <mergeCell ref="B414:G414"/>
    <mergeCell ref="C422:D422"/>
    <mergeCell ref="F422:I422"/>
    <mergeCell ref="C474:D474"/>
    <mergeCell ref="E475:F475"/>
    <mergeCell ref="B465:D465"/>
    <mergeCell ref="E465:G465"/>
    <mergeCell ref="B466:D466"/>
    <mergeCell ref="C467:D467"/>
    <mergeCell ref="F467:L467"/>
    <mergeCell ref="C468:D468"/>
    <mergeCell ref="C469:D469"/>
    <mergeCell ref="F469:I469"/>
    <mergeCell ref="C470:D470"/>
    <mergeCell ref="C471:D471"/>
    <mergeCell ref="C472:D472"/>
    <mergeCell ref="C473:D473"/>
    <mergeCell ref="F473:I473"/>
    <mergeCell ref="G475:H475"/>
    <mergeCell ref="B463:H463"/>
    <mergeCell ref="B464:D464"/>
    <mergeCell ref="E464:G464"/>
    <mergeCell ref="C451:D451"/>
    <mergeCell ref="C452:D452"/>
    <mergeCell ref="C423:D423"/>
    <mergeCell ref="C424:D424"/>
    <mergeCell ref="F424:I424"/>
    <mergeCell ref="B428:N428"/>
    <mergeCell ref="F420:I420"/>
    <mergeCell ref="C421:D421"/>
    <mergeCell ref="C411:D411"/>
    <mergeCell ref="E401:F401"/>
    <mergeCell ref="G399:H399"/>
    <mergeCell ref="C405:D405"/>
    <mergeCell ref="C406:D406"/>
    <mergeCell ref="F406:I406"/>
    <mergeCell ref="C407:D407"/>
    <mergeCell ref="C408:D408"/>
    <mergeCell ref="F408:I408"/>
    <mergeCell ref="C409:D409"/>
    <mergeCell ref="C410:D410"/>
    <mergeCell ref="F410:I410"/>
    <mergeCell ref="E412:F412"/>
    <mergeCell ref="B415:D415"/>
    <mergeCell ref="B416:D416"/>
    <mergeCell ref="G412:H412"/>
    <mergeCell ref="E415:F415"/>
    <mergeCell ref="E416:F416"/>
    <mergeCell ref="E130:F130"/>
    <mergeCell ref="G130:H130"/>
    <mergeCell ref="B401:D401"/>
    <mergeCell ref="B402:D402"/>
    <mergeCell ref="B403:D403"/>
    <mergeCell ref="C404:D404"/>
    <mergeCell ref="F404:I404"/>
    <mergeCell ref="C398:D398"/>
    <mergeCell ref="E399:F399"/>
    <mergeCell ref="E402:F402"/>
    <mergeCell ref="F397:I397"/>
    <mergeCell ref="C391:D391"/>
    <mergeCell ref="C392:D392"/>
    <mergeCell ref="C393:D393"/>
    <mergeCell ref="C394:D394"/>
    <mergeCell ref="C395:D395"/>
    <mergeCell ref="C396:D396"/>
    <mergeCell ref="C397:D397"/>
    <mergeCell ref="G134:H134"/>
    <mergeCell ref="B384:N384"/>
    <mergeCell ref="F391:I391"/>
    <mergeCell ref="B354:N354"/>
    <mergeCell ref="B160:N160"/>
    <mergeCell ref="F393:I393"/>
    <mergeCell ref="F395:I395"/>
    <mergeCell ref="B140:N140"/>
    <mergeCell ref="B139:N139"/>
    <mergeCell ref="B385:N385"/>
    <mergeCell ref="E148:F148"/>
    <mergeCell ref="G148:H148"/>
    <mergeCell ref="E149:F149"/>
    <mergeCell ref="G149:H149"/>
    <mergeCell ref="E150:F150"/>
    <mergeCell ref="G150:H150"/>
    <mergeCell ref="B157:N157"/>
    <mergeCell ref="B156:N156"/>
    <mergeCell ref="B155:N155"/>
    <mergeCell ref="B154:N154"/>
    <mergeCell ref="B153:N153"/>
    <mergeCell ref="B152:N152"/>
    <mergeCell ref="B229:N229"/>
    <mergeCell ref="B228:N228"/>
    <mergeCell ref="B159:N159"/>
    <mergeCell ref="B158:N158"/>
    <mergeCell ref="B110:D110"/>
    <mergeCell ref="H110:J110"/>
    <mergeCell ref="B125:N125"/>
    <mergeCell ref="B116:N116"/>
    <mergeCell ref="B119:N119"/>
    <mergeCell ref="B124:N124"/>
    <mergeCell ref="B123:N123"/>
    <mergeCell ref="B122:N122"/>
    <mergeCell ref="B118:N118"/>
    <mergeCell ref="B117:N117"/>
    <mergeCell ref="B112:M112"/>
    <mergeCell ref="H111:J111"/>
    <mergeCell ref="B101:N101"/>
    <mergeCell ref="B100:N100"/>
    <mergeCell ref="B99:N99"/>
    <mergeCell ref="B98:N98"/>
    <mergeCell ref="B109:D109"/>
    <mergeCell ref="M94:N94"/>
    <mergeCell ref="J94:L94"/>
    <mergeCell ref="H94:I94"/>
    <mergeCell ref="F94:G94"/>
    <mergeCell ref="D94:E94"/>
    <mergeCell ref="B94:C94"/>
    <mergeCell ref="B103:D104"/>
    <mergeCell ref="H103:J104"/>
    <mergeCell ref="H107:J107"/>
    <mergeCell ref="H109:J109"/>
    <mergeCell ref="K105:M105"/>
    <mergeCell ref="E103:G104"/>
    <mergeCell ref="B105:D105"/>
    <mergeCell ref="H105:J105"/>
    <mergeCell ref="K106:M106"/>
    <mergeCell ref="B106:D106"/>
    <mergeCell ref="H106:J106"/>
    <mergeCell ref="B107:D107"/>
    <mergeCell ref="M95:N95"/>
    <mergeCell ref="B92:C92"/>
    <mergeCell ref="B93:C93"/>
    <mergeCell ref="B95:C95"/>
    <mergeCell ref="J95:L95"/>
    <mergeCell ref="J93:L93"/>
    <mergeCell ref="J92:L92"/>
    <mergeCell ref="H96:I96"/>
    <mergeCell ref="H95:I95"/>
    <mergeCell ref="H93:I93"/>
    <mergeCell ref="H92:I92"/>
    <mergeCell ref="F96:G96"/>
    <mergeCell ref="F95:G95"/>
    <mergeCell ref="D95:E95"/>
    <mergeCell ref="B484:E489"/>
    <mergeCell ref="B481:E481"/>
    <mergeCell ref="F484:F489"/>
    <mergeCell ref="G484:G489"/>
    <mergeCell ref="H484:M489"/>
    <mergeCell ref="B477:N477"/>
    <mergeCell ref="B478:N478"/>
    <mergeCell ref="B479:N479"/>
    <mergeCell ref="H481:M481"/>
    <mergeCell ref="B482:G482"/>
    <mergeCell ref="B108:D108"/>
    <mergeCell ref="K107:M107"/>
    <mergeCell ref="B388:D388"/>
    <mergeCell ref="B387:E387"/>
    <mergeCell ref="B390:D390"/>
    <mergeCell ref="B389:D389"/>
    <mergeCell ref="E388:F388"/>
    <mergeCell ref="E389:F389"/>
    <mergeCell ref="B121:N121"/>
    <mergeCell ref="B164:N164"/>
    <mergeCell ref="B163:N163"/>
    <mergeCell ref="E128:F129"/>
    <mergeCell ref="G128:H129"/>
    <mergeCell ref="G144:H145"/>
    <mergeCell ref="E146:F146"/>
    <mergeCell ref="E111:G111"/>
    <mergeCell ref="K111:M111"/>
    <mergeCell ref="B161:N161"/>
    <mergeCell ref="G131:H131"/>
    <mergeCell ref="E131:F131"/>
    <mergeCell ref="B126:N126"/>
    <mergeCell ref="E132:F132"/>
    <mergeCell ref="G132:H132"/>
    <mergeCell ref="B111:D111"/>
    <mergeCell ref="B7:N7"/>
    <mergeCell ref="M1:N1"/>
    <mergeCell ref="B2:L2"/>
    <mergeCell ref="B4:L4"/>
    <mergeCell ref="B6:N6"/>
    <mergeCell ref="B3:L3"/>
    <mergeCell ref="B9:D9"/>
    <mergeCell ref="G9:J9"/>
    <mergeCell ref="B10:C10"/>
    <mergeCell ref="G10:J10"/>
    <mergeCell ref="K9:M9"/>
    <mergeCell ref="K10:M10"/>
    <mergeCell ref="B23:E23"/>
    <mergeCell ref="G30:I30"/>
    <mergeCell ref="D21:F21"/>
    <mergeCell ref="B19:D19"/>
    <mergeCell ref="G19:H19"/>
    <mergeCell ref="G29:I29"/>
    <mergeCell ref="G28:H28"/>
    <mergeCell ref="B32:N32"/>
    <mergeCell ref="B16:N16"/>
    <mergeCell ref="J28:L28"/>
    <mergeCell ref="G20:I20"/>
    <mergeCell ref="G21:I21"/>
    <mergeCell ref="J19:M19"/>
    <mergeCell ref="B28:D28"/>
    <mergeCell ref="B29:C29"/>
    <mergeCell ref="J18:M18"/>
    <mergeCell ref="J27:M27"/>
    <mergeCell ref="B20:C20"/>
    <mergeCell ref="D20:F20"/>
    <mergeCell ref="B21:C21"/>
    <mergeCell ref="B25:N25"/>
    <mergeCell ref="B27:D27"/>
    <mergeCell ref="G27:H27"/>
    <mergeCell ref="B30:C30"/>
    <mergeCell ref="D11:F11"/>
    <mergeCell ref="G11:I11"/>
    <mergeCell ref="B18:D18"/>
    <mergeCell ref="B11:C11"/>
    <mergeCell ref="B12:C12"/>
    <mergeCell ref="D12:F12"/>
    <mergeCell ref="G12:I12"/>
    <mergeCell ref="G18:H18"/>
    <mergeCell ref="B14:E14"/>
    <mergeCell ref="D29:F29"/>
    <mergeCell ref="B36:N36"/>
    <mergeCell ref="K110:M110"/>
    <mergeCell ref="K109:M109"/>
    <mergeCell ref="F93:G93"/>
    <mergeCell ref="F92:G92"/>
    <mergeCell ref="E110:G110"/>
    <mergeCell ref="E109:G109"/>
    <mergeCell ref="E108:G108"/>
    <mergeCell ref="E107:G107"/>
    <mergeCell ref="E106:G106"/>
    <mergeCell ref="E105:G105"/>
    <mergeCell ref="K103:M104"/>
    <mergeCell ref="E76:F76"/>
    <mergeCell ref="E77:F77"/>
    <mergeCell ref="G77:I77"/>
    <mergeCell ref="B38:N38"/>
    <mergeCell ref="B71:N71"/>
    <mergeCell ref="B69:N69"/>
    <mergeCell ref="H108:J108"/>
    <mergeCell ref="K108:M108"/>
    <mergeCell ref="B41:J41"/>
    <mergeCell ref="B54:J54"/>
    <mergeCell ref="E78:F78"/>
    <mergeCell ref="D30:F30"/>
    <mergeCell ref="B37:N37"/>
    <mergeCell ref="B39:N39"/>
    <mergeCell ref="G78:I78"/>
    <mergeCell ref="E79:F79"/>
    <mergeCell ref="G79:I79"/>
    <mergeCell ref="E80:F80"/>
    <mergeCell ref="M93:N93"/>
    <mergeCell ref="M92:N92"/>
    <mergeCell ref="B90:C91"/>
    <mergeCell ref="D93:E93"/>
    <mergeCell ref="M90:N91"/>
    <mergeCell ref="J90:L91"/>
    <mergeCell ref="D90:E91"/>
    <mergeCell ref="B85:N85"/>
    <mergeCell ref="B84:N84"/>
    <mergeCell ref="B83:G83"/>
    <mergeCell ref="G80:I80"/>
    <mergeCell ref="B60:N60"/>
    <mergeCell ref="B34:N34"/>
    <mergeCell ref="B58:N58"/>
    <mergeCell ref="G81:I81"/>
    <mergeCell ref="F90:G91"/>
    <mergeCell ref="G74:I74"/>
    <mergeCell ref="B138:N138"/>
    <mergeCell ref="B137:N137"/>
    <mergeCell ref="B142:N142"/>
    <mergeCell ref="B141:N141"/>
    <mergeCell ref="G146:H146"/>
    <mergeCell ref="G147:H147"/>
    <mergeCell ref="E147:F147"/>
    <mergeCell ref="E133:F133"/>
    <mergeCell ref="G133:H133"/>
    <mergeCell ref="E134:F134"/>
  </mergeCells>
  <pageMargins left="0.63" right="0.25" top="0.75" bottom="0.75" header="0.3" footer="0.3"/>
  <pageSetup paperSize="9" scale="81" fitToHeight="0" orientation="portrait" r:id="rId1"/>
  <headerFooter>
    <oddFooter>&amp;CPágina &amp;P</oddFooter>
  </headerFooter>
  <rowBreaks count="8" manualBreakCount="8">
    <brk id="53" max="13" man="1"/>
    <brk id="111" max="13" man="1"/>
    <brk id="170" max="13" man="1"/>
    <brk id="227" max="13" man="1"/>
    <brk id="284" max="13" man="1"/>
    <brk id="340" max="13" man="1"/>
    <brk id="399" max="13" man="1"/>
    <brk id="458" max="13" man="1"/>
  </rowBreaks>
  <ignoredErrors>
    <ignoredError sqref="B9 E9:G9 D20 G20 B23 D29 B27 G29 G27 B18" unlockedFormula="1"/>
    <ignoredError sqref="G23 G14" numberStoredAsText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>
    <tabColor theme="1"/>
    <pageSetUpPr fitToPage="1"/>
  </sheetPr>
  <dimension ref="A1:L66"/>
  <sheetViews>
    <sheetView view="pageBreakPreview" zoomScaleNormal="100" zoomScaleSheetLayoutView="100" workbookViewId="0">
      <selection activeCell="D10" sqref="D10"/>
    </sheetView>
  </sheetViews>
  <sheetFormatPr defaultColWidth="11.42578125" defaultRowHeight="15"/>
  <cols>
    <col min="1" max="1" width="4" customWidth="1"/>
    <col min="2" max="2" width="11.42578125" customWidth="1"/>
    <col min="4" max="4" width="22.85546875" bestFit="1" customWidth="1"/>
    <col min="10" max="10" width="17.140625" customWidth="1"/>
    <col min="11" max="11" width="2.7109375" customWidth="1"/>
    <col min="12" max="12" width="2.42578125" customWidth="1"/>
  </cols>
  <sheetData>
    <row r="1" spans="1:12" ht="24" customHeight="1">
      <c r="J1" s="134" t="s">
        <v>698</v>
      </c>
    </row>
    <row r="2" spans="1:12" ht="18">
      <c r="A2" s="70"/>
      <c r="C2" s="924" t="s">
        <v>637</v>
      </c>
      <c r="D2" s="924"/>
      <c r="E2" s="924"/>
      <c r="F2" s="924"/>
      <c r="G2" s="924"/>
      <c r="H2" s="924"/>
      <c r="I2" s="924"/>
      <c r="J2" s="133"/>
      <c r="K2" s="70"/>
    </row>
    <row r="3" spans="1:12">
      <c r="A3" s="70"/>
      <c r="B3" s="70"/>
      <c r="C3" s="70"/>
      <c r="D3" s="70"/>
      <c r="E3" s="129"/>
      <c r="F3" s="129"/>
      <c r="G3" s="129"/>
      <c r="H3" s="70"/>
      <c r="I3" s="70"/>
      <c r="J3" s="70"/>
      <c r="K3" s="70"/>
    </row>
    <row r="4" spans="1:12" ht="15" customHeight="1">
      <c r="A4" s="70"/>
      <c r="B4" s="100" t="s">
        <v>636</v>
      </c>
      <c r="C4" s="925" t="s">
        <v>673</v>
      </c>
      <c r="D4" s="925"/>
      <c r="E4" s="925"/>
      <c r="F4" s="100" t="s">
        <v>492</v>
      </c>
      <c r="G4" s="102" t="s">
        <v>672</v>
      </c>
      <c r="H4" s="98" t="s">
        <v>675</v>
      </c>
      <c r="J4" s="70"/>
      <c r="K4" s="70"/>
    </row>
    <row r="5" spans="1:12" ht="15" customHeight="1">
      <c r="A5" s="70"/>
      <c r="B5" s="841" t="s">
        <v>674</v>
      </c>
      <c r="C5" s="841"/>
      <c r="D5" s="100">
        <v>41952954</v>
      </c>
      <c r="E5" s="806" t="s">
        <v>676</v>
      </c>
      <c r="F5" s="806"/>
      <c r="G5" s="806"/>
      <c r="H5" s="806"/>
      <c r="I5" s="806"/>
      <c r="J5" s="806"/>
      <c r="K5" s="70"/>
    </row>
    <row r="6" spans="1:12" ht="15" customHeight="1">
      <c r="A6" s="70"/>
      <c r="B6" s="806" t="s">
        <v>635</v>
      </c>
      <c r="C6" s="806"/>
      <c r="D6" s="806"/>
      <c r="E6" s="806"/>
      <c r="F6" s="806"/>
      <c r="G6" s="51"/>
      <c r="H6" s="51"/>
      <c r="I6" s="51"/>
      <c r="J6" s="70"/>
      <c r="K6" s="70"/>
    </row>
    <row r="7" spans="1:12" ht="11.25" customHeight="1">
      <c r="A7" s="70"/>
      <c r="B7" s="120"/>
      <c r="C7" s="120"/>
      <c r="D7" s="120"/>
      <c r="E7" s="120"/>
      <c r="F7" s="120"/>
      <c r="G7" s="120"/>
      <c r="H7" s="120"/>
      <c r="I7" s="120"/>
      <c r="J7" s="120"/>
      <c r="K7" s="70"/>
    </row>
    <row r="8" spans="1:12" ht="30" customHeight="1">
      <c r="A8" s="119"/>
      <c r="B8" s="921" t="str">
        <f>DATOS!D20</f>
        <v>-</v>
      </c>
      <c r="C8" s="921"/>
      <c r="D8" s="117" t="str">
        <f>DATOS!D21</f>
        <v>-</v>
      </c>
      <c r="E8" s="117" t="str">
        <f>DATOS!D22</f>
        <v>-</v>
      </c>
      <c r="F8" s="839" t="str">
        <f>DATOS!D23</f>
        <v>-</v>
      </c>
      <c r="G8" s="839"/>
      <c r="H8" s="127" t="s">
        <v>49</v>
      </c>
      <c r="I8" s="922" t="s">
        <v>49</v>
      </c>
      <c r="J8" s="922"/>
      <c r="K8" s="126"/>
      <c r="L8" s="132"/>
    </row>
    <row r="9" spans="1:12" ht="13.5" customHeight="1">
      <c r="B9" s="805" t="s">
        <v>213</v>
      </c>
      <c r="C9" s="805"/>
      <c r="D9" s="112" t="s">
        <v>27</v>
      </c>
      <c r="E9" s="131" t="s">
        <v>147</v>
      </c>
      <c r="F9" s="805" t="s">
        <v>214</v>
      </c>
      <c r="G9" s="805"/>
      <c r="H9" s="130" t="s">
        <v>207</v>
      </c>
      <c r="I9" s="923" t="s">
        <v>862</v>
      </c>
      <c r="J9" s="923"/>
      <c r="K9" s="109"/>
      <c r="L9" s="111"/>
    </row>
    <row r="10" spans="1:12" ht="15" customHeight="1">
      <c r="B10" s="920" t="s">
        <v>201</v>
      </c>
      <c r="C10" s="920"/>
      <c r="D10" s="117" t="s">
        <v>201</v>
      </c>
      <c r="E10" s="920" t="s">
        <v>663</v>
      </c>
      <c r="F10" s="920"/>
      <c r="G10" s="920"/>
      <c r="J10" s="70"/>
      <c r="K10" s="70"/>
      <c r="L10" s="51"/>
    </row>
    <row r="11" spans="1:12" ht="13.5" customHeight="1">
      <c r="B11" s="805" t="s">
        <v>87</v>
      </c>
      <c r="C11" s="805"/>
      <c r="D11" s="130" t="s">
        <v>146</v>
      </c>
      <c r="E11" s="805" t="s">
        <v>26</v>
      </c>
      <c r="F11" s="805"/>
      <c r="G11" s="805"/>
      <c r="J11" s="110"/>
      <c r="K11" s="70"/>
      <c r="L11" s="15"/>
    </row>
    <row r="12" spans="1:12" ht="9.75" customHeight="1">
      <c r="B12" s="109"/>
      <c r="C12" s="109"/>
      <c r="D12" s="109"/>
      <c r="E12" s="109"/>
      <c r="F12" s="109"/>
      <c r="G12" s="109"/>
      <c r="H12" s="109"/>
      <c r="I12" s="109"/>
      <c r="J12" s="110"/>
      <c r="K12" s="70"/>
      <c r="L12" s="15"/>
    </row>
    <row r="13" spans="1:12" ht="15" customHeight="1">
      <c r="A13" s="70"/>
      <c r="B13" s="806" t="s">
        <v>634</v>
      </c>
      <c r="C13" s="806"/>
      <c r="D13" s="806"/>
      <c r="E13" s="806"/>
      <c r="F13" s="806"/>
      <c r="G13" s="806"/>
      <c r="H13" s="806"/>
      <c r="I13" s="806"/>
      <c r="J13" s="806"/>
      <c r="K13" s="51"/>
    </row>
    <row r="14" spans="1:12" ht="15" customHeight="1">
      <c r="A14" s="70"/>
      <c r="B14" s="806" t="s">
        <v>733</v>
      </c>
      <c r="C14" s="806"/>
      <c r="D14" s="806"/>
      <c r="E14" s="806"/>
      <c r="F14" s="806"/>
      <c r="G14" s="806"/>
      <c r="H14" s="806"/>
      <c r="I14" s="806"/>
      <c r="J14" s="806"/>
      <c r="K14" s="51"/>
    </row>
    <row r="15" spans="1:12" ht="15" customHeight="1">
      <c r="A15" s="70"/>
      <c r="B15" s="806" t="s">
        <v>633</v>
      </c>
      <c r="C15" s="806"/>
      <c r="D15" s="806"/>
      <c r="E15" s="806"/>
      <c r="F15" s="806"/>
      <c r="G15" s="806"/>
      <c r="H15" s="806"/>
      <c r="I15" s="806"/>
      <c r="J15" s="806"/>
      <c r="K15" s="51"/>
    </row>
    <row r="16" spans="1:12" ht="15" customHeight="1">
      <c r="A16" s="70"/>
      <c r="B16" s="806" t="s">
        <v>632</v>
      </c>
      <c r="C16" s="806"/>
      <c r="D16" s="806"/>
      <c r="E16" s="806"/>
      <c r="F16" s="806"/>
      <c r="G16" s="806"/>
      <c r="H16" s="806"/>
      <c r="I16" s="806"/>
      <c r="J16" s="806"/>
      <c r="K16" s="51"/>
    </row>
    <row r="17" spans="1:12" ht="15" customHeight="1">
      <c r="A17" s="70"/>
      <c r="B17" s="926" t="s">
        <v>631</v>
      </c>
      <c r="C17" s="926"/>
      <c r="D17" s="926"/>
      <c r="E17" s="926"/>
      <c r="F17" s="926"/>
      <c r="G17" s="926"/>
      <c r="H17" s="926"/>
      <c r="I17" s="926"/>
      <c r="J17" s="926"/>
      <c r="K17" s="51"/>
    </row>
    <row r="18" spans="1:12" ht="11.25" customHeight="1">
      <c r="A18" s="70"/>
      <c r="B18" s="70"/>
      <c r="C18" s="70"/>
      <c r="D18" s="70"/>
      <c r="E18" s="129"/>
      <c r="F18" s="129"/>
      <c r="G18" s="129"/>
      <c r="H18" s="70"/>
      <c r="I18" s="70"/>
      <c r="J18" s="70"/>
      <c r="K18" s="70"/>
    </row>
    <row r="19" spans="1:12" ht="18" customHeight="1">
      <c r="A19" s="70"/>
      <c r="B19" s="70"/>
      <c r="C19" s="70"/>
      <c r="D19" s="70"/>
      <c r="E19" s="927" t="s">
        <v>630</v>
      </c>
      <c r="F19" s="927"/>
      <c r="G19" s="129"/>
      <c r="H19" s="70"/>
      <c r="I19" s="70"/>
      <c r="J19" s="70"/>
      <c r="K19" s="70"/>
    </row>
    <row r="20" spans="1:12" ht="15" customHeight="1">
      <c r="A20" s="70"/>
      <c r="B20" s="70"/>
      <c r="C20" s="99"/>
      <c r="D20" s="99"/>
      <c r="E20" s="99"/>
      <c r="F20" s="70"/>
      <c r="G20" s="70"/>
      <c r="H20" s="928">
        <v>45401</v>
      </c>
      <c r="I20" s="928"/>
      <c r="J20" s="928"/>
      <c r="K20" s="70"/>
      <c r="L20" s="128"/>
    </row>
    <row r="21" spans="1:12" ht="15" customHeight="1">
      <c r="A21" s="70"/>
      <c r="B21" s="806" t="s">
        <v>629</v>
      </c>
      <c r="C21" s="806"/>
      <c r="D21" s="100"/>
      <c r="E21" s="100"/>
      <c r="F21" s="51"/>
      <c r="G21" s="51"/>
      <c r="H21" s="103"/>
      <c r="I21" s="103"/>
      <c r="J21" s="103"/>
      <c r="K21" s="70"/>
      <c r="L21" s="128"/>
    </row>
    <row r="22" spans="1:12" ht="15" customHeight="1">
      <c r="A22" s="70"/>
      <c r="B22" s="806" t="s">
        <v>628</v>
      </c>
      <c r="C22" s="806"/>
      <c r="D22" s="806"/>
      <c r="E22" s="806"/>
      <c r="F22" s="806"/>
      <c r="G22" s="806"/>
      <c r="H22" s="806"/>
      <c r="I22" s="806"/>
      <c r="J22" s="806"/>
      <c r="K22" s="70"/>
      <c r="L22" s="60"/>
    </row>
    <row r="23" spans="1:12" ht="10.5" customHeight="1">
      <c r="A23" s="70"/>
      <c r="B23" s="120"/>
      <c r="C23" s="120"/>
      <c r="D23" s="120"/>
      <c r="E23" s="120"/>
      <c r="F23" s="120"/>
      <c r="G23" s="120"/>
      <c r="H23" s="120"/>
      <c r="I23" s="120"/>
      <c r="J23" s="120"/>
      <c r="K23" s="70"/>
      <c r="L23" s="60"/>
    </row>
    <row r="24" spans="1:12" ht="30" customHeight="1">
      <c r="A24" s="119"/>
      <c r="B24" s="839" t="str">
        <f>B8</f>
        <v>-</v>
      </c>
      <c r="C24" s="839"/>
      <c r="D24" s="839"/>
      <c r="E24" s="117" t="str">
        <f>DATOS!D21</f>
        <v>-</v>
      </c>
      <c r="F24" s="118" t="str">
        <f>E8</f>
        <v>-</v>
      </c>
      <c r="G24" s="839" t="str">
        <f>F8</f>
        <v>-</v>
      </c>
      <c r="H24" s="839"/>
      <c r="I24" s="117" t="s">
        <v>49</v>
      </c>
      <c r="J24" s="126"/>
      <c r="L24" s="116"/>
    </row>
    <row r="25" spans="1:12" ht="13.5" customHeight="1">
      <c r="B25" s="929" t="s">
        <v>213</v>
      </c>
      <c r="C25" s="929"/>
      <c r="D25" s="929"/>
      <c r="E25" s="115" t="s">
        <v>27</v>
      </c>
      <c r="F25" s="114" t="s">
        <v>147</v>
      </c>
      <c r="G25" s="929" t="s">
        <v>214</v>
      </c>
      <c r="H25" s="929"/>
      <c r="I25" s="115" t="s">
        <v>207</v>
      </c>
      <c r="J25" s="112"/>
      <c r="L25" s="111"/>
    </row>
    <row r="26" spans="1:12" ht="15" customHeight="1">
      <c r="B26" s="920" t="s">
        <v>201</v>
      </c>
      <c r="C26" s="920"/>
      <c r="D26" s="920"/>
      <c r="E26" s="920" t="str">
        <f>D10</f>
        <v>LIMA</v>
      </c>
      <c r="F26" s="920"/>
      <c r="G26" s="920" t="str">
        <f>E10</f>
        <v>SAN BORJA</v>
      </c>
      <c r="H26" s="920"/>
      <c r="I26" s="920"/>
      <c r="J26" s="70"/>
      <c r="K26" s="70"/>
      <c r="L26" s="51"/>
    </row>
    <row r="27" spans="1:12" ht="13.5" customHeight="1">
      <c r="B27" s="929" t="s">
        <v>87</v>
      </c>
      <c r="C27" s="929"/>
      <c r="D27" s="929"/>
      <c r="E27" s="929" t="s">
        <v>146</v>
      </c>
      <c r="F27" s="929"/>
      <c r="G27" s="929" t="s">
        <v>26</v>
      </c>
      <c r="H27" s="929"/>
      <c r="I27" s="929"/>
      <c r="J27" s="110"/>
      <c r="K27" s="70"/>
      <c r="L27" s="15"/>
    </row>
    <row r="28" spans="1:12" ht="11.25" customHeight="1">
      <c r="A28" s="109"/>
      <c r="B28" s="109"/>
      <c r="C28" s="109"/>
      <c r="D28" s="109"/>
      <c r="E28" s="109"/>
      <c r="F28" s="109"/>
      <c r="G28" s="109"/>
      <c r="H28" s="109"/>
      <c r="I28" s="109"/>
      <c r="J28" s="110"/>
      <c r="K28" s="70"/>
      <c r="L28" s="15"/>
    </row>
    <row r="29" spans="1:12" ht="15" customHeight="1">
      <c r="B29" s="806" t="s">
        <v>627</v>
      </c>
      <c r="C29" s="806"/>
      <c r="D29" s="806"/>
      <c r="E29" s="806"/>
      <c r="F29" s="806"/>
      <c r="G29" s="806"/>
      <c r="H29" s="806"/>
      <c r="I29" s="806"/>
      <c r="J29" s="806"/>
      <c r="K29" s="70"/>
      <c r="L29" s="60"/>
    </row>
    <row r="30" spans="1:12" ht="15" customHeight="1">
      <c r="A30" s="70"/>
      <c r="B30" s="806" t="s">
        <v>626</v>
      </c>
      <c r="C30" s="806"/>
      <c r="D30" s="806"/>
      <c r="E30" s="70"/>
      <c r="F30" s="70"/>
      <c r="G30" s="70"/>
      <c r="H30" s="70"/>
      <c r="I30" s="70"/>
      <c r="J30" s="70"/>
      <c r="K30" s="70"/>
      <c r="L30" s="60"/>
    </row>
    <row r="31" spans="1:12" ht="11.25" customHeight="1" thickBot="1">
      <c r="A31" s="70"/>
      <c r="B31" s="99"/>
      <c r="C31" s="99"/>
      <c r="D31" s="99"/>
      <c r="E31" s="99"/>
      <c r="F31" s="99"/>
      <c r="G31" s="99"/>
      <c r="H31" s="99"/>
      <c r="I31" s="99"/>
      <c r="J31" s="99"/>
      <c r="K31" s="70"/>
      <c r="L31" s="60"/>
    </row>
    <row r="32" spans="1:12" ht="18" customHeight="1" thickBot="1">
      <c r="A32" s="70"/>
      <c r="B32" s="930" t="s">
        <v>625</v>
      </c>
      <c r="C32" s="931"/>
      <c r="D32" s="931"/>
      <c r="E32" s="931"/>
      <c r="F32" s="930" t="s">
        <v>624</v>
      </c>
      <c r="G32" s="931"/>
      <c r="H32" s="931"/>
      <c r="I32" s="932"/>
      <c r="J32" s="70"/>
      <c r="K32" s="70"/>
      <c r="L32" s="60"/>
    </row>
    <row r="33" spans="1:12" ht="18" customHeight="1">
      <c r="A33" s="70"/>
      <c r="B33" s="125"/>
      <c r="C33" s="100" t="s">
        <v>623</v>
      </c>
      <c r="D33" s="933">
        <v>45409</v>
      </c>
      <c r="E33" s="934"/>
      <c r="F33" s="124" t="s">
        <v>623</v>
      </c>
      <c r="G33" s="933">
        <f>D33</f>
        <v>45409</v>
      </c>
      <c r="H33" s="933"/>
      <c r="I33" s="934"/>
      <c r="J33" s="70"/>
      <c r="K33" s="70"/>
      <c r="L33" s="60"/>
    </row>
    <row r="34" spans="1:12" ht="18" customHeight="1" thickBot="1">
      <c r="A34" s="70"/>
      <c r="B34" s="123"/>
      <c r="C34" s="122" t="s">
        <v>622</v>
      </c>
      <c r="D34" s="935">
        <v>0.45833333333333331</v>
      </c>
      <c r="E34" s="936"/>
      <c r="F34" s="121" t="s">
        <v>622</v>
      </c>
      <c r="G34" s="937">
        <v>0.58333333333333337</v>
      </c>
      <c r="H34" s="937"/>
      <c r="I34" s="938"/>
      <c r="J34" s="70"/>
      <c r="K34" s="70"/>
      <c r="L34" s="60"/>
    </row>
    <row r="35" spans="1:12" ht="11.25" customHeight="1">
      <c r="A35" s="70"/>
      <c r="B35" s="99"/>
      <c r="C35" s="99"/>
      <c r="D35" s="99"/>
      <c r="E35" s="99"/>
      <c r="F35" s="99"/>
      <c r="G35" s="99"/>
      <c r="H35" s="99"/>
      <c r="I35" s="99"/>
      <c r="J35" s="70"/>
      <c r="K35" s="70"/>
      <c r="L35" s="60"/>
    </row>
    <row r="36" spans="1:12" ht="18" customHeight="1">
      <c r="A36" s="70"/>
      <c r="B36" s="806" t="s">
        <v>681</v>
      </c>
      <c r="C36" s="806"/>
      <c r="D36" s="806"/>
      <c r="E36" s="806"/>
      <c r="F36" s="806"/>
      <c r="G36" s="806"/>
      <c r="H36" s="806"/>
      <c r="I36" s="806"/>
      <c r="J36" s="806"/>
      <c r="K36" s="70"/>
      <c r="L36" s="107"/>
    </row>
    <row r="37" spans="1:12" ht="12" customHeight="1">
      <c r="A37" s="70"/>
      <c r="B37" s="120"/>
      <c r="C37" s="120"/>
      <c r="D37" s="120"/>
      <c r="E37" s="120"/>
      <c r="F37" s="120"/>
      <c r="G37" s="120"/>
      <c r="H37" s="120"/>
      <c r="I37" s="120"/>
      <c r="J37" s="120"/>
      <c r="K37" s="70"/>
      <c r="L37" s="107"/>
    </row>
    <row r="38" spans="1:12" ht="34.5" customHeight="1">
      <c r="A38" s="119"/>
      <c r="B38" s="839" t="str">
        <f>B24</f>
        <v>-</v>
      </c>
      <c r="C38" s="839"/>
      <c r="D38" s="839"/>
      <c r="E38" s="117" t="str">
        <f>DATOS!D21</f>
        <v>-</v>
      </c>
      <c r="F38" s="118" t="str">
        <f>DATOS!D22</f>
        <v>-</v>
      </c>
      <c r="G38" s="839" t="str">
        <f>G24</f>
        <v>-</v>
      </c>
      <c r="H38" s="839"/>
      <c r="I38" s="117" t="s">
        <v>49</v>
      </c>
      <c r="J38" s="183" t="s">
        <v>678</v>
      </c>
      <c r="L38" s="116"/>
    </row>
    <row r="39" spans="1:12" ht="15" customHeight="1">
      <c r="B39" s="929" t="s">
        <v>213</v>
      </c>
      <c r="C39" s="929"/>
      <c r="D39" s="929"/>
      <c r="E39" s="115" t="s">
        <v>27</v>
      </c>
      <c r="F39" s="114" t="s">
        <v>147</v>
      </c>
      <c r="G39" s="929" t="s">
        <v>214</v>
      </c>
      <c r="H39" s="929"/>
      <c r="I39" s="113" t="s">
        <v>207</v>
      </c>
      <c r="J39" s="112" t="s">
        <v>215</v>
      </c>
      <c r="L39" s="111"/>
    </row>
    <row r="40" spans="1:12" ht="18" customHeight="1">
      <c r="B40" s="920" t="s">
        <v>201</v>
      </c>
      <c r="C40" s="920"/>
      <c r="D40" s="920"/>
      <c r="E40" s="839" t="s">
        <v>201</v>
      </c>
      <c r="F40" s="839"/>
      <c r="G40" s="920" t="str">
        <f>G26</f>
        <v>SAN BORJA</v>
      </c>
      <c r="H40" s="920"/>
      <c r="I40" s="920"/>
      <c r="J40" s="70"/>
      <c r="K40" s="70"/>
      <c r="L40" s="51"/>
    </row>
    <row r="41" spans="1:12" ht="18" customHeight="1">
      <c r="B41" s="929" t="s">
        <v>87</v>
      </c>
      <c r="C41" s="929"/>
      <c r="D41" s="929"/>
      <c r="E41" s="929" t="s">
        <v>146</v>
      </c>
      <c r="F41" s="929"/>
      <c r="G41" s="929" t="s">
        <v>26</v>
      </c>
      <c r="H41" s="929"/>
      <c r="I41" s="929"/>
      <c r="J41" s="110"/>
      <c r="K41" s="70"/>
      <c r="L41" s="15"/>
    </row>
    <row r="42" spans="1:12" ht="15" customHeight="1">
      <c r="A42" s="109"/>
      <c r="B42" s="830" t="s">
        <v>621</v>
      </c>
      <c r="C42" s="830"/>
      <c r="D42" s="108"/>
      <c r="E42" s="108"/>
      <c r="F42" s="108"/>
      <c r="G42" s="108"/>
      <c r="H42" s="108"/>
      <c r="I42" s="108"/>
      <c r="J42" s="108"/>
      <c r="K42" s="108"/>
      <c r="L42" s="107"/>
    </row>
    <row r="43" spans="1:12" s="71" customFormat="1" ht="15" customHeight="1">
      <c r="A43" s="106"/>
      <c r="B43" s="908" t="s">
        <v>738</v>
      </c>
      <c r="C43" s="908"/>
      <c r="D43" s="908"/>
      <c r="E43" s="908"/>
      <c r="F43" s="908"/>
      <c r="G43" s="908"/>
      <c r="H43" s="908"/>
      <c r="I43" s="908"/>
      <c r="J43" s="908"/>
      <c r="K43" s="59"/>
      <c r="L43" s="105"/>
    </row>
    <row r="44" spans="1:12" s="71" customFormat="1" ht="15" customHeight="1">
      <c r="A44" s="94"/>
      <c r="B44" s="939" t="s">
        <v>737</v>
      </c>
      <c r="C44" s="939"/>
      <c r="D44" s="939"/>
      <c r="E44" s="939"/>
      <c r="F44" s="939"/>
      <c r="G44" s="939"/>
      <c r="H44" s="939"/>
      <c r="I44" s="939"/>
      <c r="J44" s="939"/>
      <c r="K44" s="94"/>
      <c r="L44" s="105"/>
    </row>
    <row r="45" spans="1:12" s="71" customFormat="1" ht="15" customHeight="1">
      <c r="A45" s="94"/>
      <c r="B45" s="940" t="s">
        <v>739</v>
      </c>
      <c r="C45" s="940"/>
      <c r="D45" s="940"/>
      <c r="E45" s="940"/>
      <c r="F45" s="940"/>
      <c r="G45" s="940"/>
      <c r="H45" s="940"/>
      <c r="I45" s="940"/>
      <c r="J45" s="940"/>
      <c r="K45" s="94"/>
      <c r="L45" s="105"/>
    </row>
    <row r="46" spans="1:12" s="71" customFormat="1" ht="15" customHeight="1">
      <c r="A46" s="94"/>
      <c r="B46" s="908" t="s">
        <v>743</v>
      </c>
      <c r="C46" s="908"/>
      <c r="D46" s="908"/>
      <c r="E46" s="908"/>
      <c r="F46" s="908"/>
      <c r="G46" s="908"/>
      <c r="H46" s="908"/>
      <c r="I46" s="908"/>
      <c r="J46" s="908"/>
      <c r="K46" s="94"/>
      <c r="L46" s="105"/>
    </row>
    <row r="47" spans="1:12" s="153" customFormat="1" ht="15" customHeight="1">
      <c r="A47" s="151"/>
      <c r="B47" s="944" t="s">
        <v>749</v>
      </c>
      <c r="C47" s="944"/>
      <c r="D47" s="944"/>
      <c r="E47" s="944"/>
      <c r="F47" s="944"/>
      <c r="G47" s="944"/>
      <c r="H47" s="944"/>
      <c r="I47" s="944"/>
      <c r="J47" s="944"/>
      <c r="K47" s="151"/>
      <c r="L47" s="152"/>
    </row>
    <row r="48" spans="1:12" s="153" customFormat="1" ht="15" customHeight="1">
      <c r="A48" s="151"/>
      <c r="B48" s="948" t="s">
        <v>748</v>
      </c>
      <c r="C48" s="948"/>
      <c r="D48" s="948"/>
      <c r="E48" s="948"/>
      <c r="F48" s="948"/>
      <c r="G48" s="948"/>
      <c r="H48" s="948"/>
      <c r="I48" s="948"/>
      <c r="J48" s="206"/>
      <c r="K48" s="151"/>
      <c r="L48" s="152"/>
    </row>
    <row r="49" spans="1:11" s="71" customFormat="1" ht="15" customHeight="1">
      <c r="A49" s="94"/>
      <c r="B49" s="908" t="s">
        <v>812</v>
      </c>
      <c r="C49" s="908"/>
      <c r="D49" s="908"/>
      <c r="E49" s="908"/>
      <c r="F49" s="908"/>
      <c r="G49" s="908"/>
      <c r="H49" s="908"/>
      <c r="I49" s="908"/>
      <c r="J49" s="908"/>
      <c r="K49" s="94"/>
    </row>
    <row r="50" spans="1:11" s="71" customFormat="1" ht="15" customHeight="1">
      <c r="A50" s="94"/>
      <c r="B50" s="908" t="s">
        <v>740</v>
      </c>
      <c r="C50" s="908"/>
      <c r="D50" s="908"/>
      <c r="E50" s="908"/>
      <c r="F50" s="908"/>
      <c r="G50" s="908"/>
      <c r="H50" s="908"/>
      <c r="I50" s="908"/>
      <c r="J50" s="908"/>
      <c r="K50" s="94"/>
    </row>
    <row r="51" spans="1:11" s="71" customFormat="1" ht="15" customHeight="1">
      <c r="A51" s="94"/>
      <c r="B51" s="908" t="s">
        <v>741</v>
      </c>
      <c r="C51" s="908"/>
      <c r="D51" s="908"/>
      <c r="E51" s="908"/>
      <c r="F51" s="908"/>
      <c r="G51" s="908"/>
      <c r="H51" s="908"/>
      <c r="I51" s="908"/>
      <c r="J51" s="908"/>
      <c r="K51" s="94"/>
    </row>
    <row r="52" spans="1:11" s="71" customFormat="1" ht="15" customHeight="1">
      <c r="A52" s="94"/>
      <c r="B52" s="782" t="s">
        <v>736</v>
      </c>
      <c r="C52" s="908"/>
      <c r="D52" s="908"/>
      <c r="E52" s="908"/>
      <c r="F52" s="908"/>
      <c r="G52" s="908"/>
      <c r="H52" s="908"/>
      <c r="I52" s="908"/>
      <c r="J52" s="908"/>
      <c r="K52" s="94"/>
    </row>
    <row r="53" spans="1:11" s="71" customFormat="1" ht="15" customHeight="1">
      <c r="A53" s="94"/>
      <c r="B53" s="908" t="s">
        <v>742</v>
      </c>
      <c r="C53" s="908"/>
      <c r="D53" s="908"/>
      <c r="E53" s="908"/>
      <c r="F53" s="908"/>
      <c r="G53" s="908"/>
      <c r="H53" s="908"/>
      <c r="I53" s="908"/>
      <c r="J53" s="908"/>
      <c r="K53" s="94"/>
    </row>
    <row r="54" spans="1:11" s="71" customFormat="1" ht="15" customHeight="1">
      <c r="A54" s="94"/>
      <c r="B54" s="782" t="s">
        <v>735</v>
      </c>
      <c r="C54" s="908"/>
      <c r="D54" s="908"/>
      <c r="E54" s="908"/>
      <c r="F54" s="908"/>
      <c r="G54" s="908"/>
      <c r="H54" s="908"/>
      <c r="I54" s="908"/>
      <c r="J54" s="908"/>
      <c r="K54" s="94"/>
    </row>
    <row r="55" spans="1:11" s="71" customFormat="1" ht="11.25" customHeight="1">
      <c r="A55" s="94"/>
      <c r="J55" s="104"/>
      <c r="K55" s="94"/>
    </row>
    <row r="56" spans="1:11" ht="15" customHeight="1">
      <c r="A56" s="70"/>
      <c r="B56" s="841" t="s">
        <v>823</v>
      </c>
      <c r="C56" s="841"/>
      <c r="D56" s="841"/>
      <c r="E56" s="841"/>
      <c r="F56" s="841"/>
      <c r="G56" s="841"/>
      <c r="H56" s="841"/>
      <c r="I56" s="841"/>
      <c r="J56" s="841"/>
      <c r="K56" s="70"/>
    </row>
    <row r="57" spans="1:11" ht="11.25" customHeight="1">
      <c r="A57" s="70"/>
      <c r="B57" s="70"/>
      <c r="C57" s="70"/>
      <c r="D57" s="70"/>
      <c r="E57" s="70"/>
      <c r="F57" s="70"/>
      <c r="G57" s="70"/>
      <c r="H57" s="70"/>
      <c r="I57" s="70"/>
      <c r="J57" s="70"/>
      <c r="K57" s="70"/>
    </row>
    <row r="58" spans="1:11" ht="13.5" customHeight="1">
      <c r="A58" s="70"/>
      <c r="B58" s="941"/>
      <c r="C58" s="941"/>
      <c r="D58" s="941"/>
      <c r="F58" s="945"/>
      <c r="G58" s="945"/>
      <c r="H58" s="945"/>
      <c r="I58" s="945"/>
      <c r="J58" s="70"/>
      <c r="K58" s="70"/>
    </row>
    <row r="59" spans="1:11" ht="13.5" customHeight="1">
      <c r="A59" s="70"/>
      <c r="B59" s="941"/>
      <c r="C59" s="941"/>
      <c r="D59" s="941"/>
      <c r="F59" s="945"/>
      <c r="G59" s="945"/>
      <c r="H59" s="945"/>
      <c r="I59" s="945"/>
      <c r="J59" s="70"/>
      <c r="K59" s="70"/>
    </row>
    <row r="60" spans="1:11" ht="13.5" customHeight="1">
      <c r="A60" s="70"/>
      <c r="B60" s="941"/>
      <c r="C60" s="941"/>
      <c r="D60" s="941"/>
      <c r="F60" s="945"/>
      <c r="G60" s="945"/>
      <c r="H60" s="945"/>
      <c r="I60" s="945"/>
      <c r="J60" s="70"/>
      <c r="K60" s="70"/>
    </row>
    <row r="61" spans="1:11" ht="13.5" customHeight="1">
      <c r="A61" s="70"/>
      <c r="B61" s="941"/>
      <c r="C61" s="941"/>
      <c r="D61" s="941"/>
      <c r="F61" s="945"/>
      <c r="G61" s="945"/>
      <c r="H61" s="945"/>
      <c r="I61" s="945"/>
      <c r="K61" s="70"/>
    </row>
    <row r="62" spans="1:11" ht="13.5" customHeight="1">
      <c r="B62" s="941"/>
      <c r="C62" s="941"/>
      <c r="D62" s="941"/>
      <c r="F62" s="945"/>
      <c r="G62" s="945"/>
      <c r="H62" s="945"/>
      <c r="I62" s="945"/>
    </row>
    <row r="63" spans="1:11" ht="13.5" customHeight="1" thickBot="1">
      <c r="B63" s="863"/>
      <c r="C63" s="863"/>
      <c r="D63" s="863"/>
      <c r="F63" s="946"/>
      <c r="G63" s="946"/>
      <c r="H63" s="946"/>
      <c r="I63" s="946"/>
    </row>
    <row r="64" spans="1:11">
      <c r="B64" s="942" t="str">
        <f>C4</f>
        <v>TORRES SALHUANA CLAUDIA CONSUELO</v>
      </c>
      <c r="C64" s="942"/>
      <c r="D64" s="942"/>
      <c r="F64" s="947" t="s">
        <v>686</v>
      </c>
      <c r="G64" s="947"/>
      <c r="H64" s="947"/>
      <c r="I64" s="947"/>
    </row>
    <row r="65" spans="2:10">
      <c r="B65" s="862" t="s">
        <v>699</v>
      </c>
      <c r="C65" s="862"/>
      <c r="D65" s="862"/>
      <c r="F65" s="427" t="s">
        <v>700</v>
      </c>
      <c r="G65" s="427"/>
      <c r="H65" s="427"/>
      <c r="I65" s="427"/>
      <c r="J65" s="70"/>
    </row>
    <row r="66" spans="2:10">
      <c r="B66" s="943" t="s">
        <v>620</v>
      </c>
      <c r="C66" s="943"/>
      <c r="D66" s="943"/>
    </row>
  </sheetData>
  <mergeCells count="74">
    <mergeCell ref="B58:D63"/>
    <mergeCell ref="B64:D64"/>
    <mergeCell ref="B66:D66"/>
    <mergeCell ref="B47:J47"/>
    <mergeCell ref="B49:J49"/>
    <mergeCell ref="B65:D65"/>
    <mergeCell ref="F58:I63"/>
    <mergeCell ref="F64:I64"/>
    <mergeCell ref="F65:I65"/>
    <mergeCell ref="B50:J50"/>
    <mergeCell ref="B51:J51"/>
    <mergeCell ref="B53:J53"/>
    <mergeCell ref="B52:J52"/>
    <mergeCell ref="B54:J54"/>
    <mergeCell ref="B48:I48"/>
    <mergeCell ref="B56:J56"/>
    <mergeCell ref="B39:D39"/>
    <mergeCell ref="G39:H39"/>
    <mergeCell ref="B40:D40"/>
    <mergeCell ref="E40:F40"/>
    <mergeCell ref="G40:I40"/>
    <mergeCell ref="B44:J44"/>
    <mergeCell ref="B45:J45"/>
    <mergeCell ref="B46:J46"/>
    <mergeCell ref="B41:D41"/>
    <mergeCell ref="E41:F41"/>
    <mergeCell ref="G41:I41"/>
    <mergeCell ref="B42:C42"/>
    <mergeCell ref="B43:J43"/>
    <mergeCell ref="B32:E32"/>
    <mergeCell ref="F32:I32"/>
    <mergeCell ref="B36:J36"/>
    <mergeCell ref="B38:D38"/>
    <mergeCell ref="G38:H38"/>
    <mergeCell ref="D33:E33"/>
    <mergeCell ref="G33:I33"/>
    <mergeCell ref="D34:E34"/>
    <mergeCell ref="G34:I34"/>
    <mergeCell ref="B27:D27"/>
    <mergeCell ref="E27:F27"/>
    <mergeCell ref="G27:I27"/>
    <mergeCell ref="B29:J29"/>
    <mergeCell ref="B30:D30"/>
    <mergeCell ref="B25:D25"/>
    <mergeCell ref="G25:H25"/>
    <mergeCell ref="B26:D26"/>
    <mergeCell ref="E26:F26"/>
    <mergeCell ref="G26:I26"/>
    <mergeCell ref="E19:F19"/>
    <mergeCell ref="H20:J20"/>
    <mergeCell ref="B21:C21"/>
    <mergeCell ref="B22:J22"/>
    <mergeCell ref="B24:D24"/>
    <mergeCell ref="G24:H24"/>
    <mergeCell ref="B13:J13"/>
    <mergeCell ref="B14:J14"/>
    <mergeCell ref="B15:J15"/>
    <mergeCell ref="B16:J16"/>
    <mergeCell ref="B17:J17"/>
    <mergeCell ref="I8:J8"/>
    <mergeCell ref="B9:C9"/>
    <mergeCell ref="F9:G9"/>
    <mergeCell ref="I9:J9"/>
    <mergeCell ref="C2:I2"/>
    <mergeCell ref="C4:E4"/>
    <mergeCell ref="B5:C5"/>
    <mergeCell ref="E5:J5"/>
    <mergeCell ref="B6:F6"/>
    <mergeCell ref="B10:C10"/>
    <mergeCell ref="E10:G10"/>
    <mergeCell ref="B11:C11"/>
    <mergeCell ref="E11:G11"/>
    <mergeCell ref="B8:C8"/>
    <mergeCell ref="F8:G8"/>
  </mergeCells>
  <pageMargins left="0.8" right="0" top="0.17" bottom="0.11" header="0" footer="0"/>
  <pageSetup paperSize="9" scale="72" fitToHeight="0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9">
    <tabColor rgb="FFFF0000"/>
  </sheetPr>
  <dimension ref="B4:K13"/>
  <sheetViews>
    <sheetView zoomScaleNormal="100" workbookViewId="0">
      <selection activeCell="B5" sqref="B5:G5"/>
    </sheetView>
  </sheetViews>
  <sheetFormatPr defaultColWidth="11.42578125" defaultRowHeight="15"/>
  <cols>
    <col min="1" max="1" width="4.5703125" customWidth="1"/>
    <col min="2" max="2" width="29.28515625" customWidth="1"/>
    <col min="3" max="3" width="8" customWidth="1"/>
    <col min="4" max="4" width="14.140625" customWidth="1"/>
    <col min="5" max="5" width="8.85546875" customWidth="1"/>
    <col min="6" max="6" width="7.140625" customWidth="1"/>
    <col min="9" max="9" width="40.85546875" customWidth="1"/>
    <col min="11" max="11" width="14" customWidth="1"/>
  </cols>
  <sheetData>
    <row r="4" spans="2:11" ht="15" customHeight="1">
      <c r="B4" s="271" t="s">
        <v>856</v>
      </c>
      <c r="C4" s="961"/>
      <c r="D4" s="961"/>
      <c r="E4" s="961"/>
      <c r="F4" s="961"/>
      <c r="G4" s="962"/>
      <c r="H4" s="272" t="s">
        <v>474</v>
      </c>
      <c r="I4" s="88" t="str">
        <f>DATOS!D27</f>
        <v>REGULARIZACION E INDEPENDIZACION</v>
      </c>
      <c r="J4" s="955" t="s">
        <v>445</v>
      </c>
      <c r="K4" s="956"/>
    </row>
    <row r="5" spans="2:11" ht="15" customHeight="1">
      <c r="B5" s="966" t="s">
        <v>841</v>
      </c>
      <c r="C5" s="967"/>
      <c r="D5" s="967"/>
      <c r="E5" s="967"/>
      <c r="F5" s="967"/>
      <c r="G5" s="968"/>
      <c r="H5" s="272" t="s">
        <v>475</v>
      </c>
      <c r="I5" s="101" t="s">
        <v>619</v>
      </c>
      <c r="J5" s="957" t="s">
        <v>855</v>
      </c>
      <c r="K5" s="958"/>
    </row>
    <row r="6" spans="2:11" ht="15" customHeight="1">
      <c r="B6" s="952" t="s">
        <v>843</v>
      </c>
      <c r="C6" s="969"/>
      <c r="D6" s="969"/>
      <c r="E6" s="969"/>
      <c r="F6" s="969"/>
      <c r="G6" s="970"/>
      <c r="H6" s="272" t="s">
        <v>476</v>
      </c>
      <c r="I6" s="101" t="s">
        <v>854</v>
      </c>
      <c r="J6" s="959"/>
      <c r="K6" s="960"/>
    </row>
    <row r="7" spans="2:11" ht="15" customHeight="1">
      <c r="B7" s="952" t="s">
        <v>842</v>
      </c>
      <c r="C7" s="953"/>
      <c r="D7" s="953"/>
      <c r="E7" s="953"/>
      <c r="F7" s="953"/>
      <c r="G7" s="954"/>
      <c r="H7" s="272" t="s">
        <v>477</v>
      </c>
      <c r="I7" s="90">
        <f ca="1">TODAY()</f>
        <v>45812</v>
      </c>
      <c r="J7" s="91" t="s">
        <v>472</v>
      </c>
      <c r="K7" s="91">
        <f>DATOS!D1</f>
        <v>0</v>
      </c>
    </row>
    <row r="8" spans="2:11">
      <c r="B8" s="2"/>
    </row>
    <row r="10" spans="2:11" ht="15" customHeight="1">
      <c r="B10" s="86" t="s">
        <v>473</v>
      </c>
      <c r="C10" s="961"/>
      <c r="D10" s="961"/>
      <c r="E10" s="961"/>
      <c r="F10" s="961"/>
      <c r="G10" s="962"/>
      <c r="H10" s="87" t="s">
        <v>474</v>
      </c>
      <c r="I10" s="88" t="str">
        <f>I4</f>
        <v>REGULARIZACION E INDEPENDIZACION</v>
      </c>
      <c r="J10" s="955" t="s">
        <v>445</v>
      </c>
      <c r="K10" s="956"/>
    </row>
    <row r="11" spans="2:11" ht="15" customHeight="1">
      <c r="B11" s="963" t="str">
        <f>B5</f>
        <v>CORNEJO HERRERA UBALDI</v>
      </c>
      <c r="C11" s="964"/>
      <c r="D11" s="964"/>
      <c r="E11" s="964"/>
      <c r="F11" s="964"/>
      <c r="G11" s="965"/>
      <c r="H11" s="87" t="s">
        <v>475</v>
      </c>
      <c r="I11" s="89" t="s">
        <v>450</v>
      </c>
      <c r="J11" s="957" t="s">
        <v>449</v>
      </c>
      <c r="K11" s="958"/>
    </row>
    <row r="12" spans="2:11" ht="15" customHeight="1">
      <c r="B12" s="963"/>
      <c r="C12" s="964"/>
      <c r="D12" s="964"/>
      <c r="E12" s="964"/>
      <c r="F12" s="964"/>
      <c r="G12" s="965"/>
      <c r="H12" s="87" t="s">
        <v>476</v>
      </c>
      <c r="I12" s="89" t="str">
        <f>I6</f>
        <v>1/150</v>
      </c>
      <c r="J12" s="959"/>
      <c r="K12" s="960"/>
    </row>
    <row r="13" spans="2:11" ht="15" customHeight="1">
      <c r="B13" s="949"/>
      <c r="C13" s="950"/>
      <c r="D13" s="950"/>
      <c r="E13" s="950"/>
      <c r="F13" s="950"/>
      <c r="G13" s="951"/>
      <c r="H13" s="87" t="s">
        <v>477</v>
      </c>
      <c r="I13" s="90">
        <f ca="1">I7</f>
        <v>45812</v>
      </c>
      <c r="J13" s="91" t="s">
        <v>472</v>
      </c>
      <c r="K13" s="91">
        <f>K7</f>
        <v>0</v>
      </c>
    </row>
  </sheetData>
  <mergeCells count="14">
    <mergeCell ref="B13:G13"/>
    <mergeCell ref="B7:G7"/>
    <mergeCell ref="J4:K4"/>
    <mergeCell ref="J5:K6"/>
    <mergeCell ref="E10:G10"/>
    <mergeCell ref="J10:K10"/>
    <mergeCell ref="J11:K12"/>
    <mergeCell ref="B11:G11"/>
    <mergeCell ref="B12:G12"/>
    <mergeCell ref="C4:D4"/>
    <mergeCell ref="E4:G4"/>
    <mergeCell ref="C10:D10"/>
    <mergeCell ref="B5:G5"/>
    <mergeCell ref="B6:G6"/>
  </mergeCell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0">
    <tabColor rgb="FFFF0000"/>
  </sheetPr>
  <dimension ref="B4:F30"/>
  <sheetViews>
    <sheetView topLeftCell="A9" workbookViewId="0">
      <selection activeCell="B22" sqref="B22:F22"/>
    </sheetView>
  </sheetViews>
  <sheetFormatPr defaultColWidth="11.42578125" defaultRowHeight="15"/>
  <cols>
    <col min="3" max="3" width="18.140625" customWidth="1"/>
    <col min="6" max="6" width="8.5703125" customWidth="1"/>
  </cols>
  <sheetData>
    <row r="4" spans="2:6" ht="15.75" customHeight="1">
      <c r="B4" s="973" t="s">
        <v>451</v>
      </c>
      <c r="C4" s="971"/>
      <c r="D4" s="971" t="s">
        <v>617</v>
      </c>
      <c r="E4" s="971"/>
      <c r="F4" s="972"/>
    </row>
    <row r="5" spans="2:6" ht="15.75" customHeight="1">
      <c r="B5" s="974" t="s">
        <v>689</v>
      </c>
      <c r="C5" s="975"/>
      <c r="D5" s="975" t="s">
        <v>618</v>
      </c>
      <c r="E5" s="975"/>
      <c r="F5" s="976"/>
    </row>
    <row r="6" spans="2:6" ht="15.75" customHeight="1">
      <c r="B6" s="974" t="s">
        <v>727</v>
      </c>
      <c r="C6" s="975"/>
      <c r="D6" s="76" t="s">
        <v>201</v>
      </c>
      <c r="E6" s="76"/>
      <c r="F6" s="77"/>
    </row>
    <row r="7" spans="2:6" ht="15.75" customHeight="1">
      <c r="B7" s="974" t="s">
        <v>728</v>
      </c>
      <c r="C7" s="975"/>
      <c r="D7" s="76" t="s">
        <v>201</v>
      </c>
      <c r="E7" s="76"/>
      <c r="F7" s="77"/>
    </row>
    <row r="8" spans="2:6" ht="15.75" customHeight="1">
      <c r="B8" s="974" t="s">
        <v>729</v>
      </c>
      <c r="C8" s="975"/>
      <c r="D8" s="975" t="str">
        <f>DATOS!D19</f>
        <v>-</v>
      </c>
      <c r="E8" s="975"/>
      <c r="F8" s="77"/>
    </row>
    <row r="9" spans="2:6" ht="37.5" customHeight="1">
      <c r="B9" s="984" t="s">
        <v>730</v>
      </c>
      <c r="C9" s="985"/>
      <c r="D9" s="986" t="str">
        <f>DATOS!D20</f>
        <v>-</v>
      </c>
      <c r="E9" s="986"/>
      <c r="F9" s="987"/>
    </row>
    <row r="10" spans="2:6" ht="15.75" customHeight="1">
      <c r="B10" s="266" t="s">
        <v>848</v>
      </c>
      <c r="C10" s="78"/>
      <c r="D10" s="78"/>
      <c r="E10" s="76"/>
      <c r="F10" s="77"/>
    </row>
    <row r="11" spans="2:6" ht="15.75" customHeight="1">
      <c r="B11" s="974" t="s">
        <v>731</v>
      </c>
      <c r="C11" s="975"/>
      <c r="D11" s="78" t="str">
        <f>DATOS!D21</f>
        <v>-</v>
      </c>
      <c r="E11" s="76"/>
      <c r="F11" s="77"/>
    </row>
    <row r="12" spans="2:6" ht="15.75" customHeight="1">
      <c r="B12" s="974" t="s">
        <v>732</v>
      </c>
      <c r="C12" s="975"/>
      <c r="D12" s="78" t="str">
        <f>DATOS!D22</f>
        <v>-</v>
      </c>
      <c r="E12" s="76"/>
      <c r="F12" s="77"/>
    </row>
    <row r="13" spans="2:6" ht="15" customHeight="1">
      <c r="B13" s="72" t="s">
        <v>453</v>
      </c>
      <c r="C13" s="73"/>
      <c r="D13" s="79"/>
      <c r="E13" s="73"/>
      <c r="F13" s="74"/>
    </row>
    <row r="21" spans="2:6">
      <c r="B21" s="72" t="s">
        <v>452</v>
      </c>
      <c r="C21" s="73"/>
      <c r="D21" s="73"/>
      <c r="E21" s="988"/>
      <c r="F21" s="989"/>
    </row>
    <row r="22" spans="2:6" ht="15" customHeight="1">
      <c r="B22" s="992" t="str">
        <f>_xlfn.CONCAT(DATOS!D5," ",DATOS!D6)</f>
        <v>- -</v>
      </c>
      <c r="C22" s="993"/>
      <c r="D22" s="993"/>
      <c r="E22" s="993"/>
      <c r="F22" s="994"/>
    </row>
    <row r="23" spans="2:6" ht="15" customHeight="1">
      <c r="B23" s="992"/>
      <c r="C23" s="993"/>
      <c r="D23" s="993"/>
      <c r="E23" s="993"/>
      <c r="F23" s="994"/>
    </row>
    <row r="24" spans="2:6" ht="15" customHeight="1">
      <c r="B24" s="992"/>
      <c r="C24" s="993"/>
      <c r="D24" s="993"/>
      <c r="E24" s="993"/>
      <c r="F24" s="994"/>
    </row>
    <row r="25" spans="2:6" ht="15" customHeight="1">
      <c r="B25" s="80"/>
      <c r="C25" s="990"/>
      <c r="D25" s="990"/>
      <c r="E25" s="990"/>
      <c r="F25" s="991"/>
    </row>
    <row r="26" spans="2:6">
      <c r="B26" s="72" t="s">
        <v>444</v>
      </c>
      <c r="C26" s="980" t="str">
        <f>DATOS!D27</f>
        <v>REGULARIZACION E INDEPENDIZACION</v>
      </c>
      <c r="D26" s="980"/>
      <c r="E26" s="981"/>
      <c r="F26" s="81" t="s">
        <v>445</v>
      </c>
    </row>
    <row r="27" spans="2:6" ht="15" customHeight="1">
      <c r="B27" s="82"/>
      <c r="C27" s="982"/>
      <c r="D27" s="982"/>
      <c r="E27" s="983"/>
      <c r="F27" s="977" t="s">
        <v>454</v>
      </c>
    </row>
    <row r="28" spans="2:6" ht="15.75" customHeight="1">
      <c r="B28" s="75" t="s">
        <v>446</v>
      </c>
      <c r="C28" s="979" t="s">
        <v>455</v>
      </c>
      <c r="D28" s="979"/>
      <c r="E28" s="979"/>
      <c r="F28" s="978"/>
    </row>
    <row r="29" spans="2:6" ht="15" customHeight="1">
      <c r="B29" s="83" t="s">
        <v>480</v>
      </c>
      <c r="C29" s="83" t="s">
        <v>447</v>
      </c>
      <c r="D29" s="83" t="s">
        <v>448</v>
      </c>
      <c r="E29" s="84" t="s">
        <v>472</v>
      </c>
      <c r="F29" s="978"/>
    </row>
    <row r="30" spans="2:6" ht="15" customHeight="1">
      <c r="B30" s="83" t="s">
        <v>456</v>
      </c>
      <c r="C30" s="85">
        <f ca="1">TODAY()</f>
        <v>45812</v>
      </c>
      <c r="D30" s="83" t="str">
        <f>DATOS!D2</f>
        <v>KTN</v>
      </c>
      <c r="E30" s="84">
        <f>DATOS!D1</f>
        <v>0</v>
      </c>
      <c r="F30" s="978"/>
    </row>
  </sheetData>
  <mergeCells count="21">
    <mergeCell ref="F27:F30"/>
    <mergeCell ref="C28:E28"/>
    <mergeCell ref="C26:E27"/>
    <mergeCell ref="D8:E8"/>
    <mergeCell ref="B9:C9"/>
    <mergeCell ref="D9:F9"/>
    <mergeCell ref="E21:F21"/>
    <mergeCell ref="C25:D25"/>
    <mergeCell ref="E25:F25"/>
    <mergeCell ref="B22:F22"/>
    <mergeCell ref="B23:F23"/>
    <mergeCell ref="B24:F24"/>
    <mergeCell ref="D4:F4"/>
    <mergeCell ref="B4:C4"/>
    <mergeCell ref="B5:C5"/>
    <mergeCell ref="D5:F5"/>
    <mergeCell ref="B12:C12"/>
    <mergeCell ref="B11:C11"/>
    <mergeCell ref="B8:C8"/>
    <mergeCell ref="B7:C7"/>
    <mergeCell ref="B6:C6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1">
    <tabColor rgb="FFFF0000"/>
  </sheetPr>
  <dimension ref="C4:J15"/>
  <sheetViews>
    <sheetView workbookViewId="0">
      <selection activeCell="H8" sqref="H8"/>
    </sheetView>
  </sheetViews>
  <sheetFormatPr defaultColWidth="11.42578125" defaultRowHeight="15"/>
  <cols>
    <col min="2" max="2" width="3.5703125" customWidth="1"/>
    <col min="4" max="4" width="16.85546875" customWidth="1"/>
    <col min="5" max="5" width="26.28515625" customWidth="1"/>
    <col min="6" max="6" width="13.5703125" customWidth="1"/>
    <col min="7" max="7" width="3.28515625" customWidth="1"/>
    <col min="8" max="8" width="18.28515625" customWidth="1"/>
    <col min="9" max="9" width="14.7109375" customWidth="1"/>
    <col min="10" max="10" width="8.85546875" customWidth="1"/>
  </cols>
  <sheetData>
    <row r="4" spans="3:10" ht="15" customHeight="1">
      <c r="C4" s="1018" t="s">
        <v>457</v>
      </c>
      <c r="D4" s="1019"/>
      <c r="E4" s="1022" t="s">
        <v>458</v>
      </c>
      <c r="F4" s="1026" t="s">
        <v>444</v>
      </c>
      <c r="G4" s="1027"/>
      <c r="H4" s="1011" t="s">
        <v>490</v>
      </c>
      <c r="I4" s="1012"/>
      <c r="J4" s="1013"/>
    </row>
    <row r="5" spans="3:10">
      <c r="C5" s="1020"/>
      <c r="D5" s="1021"/>
      <c r="E5" s="1023"/>
      <c r="F5" s="1028"/>
      <c r="G5" s="1029"/>
      <c r="H5" s="1024" t="s">
        <v>459</v>
      </c>
      <c r="I5" s="1030" t="s">
        <v>479</v>
      </c>
      <c r="J5" s="1024" t="s">
        <v>159</v>
      </c>
    </row>
    <row r="6" spans="3:10" ht="17.100000000000001" customHeight="1">
      <c r="C6" s="1014" t="s">
        <v>460</v>
      </c>
      <c r="D6" s="1015"/>
      <c r="E6" s="259" t="s">
        <v>838</v>
      </c>
      <c r="F6" s="999" t="s">
        <v>488</v>
      </c>
      <c r="G6" s="1000"/>
      <c r="H6" s="1025"/>
      <c r="I6" s="1031"/>
      <c r="J6" s="1025"/>
    </row>
    <row r="7" spans="3:10" ht="17.100000000000001" customHeight="1">
      <c r="C7" s="1016" t="s">
        <v>461</v>
      </c>
      <c r="D7" s="1017"/>
      <c r="E7" s="260" t="s">
        <v>469</v>
      </c>
      <c r="F7" s="1004" t="s">
        <v>469</v>
      </c>
      <c r="G7" s="1005"/>
      <c r="H7" s="64" t="s">
        <v>835</v>
      </c>
      <c r="I7" s="62" t="e">
        <f>#REF!</f>
        <v>#REF!</v>
      </c>
      <c r="J7" s="63" t="e">
        <f>I7</f>
        <v>#REF!</v>
      </c>
    </row>
    <row r="8" spans="3:10" ht="17.100000000000001" customHeight="1">
      <c r="C8" s="1003" t="s">
        <v>462</v>
      </c>
      <c r="D8" s="1003"/>
      <c r="E8" s="261" t="s">
        <v>839</v>
      </c>
      <c r="F8" s="1009" t="e">
        <f>J14/J13</f>
        <v>#VALUE!</v>
      </c>
      <c r="G8" s="1010"/>
      <c r="H8" s="64" t="s">
        <v>836</v>
      </c>
      <c r="I8" s="62" t="e">
        <f>#REF!</f>
        <v>#REF!</v>
      </c>
      <c r="J8" s="63" t="e">
        <f t="shared" ref="J8:J10" si="0">I8</f>
        <v>#REF!</v>
      </c>
    </row>
    <row r="9" spans="3:10" ht="17.100000000000001" customHeight="1">
      <c r="C9" s="1003" t="s">
        <v>463</v>
      </c>
      <c r="D9" s="1003"/>
      <c r="E9" s="261" t="s">
        <v>849</v>
      </c>
      <c r="F9" s="1001" t="s">
        <v>853</v>
      </c>
      <c r="G9" s="1002"/>
      <c r="H9" s="64" t="s">
        <v>837</v>
      </c>
      <c r="I9" s="62" t="e">
        <f>#REF!</f>
        <v>#REF!</v>
      </c>
      <c r="J9" s="63" t="e">
        <f t="shared" si="0"/>
        <v>#REF!</v>
      </c>
    </row>
    <row r="10" spans="3:10" ht="17.100000000000001" customHeight="1">
      <c r="C10" s="1003" t="s">
        <v>464</v>
      </c>
      <c r="D10" s="1003"/>
      <c r="E10" s="262" t="s">
        <v>839</v>
      </c>
      <c r="F10" s="1007">
        <v>0</v>
      </c>
      <c r="G10" s="1008"/>
      <c r="H10" s="64" t="s">
        <v>850</v>
      </c>
      <c r="I10" s="62" t="e">
        <f>#REF!</f>
        <v>#REF!</v>
      </c>
      <c r="J10" s="63" t="e">
        <f t="shared" si="0"/>
        <v>#REF!</v>
      </c>
    </row>
    <row r="11" spans="3:10" ht="17.100000000000001" customHeight="1">
      <c r="C11" s="995" t="s">
        <v>465</v>
      </c>
      <c r="D11" s="996"/>
      <c r="E11" s="263" t="s">
        <v>469</v>
      </c>
      <c r="F11" s="997" t="s">
        <v>469</v>
      </c>
      <c r="G11" s="998"/>
      <c r="H11" s="257"/>
      <c r="I11" s="258"/>
      <c r="J11" s="63"/>
    </row>
    <row r="12" spans="3:10" ht="17.100000000000001" customHeight="1">
      <c r="C12" s="1003" t="s">
        <v>466</v>
      </c>
      <c r="D12" s="1003"/>
      <c r="E12" s="264" t="s">
        <v>839</v>
      </c>
      <c r="F12" s="1006" t="s">
        <v>469</v>
      </c>
      <c r="G12" s="1002"/>
      <c r="H12" s="64" t="s">
        <v>58</v>
      </c>
      <c r="I12" s="62"/>
      <c r="J12" s="63" t="e">
        <f>SUM(J7:J11)</f>
        <v>#REF!</v>
      </c>
    </row>
    <row r="13" spans="3:10" ht="17.100000000000001" customHeight="1">
      <c r="C13" s="1003" t="s">
        <v>468</v>
      </c>
      <c r="D13" s="1003"/>
      <c r="E13" s="260" t="s">
        <v>469</v>
      </c>
      <c r="F13" s="1004" t="s">
        <v>469</v>
      </c>
      <c r="G13" s="1005"/>
      <c r="H13" s="64" t="s">
        <v>467</v>
      </c>
      <c r="I13" s="62"/>
      <c r="J13" s="63" t="str">
        <f>DATOS!D11</f>
        <v>-</v>
      </c>
    </row>
    <row r="14" spans="3:10" ht="17.100000000000001" customHeight="1">
      <c r="C14" s="1003" t="s">
        <v>470</v>
      </c>
      <c r="D14" s="1003"/>
      <c r="E14" s="264" t="s">
        <v>839</v>
      </c>
      <c r="F14" s="97" t="str">
        <f>DATOS!D11</f>
        <v>-</v>
      </c>
      <c r="G14" s="65" t="s">
        <v>198</v>
      </c>
      <c r="H14" s="64" t="s">
        <v>59</v>
      </c>
      <c r="I14" s="64"/>
      <c r="J14" s="63" t="e">
        <f>J13-J7</f>
        <v>#VALUE!</v>
      </c>
    </row>
    <row r="15" spans="3:10" ht="17.100000000000001" customHeight="1">
      <c r="C15" s="1003" t="s">
        <v>471</v>
      </c>
      <c r="D15" s="1003"/>
      <c r="E15" s="265"/>
      <c r="F15" s="1001"/>
      <c r="G15" s="1002"/>
      <c r="H15" s="64" t="s">
        <v>478</v>
      </c>
      <c r="I15" s="62"/>
      <c r="J15" s="63" t="e">
        <f>#REF!</f>
        <v>#REF!</v>
      </c>
    </row>
  </sheetData>
  <mergeCells count="26">
    <mergeCell ref="H4:J4"/>
    <mergeCell ref="C6:D6"/>
    <mergeCell ref="C7:D7"/>
    <mergeCell ref="C8:D8"/>
    <mergeCell ref="C4:D5"/>
    <mergeCell ref="E4:E5"/>
    <mergeCell ref="H5:H6"/>
    <mergeCell ref="F4:G5"/>
    <mergeCell ref="I5:I6"/>
    <mergeCell ref="J5:J6"/>
    <mergeCell ref="F7:G7"/>
    <mergeCell ref="C11:D11"/>
    <mergeCell ref="F11:G11"/>
    <mergeCell ref="F6:G6"/>
    <mergeCell ref="F15:G15"/>
    <mergeCell ref="C13:D13"/>
    <mergeCell ref="C14:D14"/>
    <mergeCell ref="C15:D15"/>
    <mergeCell ref="C9:D9"/>
    <mergeCell ref="C10:D10"/>
    <mergeCell ref="C12:D12"/>
    <mergeCell ref="F13:G13"/>
    <mergeCell ref="F12:G12"/>
    <mergeCell ref="F10:G10"/>
    <mergeCell ref="F9:G9"/>
    <mergeCell ref="F8:G8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10</vt:i4>
      </vt:variant>
    </vt:vector>
  </HeadingPairs>
  <TitlesOfParts>
    <vt:vector size="24" baseType="lpstr">
      <vt:lpstr>DATOS</vt:lpstr>
      <vt:lpstr>Formulario 1</vt:lpstr>
      <vt:lpstr>FORMULARIO</vt:lpstr>
      <vt:lpstr>INFORME</vt:lpstr>
      <vt:lpstr>Anexo 1</vt:lpstr>
      <vt:lpstr>Anexo 4</vt:lpstr>
      <vt:lpstr>Anexo 4 (2)</vt:lpstr>
      <vt:lpstr>Anexo 15</vt:lpstr>
      <vt:lpstr>REGLA-INTERNO</vt:lpstr>
      <vt:lpstr>Acta</vt:lpstr>
      <vt:lpstr>CONSTANCIA</vt:lpstr>
      <vt:lpstr>MEMB-P01-A01</vt:lpstr>
      <vt:lpstr>MEMB-U01</vt:lpstr>
      <vt:lpstr>MEMB-AREAS</vt:lpstr>
      <vt:lpstr>Acta!Print_Area</vt:lpstr>
      <vt:lpstr>'Anexo 1'!Print_Area</vt:lpstr>
      <vt:lpstr>'Anexo 15'!Print_Area</vt:lpstr>
      <vt:lpstr>'Anexo 4'!Print_Area</vt:lpstr>
      <vt:lpstr>'Anexo 4 (2)'!Print_Area</vt:lpstr>
      <vt:lpstr>CONSTANCIA!Print_Area</vt:lpstr>
      <vt:lpstr>'Formulario 1'!Print_Area</vt:lpstr>
      <vt:lpstr>INFORME!Print_Area</vt:lpstr>
      <vt:lpstr>'REGLA-INTERNO'!Print_Area</vt:lpstr>
      <vt:lpstr>Acta!UNIDADINMOBILIARIA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 Yoga 13</dc:creator>
  <cp:keywords>SUNARP</cp:keywords>
  <cp:lastModifiedBy>ALUMNO - JORGE BRIAN VELEZ DE VILLA ARISTA</cp:lastModifiedBy>
  <cp:lastPrinted>2025-06-04T16:20:01Z</cp:lastPrinted>
  <dcterms:created xsi:type="dcterms:W3CDTF">2019-05-11T14:53:02Z</dcterms:created>
  <dcterms:modified xsi:type="dcterms:W3CDTF">2025-06-04T19:24:04Z</dcterms:modified>
</cp:coreProperties>
</file>
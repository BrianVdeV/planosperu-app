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E162726-6DCC-4463-9942-8F46FC08D54F}" xr6:coauthVersionLast="47" xr6:coauthVersionMax="47" xr10:uidLastSave="{00000000-0000-0000-0000-000000000000}"/>
  <bookViews>
    <workbookView xWindow="3150" yWindow="3150" windowWidth="18000" windowHeight="9360" xr2:uid="{9FAB3CF3-B2F3-4B64-8379-B2D251F4F4FB}"/>
  </bookViews>
  <sheets>
    <sheet name="PLA-NOD" sheetId="2" r:id="rId1"/>
  </sheets>
  <definedNames>
    <definedName name="Print_Area" localSheetId="0">'PLA-NOD'!$A$1:$H$72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<sst xmlns="http://schemas.openxmlformats.org/spreadsheetml/2006/main" count="99" uniqueCount="98">
  <si>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</si>
  <si>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</si>
  <si>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</si>
  <si>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</si>
  <si>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</si>
  <si>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</si>
  <si>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</si>
  <si>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</si>
  <si>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</si>
  <si>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PLANOS Y EN FORMATO DWG DE 12 NODOS DEL GRUPO B DEL PREDIO</t>
  </si>
  <si>
    <t>Proyecto:</t>
  </si>
  <si>
    <t>Elaboracion de Planos de los 12 NODOS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</si>
  <si>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</si>
  <si>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</si>
  <si>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</si>
  <si>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</si>
  <si>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</si>
  <si>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</si>
  <si>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</si>
  <si>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</si>
  <si>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</si>
  <si>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</si>
  <si>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</si>
  <si>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</si>
  <si>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</si>
  <si>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 xml:space="preserve">1.2 Guia de documentos tecnicos y sistema satelital </t>
  </si>
  <si>
    <t>1.4 Tasación de Inmueble</t>
  </si>
  <si>
    <t>A. Desarrollo de Planos</t>
  </si>
  <si>
    <t>A.1 Anteproyecto (Hasta 3 Diseños)</t>
  </si>
  <si>
    <t>A.11 Ubicación Coordenadas PSAD56</t>
  </si>
  <si>
    <t>A.2 Plano perimetrico coordenadas PSAAD56 o WGS84</t>
  </si>
  <si>
    <t>A.2 Ubicación Coordenadas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</si>
  <si>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</si>
  <si>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</si>
  <si>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</si>
  <si>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</si>
  <si>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</si>
  <si>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</si>
  <si>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</si>
  <si>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</si>
  <si>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</si>
  <si>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</si>
  <si>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</si>
  <si>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</si>
  <si>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Predio Collique Bajo - 83.93 m2</t>
  </si>
  <si>
    <t>B.3 Grupo B ( 12 NODOS)</t>
  </si>
  <si>
    <t>B.17 Predio Culpon - 81.10 m2</t>
  </si>
  <si>
    <t>B.18 Predio Espinal - 85.69 m2</t>
  </si>
  <si>
    <t>B.4 Grupo C ( 14 NODOS)</t>
  </si>
  <si>
    <t>B.19 Predio Guayaquil - 60.52 m2</t>
  </si>
  <si>
    <t>B.5 Grupo D ( 16 NODOS)</t>
  </si>
  <si>
    <t>B.20 Predio Huaca Rajada - 81.65 m2</t>
  </si>
  <si>
    <t>B.21 Predio La Aviacion - 85.68 m2</t>
  </si>
  <si>
    <t>B.6 Grupo E ( 10 NODOS)</t>
  </si>
  <si>
    <t>B.22 Predio La compuerta - 67.70 m2</t>
  </si>
  <si>
    <t>B.7 Informe Tecnico de Verificación</t>
  </si>
  <si>
    <t xml:space="preserve">B.8 Declaracion(es) Jurada(s) </t>
  </si>
  <si>
    <t>B.23 Predio La Curva - 67.80 m2</t>
  </si>
  <si>
    <t>B.9 Anexo Nº 1 SUNARP</t>
  </si>
  <si>
    <t>B.24 Predio La Estancia - 84.58 m2</t>
  </si>
  <si>
    <t>B.10 Anexo Nº 4 SUNARP</t>
  </si>
  <si>
    <t>B.25 Predio La Otra Banda - 67.80 m2</t>
  </si>
  <si>
    <t>B.11 Subsanacion de observaciones SUNARP (si fuera el caso)</t>
  </si>
  <si>
    <t>B.12 FUE (Formulario Unico de Edifcaciones)</t>
  </si>
  <si>
    <t>B.26 Predio La Viña Zona 7 - 73.13 m2</t>
  </si>
  <si>
    <t>B.13 Memoria descriptiva</t>
  </si>
  <si>
    <t>B.27 Predio Macuaco  - 85.49 m2</t>
  </si>
  <si>
    <t>B.14 Sucesión Intestada</t>
  </si>
  <si>
    <t>2.- ALCANCES: ENTREGA DE DOCUMENTOS FIRMADOS – PROFESIONALES VIGENTES</t>
  </si>
  <si>
    <t>2.1 Planos en CAD y pdf  1 Original, firmado por el Profesional</t>
  </si>
  <si>
    <t>2.3 Investigacion Antecedentes de Inmueble SUNARP</t>
  </si>
  <si>
    <t xml:space="preserve">Profesional Habilitado Certificado Vigente y </t>
  </si>
  <si>
    <t>2.4 Servicio de Tramitación de expediente ante</t>
  </si>
  <si>
    <t>en formato DWG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</si>
  <si>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</si>
  <si>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</si>
  <si>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</si>
  <si>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</si>
  <si>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</si>
  <si>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</si>
  <si>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</si>
  <si>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</si>
  <si>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</si>
  <si>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</si>
  <si>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</si>
  <si>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</si>
  <si>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envio de planos en pdf y en formato DWG al cliente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</si>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</sst>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horizontal="left" vertical="center"/>
      <protection hidden="1"/>
    </xf>
    <xf numFmtId="0" fontId="8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8" fillId="3" borderId="9" xfId="0" applyFont="1" applyFill="1" applyBorder="1" applyAlignment="1" applyProtection="1">
      <alignment horizontal="left" vertical="top" wrapText="1"/>
      <protection hidden="1"/>
    </xf>
    <xf numFmtId="0" fontId="8" fillId="3" borderId="0" xfId="0" applyFont="1" applyFill="1" applyAlignment="1" applyProtection="1">
      <alignment horizontal="left" vertical="top" wrapText="1"/>
      <protection hidden="1"/>
    </xf>
    <xf numFmtId="0" fontId="8" fillId="3" borderId="3" xfId="0" applyFont="1" applyFill="1" applyBorder="1" applyAlignment="1" applyProtection="1">
      <alignment horizontal="left"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8" fillId="3" borderId="9" xfId="0" applyFont="1" applyFill="1" applyBorder="1"/>
    <xf numFmtId="0" fontId="8" fillId="3" borderId="0" xfId="0" applyFont="1" applyFill="1"/>
    <xf numFmtId="0" fontId="8" fillId="3" borderId="3" xfId="0" applyFont="1" applyFill="1" applyBorder="1"/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Alignment="1" applyProtection="1">
      <alignment horizontal="left" vertical="center"/>
      <protection hidden="1"/>
    </xf>
    <xf numFmtId="0" fontId="16" fillId="5" borderId="3" xfId="0" applyFont="1" applyFill="1" applyBorder="1" applyAlignment="1" applyProtection="1">
      <alignment horizontal="left"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6862B9B-7F67-4839-801B-A8F96C6C7C2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DB98E6A-9A61-4EB4-89D5-E9316ACE878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42601B8-1C32-4B0D-BC8A-E111E730B525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5FBF1B2-85E0-4339-A553-646A37D9A56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5D50CE6-4332-4ABB-BF9E-00F50E3DB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02AE740-117C-4C7B-BB2B-07ED23C54FB1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BBF9BB2-53D8-485C-9BEB-5B7E8031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0213260-11F8-44F1-8F73-AC449EFC0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1FD9-DE51-4359-92B5-62DE2787A556}">
  <sheetPr codeName="Hoja45">
    <tabColor theme="1"/>
    <pageSetUpPr fitToPage="1"/>
  </sheetPr>
  <dimension ref="A3:H79"/>
  <sheetViews>
    <sheetView showGridLines="0" tabSelected="1" showRuler="0" view="pageBreakPreview" topLeftCell="A54" zoomScale="178" zoomScaleNormal="50" zoomScaleSheetLayoutView="178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6" t="s">
        <v>26</v>
      </c>
      <c r="F21" s="46"/>
      <c r="G21" s="47"/>
      <c r="H21" s="17"/>
    </row>
    <row r="22" spans="1:8" s="37" customFormat="1" ht="12" customHeight="1" x14ac:dyDescent="0.25">
      <c r="A22" s="17"/>
      <c r="B22" s="48" t="s">
        <v>27</v>
      </c>
      <c r="C22" s="49"/>
      <c r="D22" s="49"/>
      <c r="E22" s="50"/>
      <c r="F22" s="50"/>
      <c r="G22" s="51"/>
      <c r="H22" s="17"/>
    </row>
    <row r="23" spans="1:8" s="37" customFormat="1" ht="12" customHeight="1" x14ac:dyDescent="0.25">
      <c r="A23" s="17"/>
      <c r="B23" s="52" t="s">
        <v>28</v>
      </c>
      <c r="C23" s="46"/>
      <c r="D23" s="47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3" t="s">
        <v>31</v>
      </c>
      <c r="F24" s="54"/>
      <c r="G24" s="55"/>
      <c r="H24" s="17"/>
    </row>
    <row r="25" spans="1:8" s="37" customFormat="1" ht="12" customHeight="1" x14ac:dyDescent="0.25">
      <c r="A25" s="56"/>
      <c r="B25" s="52" t="s">
        <v>32</v>
      </c>
      <c r="C25" s="46"/>
      <c r="D25" s="47"/>
      <c r="E25" s="52" t="s">
        <v>33</v>
      </c>
      <c r="F25" s="46"/>
      <c r="G25" s="47"/>
      <c r="H25" s="17"/>
    </row>
    <row r="26" spans="1:8" s="37" customFormat="1" ht="12" customHeight="1" x14ac:dyDescent="0.25">
      <c r="A26" s="57"/>
      <c r="B26" s="52" t="s">
        <v>34</v>
      </c>
      <c r="C26" s="46"/>
      <c r="D26" s="47"/>
      <c r="E26" s="52" t="s">
        <v>35</v>
      </c>
      <c r="F26" s="46"/>
      <c r="G26" s="47"/>
      <c r="H26" s="17"/>
    </row>
    <row r="27" spans="1:8" s="37" customFormat="1" ht="12" customHeight="1" x14ac:dyDescent="0.25">
      <c r="A27" s="57"/>
      <c r="B27" s="58" t="s">
        <v>36</v>
      </c>
      <c r="C27" s="59"/>
      <c r="D27" s="60"/>
      <c r="E27" s="52" t="s">
        <v>37</v>
      </c>
      <c r="F27" s="46"/>
      <c r="G27" s="47"/>
      <c r="H27" s="17"/>
    </row>
    <row r="28" spans="1:8" s="37" customFormat="1" ht="12" customHeight="1" x14ac:dyDescent="0.25">
      <c r="A28" s="57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7"/>
      <c r="B29" s="48" t="s">
        <v>40</v>
      </c>
      <c r="C29" s="49"/>
      <c r="D29" s="49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8" t="s">
        <v>43</v>
      </c>
      <c r="C31" s="59"/>
      <c r="D31" s="60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80" t="s">
        <v>47</v>
      </c>
      <c r="F33" s="81"/>
      <c r="G33" s="82"/>
      <c r="H33" s="17"/>
    </row>
    <row r="34" spans="1:8" s="37" customFormat="1" ht="12" customHeight="1" x14ac:dyDescent="0.25">
      <c r="A34" s="17"/>
      <c r="B34" s="58" t="s">
        <v>48</v>
      </c>
      <c r="C34" s="59"/>
      <c r="D34" s="60"/>
      <c r="E34" s="80" t="s">
        <v>49</v>
      </c>
      <c r="F34" s="81"/>
      <c r="G34" s="82"/>
      <c r="H34" s="17"/>
    </row>
    <row r="35" spans="1:8" s="37" customFormat="1" ht="12" customHeight="1" x14ac:dyDescent="0.25">
      <c r="A35" s="17"/>
      <c r="B35" s="83" t="s">
        <v>50</v>
      </c>
      <c r="C35" s="84"/>
      <c r="D35" s="85"/>
      <c r="E35" s="80" t="s">
        <v>51</v>
      </c>
      <c r="F35" s="81"/>
      <c r="G35" s="82"/>
      <c r="H35" s="17"/>
    </row>
    <row r="36" spans="1:8" s="37" customFormat="1" ht="12" customHeight="1" x14ac:dyDescent="0.25">
      <c r="A36" s="17"/>
      <c r="B36" s="83"/>
      <c r="C36" s="84"/>
      <c r="D36" s="85"/>
      <c r="E36" s="80" t="s">
        <v>52</v>
      </c>
      <c r="F36" s="81"/>
      <c r="G36" s="82"/>
      <c r="H36" s="17"/>
    </row>
    <row r="37" spans="1:8" s="37" customFormat="1" ht="12" customHeight="1" x14ac:dyDescent="0.25">
      <c r="A37" s="17"/>
      <c r="B37" s="86" t="s">
        <v>53</v>
      </c>
      <c r="C37" s="87"/>
      <c r="D37" s="88"/>
      <c r="E37" s="77" t="s">
        <v>54</v>
      </c>
      <c r="F37" s="78"/>
      <c r="G37" s="79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77"/>
      <c r="F38" s="78"/>
      <c r="G38" s="79"/>
      <c r="H38" s="17"/>
    </row>
    <row r="39" spans="1:8" s="37" customFormat="1" ht="12" customHeight="1" x14ac:dyDescent="0.25">
      <c r="A39" s="17"/>
      <c r="B39" s="58" t="s">
        <v>56</v>
      </c>
      <c r="C39" s="59"/>
      <c r="D39" s="60"/>
      <c r="E39" s="89" t="s">
        <v>57</v>
      </c>
      <c r="F39" s="90"/>
      <c r="G39" s="91"/>
      <c r="H39" s="17"/>
    </row>
    <row r="40" spans="1:8" s="37" customFormat="1" ht="12" customHeight="1" x14ac:dyDescent="0.25">
      <c r="A40" s="17"/>
      <c r="B40" s="58" t="s">
        <v>58</v>
      </c>
      <c r="C40" s="59"/>
      <c r="D40" s="60"/>
      <c r="E40" s="92" t="s">
        <v>59</v>
      </c>
      <c r="F40" s="93"/>
      <c r="G40" s="94"/>
      <c r="H40" s="17"/>
    </row>
    <row r="41" spans="1:8" s="37" customFormat="1" ht="12" customHeight="1" x14ac:dyDescent="0.25">
      <c r="A41" s="17"/>
      <c r="B41" s="58" t="s">
        <v>60</v>
      </c>
      <c r="C41" s="59"/>
      <c r="D41" s="60"/>
      <c r="E41" s="77" t="s">
        <v>61</v>
      </c>
      <c r="F41" s="78"/>
      <c r="G41" s="79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77"/>
      <c r="F42" s="78"/>
      <c r="G42" s="79"/>
      <c r="H42" s="17"/>
    </row>
    <row r="43" spans="1:8" s="37" customFormat="1" ht="12" customHeight="1" x14ac:dyDescent="0.25">
      <c r="A43" s="17"/>
      <c r="B43" s="58" t="s">
        <v>63</v>
      </c>
      <c r="C43" s="59"/>
      <c r="D43" s="60"/>
      <c r="E43" s="95" t="s">
        <v>64</v>
      </c>
      <c r="F43" s="96"/>
      <c r="G43" s="97"/>
      <c r="H43" s="17"/>
    </row>
    <row r="44" spans="1:8" s="37" customFormat="1" ht="12" customHeight="1" x14ac:dyDescent="0.25">
      <c r="A44" s="17"/>
      <c r="B44" s="58" t="s">
        <v>65</v>
      </c>
      <c r="C44" s="59"/>
      <c r="D44" s="60"/>
      <c r="E44" s="95" t="s">
        <v>66</v>
      </c>
      <c r="F44" s="96"/>
      <c r="G44" s="97"/>
      <c r="H44" s="17"/>
    </row>
    <row r="45" spans="1:8" s="37" customFormat="1" ht="12" customHeight="1" x14ac:dyDescent="0.25">
      <c r="A45" s="17"/>
      <c r="B45" s="98" t="s">
        <v>67</v>
      </c>
      <c r="C45" s="99"/>
      <c r="D45" s="100"/>
      <c r="E45" s="101"/>
      <c r="F45" s="102"/>
      <c r="G45" s="103"/>
      <c r="H45" s="17"/>
    </row>
    <row r="46" spans="1:8" s="37" customFormat="1" ht="12" customHeight="1" x14ac:dyDescent="0.25">
      <c r="B46" s="48" t="s">
        <v>68</v>
      </c>
      <c r="C46" s="49"/>
      <c r="D46" s="49"/>
      <c r="E46" s="104"/>
      <c r="F46" s="104"/>
      <c r="G46" s="105"/>
      <c r="H46" s="17"/>
    </row>
    <row r="47" spans="1:8" s="37" customFormat="1" ht="12" customHeight="1" x14ac:dyDescent="0.25">
      <c r="A47" s="17"/>
      <c r="B47" s="106" t="s">
        <v>69</v>
      </c>
      <c r="C47" s="107"/>
      <c r="D47" s="108"/>
      <c r="E47" s="52" t="s">
        <v>70</v>
      </c>
      <c r="F47" s="46"/>
      <c r="G47" s="47"/>
      <c r="H47" s="17"/>
    </row>
    <row r="48" spans="1:8" s="37" customFormat="1" ht="12" customHeight="1" x14ac:dyDescent="0.25">
      <c r="A48" s="17"/>
      <c r="B48" s="109" t="s">
        <v>71</v>
      </c>
      <c r="C48" s="110"/>
      <c r="D48" s="111"/>
      <c r="E48" s="52" t="s">
        <v>72</v>
      </c>
      <c r="F48" s="46"/>
      <c r="G48" s="47"/>
      <c r="H48" s="17"/>
    </row>
    <row r="49" spans="1:8" s="37" customFormat="1" ht="12" customHeight="1" x14ac:dyDescent="0.25">
      <c r="A49" s="17"/>
      <c r="B49" s="109" t="s">
        <v>73</v>
      </c>
      <c r="C49" s="112"/>
      <c r="D49" s="113"/>
      <c r="E49" s="58" t="s">
        <v>74</v>
      </c>
      <c r="F49" s="59"/>
      <c r="G49" s="60"/>
      <c r="H49" s="17"/>
    </row>
    <row r="50" spans="1:8" s="37" customFormat="1" ht="12" customHeight="1" x14ac:dyDescent="0.25">
      <c r="A50" s="17"/>
      <c r="B50" s="114" t="s">
        <v>75</v>
      </c>
      <c r="C50" s="115"/>
      <c r="D50" s="116"/>
      <c r="E50" s="98"/>
      <c r="F50" s="99"/>
      <c r="G50" s="100"/>
      <c r="H50" s="17"/>
    </row>
    <row r="51" spans="1:8" s="37" customFormat="1" ht="12" customHeight="1" x14ac:dyDescent="0.25">
      <c r="A51" s="17"/>
      <c r="B51" s="117"/>
      <c r="C51" s="117"/>
      <c r="D51" s="117"/>
      <c r="E51" s="117"/>
      <c r="F51" s="117"/>
      <c r="G51" s="117"/>
      <c r="H51" s="17"/>
    </row>
    <row r="52" spans="1:8" s="37" customFormat="1" ht="12" customHeight="1" x14ac:dyDescent="0.25">
      <c r="A52" s="17"/>
      <c r="B52" s="118" t="s">
        <v>76</v>
      </c>
      <c r="C52" s="119"/>
      <c r="D52" s="119"/>
      <c r="E52" s="119"/>
      <c r="F52" s="119"/>
      <c r="G52" s="119"/>
      <c r="H52" s="17"/>
    </row>
    <row r="53" spans="1:8" s="37" customFormat="1" ht="12" customHeight="1" x14ac:dyDescent="0.25">
      <c r="A53" s="17"/>
      <c r="B53" s="120"/>
      <c r="C53" s="120"/>
      <c r="D53" s="120"/>
      <c r="E53" s="120"/>
      <c r="F53" s="120"/>
      <c r="G53" s="120"/>
      <c r="H53" s="17"/>
    </row>
    <row r="54" spans="1:8" s="37" customFormat="1" ht="12" customHeight="1" x14ac:dyDescent="0.25">
      <c r="A54" s="17"/>
      <c r="B54" s="120"/>
      <c r="C54" s="120"/>
      <c r="D54" s="120"/>
      <c r="E54" s="120"/>
      <c r="F54" s="120"/>
      <c r="G54" s="120"/>
      <c r="H54" s="17"/>
    </row>
    <row r="55" spans="1:8" s="37" customFormat="1" ht="12" customHeight="1" x14ac:dyDescent="0.25">
      <c r="A55" s="17"/>
      <c r="B55" s="121"/>
      <c r="C55" s="121"/>
      <c r="D55" s="121"/>
      <c r="E55" s="121"/>
      <c r="F55" s="121"/>
      <c r="G55" s="121"/>
      <c r="H55" s="17"/>
    </row>
    <row r="56" spans="1:8" s="37" customFormat="1" ht="12" customHeight="1" x14ac:dyDescent="0.25">
      <c r="A56" s="31"/>
      <c r="B56" s="122" t="s">
        <v>77</v>
      </c>
      <c r="C56" s="122"/>
      <c r="D56" s="122"/>
      <c r="E56" s="122"/>
      <c r="F56" s="122"/>
      <c r="G56" s="122"/>
      <c r="H56" s="36"/>
    </row>
    <row r="57" spans="1:8" s="37" customFormat="1" ht="12" customHeight="1" x14ac:dyDescent="0.25">
      <c r="A57" s="36"/>
      <c r="B57" s="123" t="s">
        <v>78</v>
      </c>
      <c r="C57" s="123"/>
      <c r="D57" s="124">
        <v>15</v>
      </c>
      <c r="E57" s="29" t="s">
        <v>79</v>
      </c>
      <c r="F57" s="29"/>
      <c r="G57" s="29"/>
      <c r="H57" s="36"/>
    </row>
    <row r="58" spans="1:8" s="37" customFormat="1" ht="12" customHeight="1" x14ac:dyDescent="0.25">
      <c r="A58" s="31"/>
      <c r="B58" s="122" t="s">
        <v>80</v>
      </c>
      <c r="C58" s="122"/>
      <c r="D58" s="122"/>
      <c r="E58" s="122"/>
      <c r="F58" s="122"/>
      <c r="G58" s="122"/>
      <c r="H58" s="36"/>
    </row>
    <row r="59" spans="1:8" s="37" customFormat="1" ht="12" customHeight="1" x14ac:dyDescent="0.25">
      <c r="A59" s="36"/>
      <c r="B59" s="125" t="s">
        <v>81</v>
      </c>
      <c r="C59" s="125"/>
      <c r="D59" s="126">
        <f>C61+C62</f>
        <v>0</v>
      </c>
      <c r="E59" s="127" t="s">
        <v>82</v>
      </c>
      <c r="F59" s="127"/>
      <c r="G59" s="29"/>
      <c r="H59" s="36"/>
    </row>
    <row r="60" spans="1:8" s="37" customFormat="1" ht="12" customHeight="1" x14ac:dyDescent="0.25">
      <c r="A60" s="31"/>
      <c r="B60" s="122" t="s">
        <v>83</v>
      </c>
      <c r="C60" s="122"/>
      <c r="D60" s="122"/>
      <c r="E60" s="122"/>
      <c r="F60" s="122"/>
      <c r="G60" s="122"/>
      <c r="H60" s="36"/>
    </row>
    <row r="61" spans="1:8" s="37" customFormat="1" ht="12" customHeight="1" x14ac:dyDescent="0.25">
      <c r="A61" s="36"/>
      <c r="B61" s="128" t="s">
        <v>84</v>
      </c>
      <c r="C61" s="129"/>
      <c r="D61" s="130" t="s">
        <v>85</v>
      </c>
      <c r="E61" s="130"/>
      <c r="F61" s="130"/>
      <c r="G61" s="131">
        <f ca="1">E17</f>
        <v>45772</v>
      </c>
      <c r="H61" s="36"/>
    </row>
    <row r="62" spans="1:8" s="37" customFormat="1" ht="12" customHeight="1" x14ac:dyDescent="0.25">
      <c r="A62" s="36"/>
      <c r="B62" s="128" t="s">
        <v>84</v>
      </c>
      <c r="C62" s="132"/>
      <c r="D62" s="130" t="s">
        <v>86</v>
      </c>
      <c r="E62" s="130"/>
      <c r="F62" s="130"/>
      <c r="G62" s="131">
        <f ca="1">E17+7</f>
        <v>45779</v>
      </c>
      <c r="H62" s="133" t="s">
        <v>87</v>
      </c>
    </row>
    <row r="63" spans="1:8" s="37" customFormat="1" ht="12" customHeight="1" x14ac:dyDescent="0.25">
      <c r="A63" s="17"/>
      <c r="B63" s="134" t="s">
        <v>88</v>
      </c>
      <c r="C63" s="134"/>
      <c r="D63" s="134"/>
      <c r="E63" s="134"/>
      <c r="F63" s="134"/>
      <c r="G63" s="134"/>
      <c r="H63" s="135"/>
    </row>
    <row r="64" spans="1:8" s="37" customFormat="1" ht="12" customHeight="1" x14ac:dyDescent="0.2">
      <c r="A64" s="136" t="s">
        <v>89</v>
      </c>
      <c r="B64" s="137" t="s">
        <v>90</v>
      </c>
      <c r="C64" s="137"/>
      <c r="D64" s="137"/>
      <c r="E64" s="137"/>
      <c r="F64" s="137"/>
      <c r="G64" s="137"/>
    </row>
    <row r="65" spans="2:8" ht="12" customHeight="1" x14ac:dyDescent="0.25">
      <c r="B65" s="138" t="s">
        <v>91</v>
      </c>
      <c r="C65" s="138"/>
      <c r="D65" s="138"/>
      <c r="E65" s="138"/>
      <c r="F65" s="138" t="s">
        <v>92</v>
      </c>
      <c r="G65" s="138"/>
      <c r="H65" s="138"/>
    </row>
    <row r="66" spans="2:8" ht="12" customHeight="1" x14ac:dyDescent="0.25">
      <c r="B66" s="139" t="s">
        <v>93</v>
      </c>
      <c r="C66" s="139"/>
      <c r="D66" s="139"/>
      <c r="E66" s="139"/>
      <c r="F66" s="138" t="s">
        <v>94</v>
      </c>
      <c r="G66" s="138"/>
      <c r="H66" s="138"/>
    </row>
    <row r="67" spans="2:8" ht="12" customHeight="1" x14ac:dyDescent="0.25">
      <c r="B67" s="139" t="s">
        <v>95</v>
      </c>
      <c r="C67" s="139"/>
      <c r="D67" s="139"/>
      <c r="E67" s="139"/>
      <c r="F67" s="138" t="s">
        <v>96</v>
      </c>
      <c r="G67" s="138"/>
      <c r="H67" s="138"/>
    </row>
    <row r="68" spans="2:8" ht="12" customHeight="1" x14ac:dyDescent="0.25">
      <c r="B68" s="138" t="s">
        <v>97</v>
      </c>
      <c r="C68" s="138"/>
      <c r="D68" s="138"/>
      <c r="E68" s="138"/>
      <c r="F68" s="138"/>
      <c r="G68" s="138"/>
    </row>
    <row r="69" spans="2:8" ht="12" customHeight="1" x14ac:dyDescent="0.25">
      <c r="B69" s="140"/>
      <c r="C69" s="140"/>
      <c r="D69" s="140"/>
      <c r="E69" s="140"/>
      <c r="F69" s="140"/>
      <c r="G69" s="140"/>
      <c r="H69" s="140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E22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1:D21 E20:G21" name="Rango1_1"/>
    <protectedRange algorithmName="SHA-512" hashValue="jRsd99E24Wg0cREusBHWfr8AogbmoKcBAiIEI/AkVrYZ6d3Zv1r365CvDnomnIuIagvCXHSwta3CL7/ZYpI/1A==" saltValue="4GoUJy3q9tod8g93O8nnng==" spinCount="100000" sqref="B23:D23 B25:D27" name="Rango1_4"/>
    <protectedRange algorithmName="SHA-512" hashValue="1IwEtpPovyRjspz9ti3J5udl070IPZ9gDlGmM3ZH/lFyQlLVVL2qbaMds7kHvZZkPq7VvowLV2MqpNnf8owpjQ==" saltValue="SwYyjj//I75seGLqQP0hyQ==" spinCount="100000" sqref="B31:D32 B44:B45 C43:D44" name="Rango2_2"/>
    <protectedRange algorithmName="SHA-512" hashValue="jRsd99E24Wg0cREusBHWfr8AogbmoKcBAiIEI/AkVrYZ6d3Zv1r365CvDnomnIuIagvCXHSwta3CL7/ZYpI/1A==" saltValue="4GoUJy3q9tod8g93O8nnng==" spinCount="100000" sqref="B43 C45:D45 C42:D42 F32:G36 F31 F30:G30 E30:E36" name="Rango1_5"/>
    <protectedRange algorithmName="SHA-512" hashValue="1IwEtpPovyRjspz9ti3J5udl070IPZ9gDlGmM3ZH/lFyQlLVVL2qbaMds7kHvZZkPq7VvowLV2MqpNnf8owpjQ==" saltValue="SwYyjj//I75seGLqQP0hyQ==" spinCount="100000" sqref="E37:G38 E39" name="Rango2_2_2"/>
    <protectedRange algorithmName="SHA-512" hashValue="jRsd99E24Wg0cREusBHWfr8AogbmoKcBAiIEI/AkVrYZ6d3Zv1r365CvDnomnIuIagvCXHSwta3CL7/ZYpI/1A==" saltValue="4GoUJy3q9tod8g93O8nnng==" spinCount="100000" sqref="B49:D49" name="Rango1_7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CC5537A-D1A7-4FA8-B994-49B10E93761F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PLA-NOD</vt:lpstr>
      <vt:lpstr>'PLA-NOD'!Print_Area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2025-04-25T17:38:56Z</dcterms:created>
  <dcterms:modified xsi:type="dcterms:W3CDTF">2025-04-25T17:38:57Z</dcterms:modified>
</cp:coreProperties>
</file>
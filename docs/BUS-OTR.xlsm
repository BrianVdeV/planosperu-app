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0DD4B1C9-DEC9-41C8-87F3-2D260905FBCA}" xr6:coauthVersionLast="47" xr6:coauthVersionMax="47" xr10:uidLastSave="{00000000-0000-0000-0000-000000000000}"/>
  <bookViews>
    <workbookView xWindow="3150" yWindow="3150" windowWidth="18000" windowHeight="9360" activeTab="1" xr2:uid="{C7D01762-4DE4-4E65-9729-309141D8D5DB}"/>
  </bookViews>
  <sheets>
    <sheet name="Hoja1" sheetId="1" r:id="rId1"/>
    <sheet name="BUS-OTR" sheetId="2" r:id="rId2"/>
  </sheets>
  <definedNames>
    <definedName name="Print_Area" localSheetId="1">'BUS-OTR'!$A$1:$H$73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<sst xmlns="http://schemas.openxmlformats.org/spreadsheetml/2006/main" count="96" uniqueCount="93">
  <si>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</si>
  <si>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</si>
  <si>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</si>
  <si>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</si>
  <si>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</si>
  <si>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</si>
  <si>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</si>
  <si>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</si>
  <si>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</si>
  <si>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BUSQUEDA CATASTRAL Y OTROS TRÁMITES</t>
  </si>
  <si>
    <t>Proyecto:</t>
  </si>
  <si>
    <t>Expediente para busqueda catastral (SUNARP) y Otros Trámites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</si>
  <si>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</si>
  <si>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</si>
  <si>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</si>
  <si>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</si>
  <si>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</si>
  <si>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</si>
  <si>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</si>
  <si>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</si>
  <si>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</si>
  <si>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</si>
  <si>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</si>
  <si>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</si>
  <si>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</si>
  <si>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</si>
  <si>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</si>
  <si>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</si>
  <si>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</si>
  <si>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</t>
  </si>
  <si>
    <t>A.2 Arquitectura-Distribución</t>
  </si>
  <si>
    <t>A.12 Ubicación Coordenadas WGS84</t>
  </si>
  <si>
    <t>A.3 Cortes Y elevaciones</t>
  </si>
  <si>
    <t>A.13 Plano Perimetrico Coordenadas PSAD56</t>
  </si>
  <si>
    <t xml:space="preserve">A.4 Estructuras Cimentación </t>
  </si>
  <si>
    <t>A.14 Plano Perimetrico Coordenadas WGS84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</si>
  <si>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</si>
  <si>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</si>
  <si>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</si>
  <si>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</si>
  <si>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</si>
  <si>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(si fuera el caso)</t>
  </si>
  <si>
    <t>B.11 Subsanacion de observaciones SUNARP (si fuera el caso)</t>
  </si>
  <si>
    <t>B.2 Solicitud y Memoria Descriptiva SUNARP</t>
  </si>
  <si>
    <t>B.12 FUE (Formulario Unico de Edifcaciones)</t>
  </si>
  <si>
    <t>B.3 Informe de Diagnostico Tecnico del inmueble Ica</t>
  </si>
  <si>
    <t>B.13 CT ICA (Ica)  A.T 1138.00 m2</t>
  </si>
  <si>
    <t>B.14 CT Ica</t>
  </si>
  <si>
    <t xml:space="preserve">B.4 Tramite Certificado de Parámetro Urbanístico </t>
  </si>
  <si>
    <t>B.15 CT Tarma</t>
  </si>
  <si>
    <t>B.5 Tramite solicitud de titulos archivados de la Fabrica en SUNARP</t>
  </si>
  <si>
    <t>B.16 CT Cajamarca</t>
  </si>
  <si>
    <t>B.17 CT Puno</t>
  </si>
  <si>
    <t>B.6 Constancia y Acta Extraordinaria (si fuera el caso)</t>
  </si>
  <si>
    <t>B.18 CT Juliaca</t>
  </si>
  <si>
    <t>B.7 Informe Tecnico de Verificación</t>
  </si>
  <si>
    <t>B.19 CT Chincha</t>
  </si>
  <si>
    <t xml:space="preserve">B.8 Declaracion Jurada </t>
  </si>
  <si>
    <t>B.20 CT Trujillo</t>
  </si>
  <si>
    <t>B.9 Memoria descriptiva</t>
  </si>
  <si>
    <t>B.21 Asesoria durante el proceso</t>
  </si>
  <si>
    <t>B.10 Anexo Nº 4 SUNARP</t>
  </si>
  <si>
    <t>2.- ALCANCES: ENTREGA DE DOCUMENTOS FIRMADOS – PROFESIONALES VIGENTES</t>
  </si>
  <si>
    <t xml:space="preserve">2.1 Planos y/o Documentos e Informe Tecnico de Diagnostico Impresos 1 Original </t>
  </si>
  <si>
    <t>2.3 Investigacion Antecedentes de Inmueble SUNARP</t>
  </si>
  <si>
    <t>Diagnostico Sellado y Firmado por Profesional Colegiado</t>
  </si>
  <si>
    <t>2.4 Servicio de Tramitación de expediente ante</t>
  </si>
  <si>
    <t xml:space="preserve"> vigente 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</si>
  <si>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</si>
  <si>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</si>
  <si>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</si>
  <si>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</si>
  <si>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</si>
  <si>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</si>
  <si>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</si>
  <si>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</si>
  <si>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</si>
  <si>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</si>
  <si>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</si>
  <si>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</si>
  <si>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envio digital de cargos del tramite ( Sunarp, Municipal)</t>
  </si>
  <si>
    <t>Aprox.</t>
  </si>
  <si>
    <t>Envio Informe tecn.-Emision CBC (aprobacion)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</si>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</sst>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8" fillId="3" borderId="9" xfId="0" applyFont="1" applyFill="1" applyBorder="1" applyAlignment="1" applyProtection="1">
      <alignment horizontal="left" vertical="center"/>
      <protection hidden="1"/>
    </xf>
    <xf numFmtId="0" fontId="8" fillId="3" borderId="0" xfId="0" applyFont="1" applyFill="1" applyAlignment="1" applyProtection="1">
      <alignment horizontal="left" vertical="center"/>
      <protection hidden="1"/>
    </xf>
    <xf numFmtId="0" fontId="8" fillId="3" borderId="3" xfId="0" applyFont="1" applyFill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8" fillId="3" borderId="9" xfId="0" applyFont="1" applyFill="1" applyBorder="1" applyAlignment="1" applyProtection="1">
      <alignment horizontal="left" vertical="center" wrapText="1"/>
      <protection hidden="1"/>
    </xf>
    <xf numFmtId="0" fontId="8" fillId="3" borderId="0" xfId="0" applyFont="1" applyFill="1" applyAlignment="1" applyProtection="1">
      <alignment horizontal="left" vertical="center" wrapText="1"/>
      <protection hidden="1"/>
    </xf>
    <xf numFmtId="0" fontId="8" fillId="3" borderId="3" xfId="0" applyFont="1" applyFill="1" applyBorder="1" applyAlignment="1" applyProtection="1">
      <alignment horizontal="left" vertical="center" wrapText="1"/>
      <protection hidden="1"/>
    </xf>
    <xf numFmtId="0" fontId="8" fillId="3" borderId="9" xfId="0" applyFont="1" applyFill="1" applyBorder="1" applyAlignment="1" applyProtection="1">
      <alignment vertical="center"/>
      <protection hidden="1"/>
    </xf>
    <xf numFmtId="0" fontId="8" fillId="3" borderId="0" xfId="0" applyFont="1" applyFill="1" applyAlignment="1" applyProtection="1">
      <alignment vertical="center"/>
      <protection hidden="1"/>
    </xf>
    <xf numFmtId="0" fontId="8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4" borderId="9" xfId="0" applyFont="1" applyFill="1" applyBorder="1" applyAlignment="1" applyProtection="1">
      <alignment vertical="center" wrapText="1"/>
      <protection hidden="1"/>
    </xf>
    <xf numFmtId="0" fontId="13" fillId="4" borderId="0" xfId="0" applyFont="1" applyFill="1" applyAlignment="1" applyProtection="1">
      <alignment vertical="center" wrapText="1"/>
      <protection hidden="1"/>
    </xf>
    <xf numFmtId="0" fontId="13" fillId="4" borderId="3" xfId="0" applyFont="1" applyFill="1" applyBorder="1" applyAlignment="1" applyProtection="1">
      <alignment vertical="center" wrapText="1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7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378B57D6-82A5-4A02-96AD-3AF6095660B3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DB6E04B9-0C55-4A0B-8939-AEDAA30E026C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385E3FBF-B532-44E6-A867-59E33B23BCF1}"/>
            </a:ext>
          </a:extLst>
        </xdr:cNvPr>
        <xdr:cNvSpPr>
          <a:spLocks noChangeArrowheads="1"/>
        </xdr:cNvSpPr>
      </xdr:nvSpPr>
      <xdr:spPr bwMode="auto">
        <a:xfrm>
          <a:off x="393064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BCAD86C9-B9BC-4DF0-AFAC-48692B16090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E192F667-EE2A-43E0-8DDB-7BD3716A2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A222AFD2-DF8F-4258-8276-4A7C133548C4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76190772-DA7A-4445-8CDC-D0982CC1E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22BDB4C9-EEC3-45E3-9590-10405B0054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39E20-1B80-4AD3-A2A4-3D01BE95ADE9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BE7C3-A73A-452B-BD2C-5A447B23BF4A}">
  <sheetPr codeName="Hoja43">
    <tabColor theme="1"/>
    <pageSetUpPr fitToPage="1"/>
  </sheetPr>
  <dimension ref="A3:H80"/>
  <sheetViews>
    <sheetView showGridLines="0" tabSelected="1" showRuler="0" view="pageBreakPreview" topLeftCell="A59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50" t="s">
        <v>29</v>
      </c>
      <c r="F23" s="51"/>
      <c r="G23" s="52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50" t="s">
        <v>31</v>
      </c>
      <c r="F24" s="51"/>
      <c r="G24" s="52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50" t="s">
        <v>33</v>
      </c>
      <c r="F25" s="51"/>
      <c r="G25" s="52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55" t="s">
        <v>35</v>
      </c>
      <c r="F26" s="56"/>
      <c r="G26" s="57"/>
      <c r="H26" s="17"/>
    </row>
    <row r="27" spans="1:8" s="37" customFormat="1" ht="12" customHeight="1" x14ac:dyDescent="0.25">
      <c r="A27" s="54"/>
      <c r="B27" s="58" t="s">
        <v>36</v>
      </c>
      <c r="C27" s="59"/>
      <c r="D27" s="60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61" t="s">
        <v>38</v>
      </c>
      <c r="C28" s="62"/>
      <c r="D28" s="63"/>
      <c r="E28" s="64" t="s">
        <v>39</v>
      </c>
      <c r="F28" s="65"/>
      <c r="G28" s="66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7"/>
      <c r="F29" s="67"/>
      <c r="G29" s="68"/>
      <c r="H29" s="17"/>
    </row>
    <row r="30" spans="1:8" s="37" customFormat="1" ht="12" customHeight="1" x14ac:dyDescent="0.25">
      <c r="A30" s="69"/>
      <c r="B30" s="70" t="s">
        <v>41</v>
      </c>
      <c r="C30" s="71"/>
      <c r="D30" s="72"/>
      <c r="E30" s="73" t="s">
        <v>42</v>
      </c>
      <c r="F30" s="74"/>
      <c r="G30" s="75"/>
      <c r="H30" s="17"/>
    </row>
    <row r="31" spans="1:8" s="37" customFormat="1" ht="12" customHeight="1" x14ac:dyDescent="0.25">
      <c r="A31" s="69"/>
      <c r="B31" s="58" t="s">
        <v>43</v>
      </c>
      <c r="C31" s="59"/>
      <c r="D31" s="60"/>
      <c r="E31" s="58" t="s">
        <v>44</v>
      </c>
      <c r="F31" s="59"/>
      <c r="G31" s="60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80" t="s">
        <v>46</v>
      </c>
      <c r="F32" s="81"/>
      <c r="G32" s="82"/>
      <c r="H32" s="17"/>
    </row>
    <row r="33" spans="1:8" s="37" customFormat="1" ht="12" customHeight="1" x14ac:dyDescent="0.25">
      <c r="A33" s="17"/>
      <c r="B33" s="77"/>
      <c r="C33" s="78"/>
      <c r="D33" s="79"/>
      <c r="E33" s="58" t="s">
        <v>47</v>
      </c>
      <c r="F33" s="59"/>
      <c r="G33" s="60"/>
      <c r="H33" s="17"/>
    </row>
    <row r="34" spans="1:8" s="37" customFormat="1" ht="12" customHeight="1" x14ac:dyDescent="0.25">
      <c r="A34" s="17"/>
      <c r="B34" s="80" t="s">
        <v>48</v>
      </c>
      <c r="C34" s="81"/>
      <c r="D34" s="82"/>
      <c r="E34" s="58" t="s">
        <v>49</v>
      </c>
      <c r="F34" s="59"/>
      <c r="G34" s="60"/>
      <c r="H34" s="17"/>
    </row>
    <row r="35" spans="1:8" s="37" customFormat="1" ht="12" customHeight="1" x14ac:dyDescent="0.25">
      <c r="A35" s="17"/>
      <c r="B35" s="77" t="s">
        <v>50</v>
      </c>
      <c r="C35" s="78"/>
      <c r="D35" s="79"/>
      <c r="E35" s="58" t="s">
        <v>51</v>
      </c>
      <c r="F35" s="59"/>
      <c r="G35" s="60"/>
      <c r="H35" s="17"/>
    </row>
    <row r="36" spans="1:8" s="37" customFormat="1" ht="12" customHeight="1" x14ac:dyDescent="0.25">
      <c r="A36" s="17"/>
      <c r="B36" s="77"/>
      <c r="C36" s="78"/>
      <c r="D36" s="79"/>
      <c r="E36" s="58" t="s">
        <v>52</v>
      </c>
      <c r="F36" s="59"/>
      <c r="G36" s="60"/>
      <c r="H36" s="17"/>
    </row>
    <row r="37" spans="1:8" s="37" customFormat="1" ht="12" customHeight="1" x14ac:dyDescent="0.25">
      <c r="A37" s="17"/>
      <c r="B37" s="83" t="s">
        <v>53</v>
      </c>
      <c r="C37" s="84"/>
      <c r="D37" s="85"/>
      <c r="E37" s="58" t="s">
        <v>54</v>
      </c>
      <c r="F37" s="59"/>
      <c r="G37" s="60"/>
      <c r="H37" s="17"/>
    </row>
    <row r="38" spans="1:8" s="37" customFormat="1" ht="12" customHeight="1" x14ac:dyDescent="0.25">
      <c r="A38" s="17"/>
      <c r="B38" s="58" t="s">
        <v>55</v>
      </c>
      <c r="C38" s="59"/>
      <c r="D38" s="60"/>
      <c r="E38" s="58" t="s">
        <v>56</v>
      </c>
      <c r="F38" s="59"/>
      <c r="G38" s="60"/>
      <c r="H38" s="17"/>
    </row>
    <row r="39" spans="1:8" s="37" customFormat="1" ht="12" customHeight="1" x14ac:dyDescent="0.25">
      <c r="A39" s="17"/>
      <c r="B39" s="86" t="s">
        <v>57</v>
      </c>
      <c r="C39" s="87"/>
      <c r="D39" s="88"/>
      <c r="E39" s="58" t="s">
        <v>58</v>
      </c>
      <c r="F39" s="59"/>
      <c r="G39" s="60"/>
      <c r="H39" s="17"/>
    </row>
    <row r="40" spans="1:8" s="37" customFormat="1" ht="12" customHeight="1" x14ac:dyDescent="0.25">
      <c r="A40" s="17"/>
      <c r="B40" s="80" t="s">
        <v>59</v>
      </c>
      <c r="C40" s="81"/>
      <c r="D40" s="82"/>
      <c r="E40" s="86" t="s">
        <v>60</v>
      </c>
      <c r="F40" s="87"/>
      <c r="G40" s="88"/>
      <c r="H40" s="17"/>
    </row>
    <row r="41" spans="1:8" s="37" customFormat="1" ht="12" customHeight="1" x14ac:dyDescent="0.25">
      <c r="A41" s="17"/>
      <c r="B41" s="89" t="s">
        <v>61</v>
      </c>
      <c r="C41" s="90"/>
      <c r="D41" s="91"/>
      <c r="E41" s="58"/>
      <c r="F41" s="59"/>
      <c r="G41" s="60"/>
      <c r="H41" s="17"/>
    </row>
    <row r="42" spans="1:8" s="37" customFormat="1" ht="12" hidden="1" customHeight="1" x14ac:dyDescent="0.25">
      <c r="A42" s="17"/>
      <c r="B42" s="92"/>
      <c r="C42" s="93"/>
      <c r="D42" s="94"/>
      <c r="E42" s="95"/>
      <c r="F42" s="96"/>
      <c r="G42" s="97"/>
      <c r="H42" s="17"/>
    </row>
    <row r="43" spans="1:8" s="37" customFormat="1" ht="12" hidden="1" customHeight="1" x14ac:dyDescent="0.25">
      <c r="A43" s="17"/>
      <c r="B43" s="58"/>
      <c r="C43" s="59"/>
      <c r="D43" s="60"/>
      <c r="E43" s="98"/>
      <c r="F43" s="99"/>
      <c r="G43" s="100"/>
      <c r="H43" s="17"/>
    </row>
    <row r="44" spans="1:8" s="37" customFormat="1" ht="12" hidden="1" customHeight="1" x14ac:dyDescent="0.25">
      <c r="A44" s="17"/>
      <c r="B44" s="86"/>
      <c r="C44" s="87"/>
      <c r="D44" s="88"/>
      <c r="E44" s="101"/>
      <c r="F44" s="102"/>
      <c r="G44" s="103"/>
      <c r="H44" s="17"/>
    </row>
    <row r="45" spans="1:8" s="37" customFormat="1" ht="12" hidden="1" customHeight="1" x14ac:dyDescent="0.25">
      <c r="A45" s="17"/>
      <c r="B45" s="89"/>
      <c r="C45" s="90"/>
      <c r="D45" s="91"/>
      <c r="E45" s="104"/>
      <c r="F45" s="105"/>
      <c r="G45" s="106"/>
      <c r="H45" s="17"/>
    </row>
    <row r="46" spans="1:8" s="37" customFormat="1" ht="12" customHeight="1" x14ac:dyDescent="0.25">
      <c r="B46" s="46" t="s">
        <v>62</v>
      </c>
      <c r="C46" s="47"/>
      <c r="D46" s="47"/>
      <c r="E46" s="47"/>
      <c r="F46" s="47"/>
      <c r="G46" s="107"/>
      <c r="H46" s="17"/>
    </row>
    <row r="47" spans="1:8" s="37" customFormat="1" ht="12" customHeight="1" x14ac:dyDescent="0.25">
      <c r="A47" s="17"/>
      <c r="B47" s="108" t="s">
        <v>63</v>
      </c>
      <c r="C47" s="109"/>
      <c r="D47" s="110"/>
      <c r="E47" s="43" t="s">
        <v>64</v>
      </c>
      <c r="F47" s="44"/>
      <c r="G47" s="45"/>
      <c r="H47" s="17"/>
    </row>
    <row r="48" spans="1:8" s="37" customFormat="1" ht="12" customHeight="1" x14ac:dyDescent="0.25">
      <c r="A48" s="17"/>
      <c r="B48" s="111" t="s">
        <v>65</v>
      </c>
      <c r="C48" s="112"/>
      <c r="D48" s="113"/>
      <c r="E48" s="43" t="s">
        <v>66</v>
      </c>
      <c r="F48" s="44"/>
      <c r="G48" s="45"/>
      <c r="H48" s="17"/>
    </row>
    <row r="49" spans="1:8" s="37" customFormat="1" ht="12" customHeight="1" x14ac:dyDescent="0.25">
      <c r="A49" s="17"/>
      <c r="B49" s="111" t="s">
        <v>67</v>
      </c>
      <c r="C49" s="112"/>
      <c r="D49" s="113"/>
      <c r="E49" s="58" t="s">
        <v>68</v>
      </c>
      <c r="F49" s="59"/>
      <c r="G49" s="60"/>
      <c r="H49" s="17"/>
    </row>
    <row r="50" spans="1:8" s="37" customFormat="1" ht="12" customHeight="1" x14ac:dyDescent="0.25">
      <c r="A50" s="17"/>
      <c r="B50" s="114" t="s">
        <v>69</v>
      </c>
      <c r="C50" s="115"/>
      <c r="D50" s="116"/>
      <c r="E50" s="89"/>
      <c r="F50" s="90"/>
      <c r="G50" s="91"/>
      <c r="H50" s="17"/>
    </row>
    <row r="51" spans="1:8" s="37" customFormat="1" ht="12" customHeight="1" x14ac:dyDescent="0.25">
      <c r="A51" s="17"/>
      <c r="B51" s="117"/>
      <c r="C51" s="117"/>
      <c r="D51" s="117"/>
      <c r="E51" s="117"/>
      <c r="F51" s="117"/>
      <c r="G51" s="117"/>
      <c r="H51" s="17"/>
    </row>
    <row r="52" spans="1:8" s="37" customFormat="1" ht="12" customHeight="1" x14ac:dyDescent="0.25">
      <c r="A52" s="17"/>
      <c r="B52" s="118" t="s">
        <v>70</v>
      </c>
      <c r="C52" s="119"/>
      <c r="D52" s="119"/>
      <c r="E52" s="119"/>
      <c r="F52" s="119"/>
      <c r="G52" s="119"/>
      <c r="H52" s="17"/>
    </row>
    <row r="53" spans="1:8" s="37" customFormat="1" ht="12" customHeight="1" x14ac:dyDescent="0.25">
      <c r="A53" s="17"/>
      <c r="B53" s="120"/>
      <c r="C53" s="120"/>
      <c r="D53" s="120"/>
      <c r="E53" s="120"/>
      <c r="F53" s="120"/>
      <c r="G53" s="120"/>
      <c r="H53" s="17"/>
    </row>
    <row r="54" spans="1:8" s="37" customFormat="1" ht="12" customHeight="1" x14ac:dyDescent="0.25">
      <c r="A54" s="17"/>
      <c r="B54" s="120"/>
      <c r="C54" s="120"/>
      <c r="D54" s="120"/>
      <c r="E54" s="120"/>
      <c r="F54" s="120"/>
      <c r="G54" s="120"/>
      <c r="H54" s="17"/>
    </row>
    <row r="55" spans="1:8" s="37" customFormat="1" ht="12" customHeight="1" x14ac:dyDescent="0.25">
      <c r="A55" s="17"/>
      <c r="B55" s="121"/>
      <c r="C55" s="121"/>
      <c r="D55" s="121"/>
      <c r="E55" s="121"/>
      <c r="F55" s="121"/>
      <c r="G55" s="121"/>
      <c r="H55" s="17"/>
    </row>
    <row r="56" spans="1:8" s="37" customFormat="1" ht="12" customHeight="1" x14ac:dyDescent="0.25">
      <c r="A56" s="31"/>
      <c r="B56" s="122" t="s">
        <v>71</v>
      </c>
      <c r="C56" s="122"/>
      <c r="D56" s="122"/>
      <c r="E56" s="122"/>
      <c r="F56" s="122"/>
      <c r="G56" s="122"/>
      <c r="H56" s="36"/>
    </row>
    <row r="57" spans="1:8" s="37" customFormat="1" ht="12" customHeight="1" x14ac:dyDescent="0.25">
      <c r="A57" s="36"/>
      <c r="B57" s="123" t="s">
        <v>72</v>
      </c>
      <c r="C57" s="123"/>
      <c r="D57" s="124">
        <v>15</v>
      </c>
      <c r="E57" s="29" t="s">
        <v>73</v>
      </c>
      <c r="F57" s="29"/>
      <c r="G57" s="29"/>
      <c r="H57" s="36"/>
    </row>
    <row r="58" spans="1:8" s="37" customFormat="1" ht="12" customHeight="1" x14ac:dyDescent="0.25">
      <c r="A58" s="31"/>
      <c r="B58" s="122" t="s">
        <v>74</v>
      </c>
      <c r="C58" s="122"/>
      <c r="D58" s="122"/>
      <c r="E58" s="122"/>
      <c r="F58" s="122"/>
      <c r="G58" s="122"/>
      <c r="H58" s="36"/>
    </row>
    <row r="59" spans="1:8" s="37" customFormat="1" ht="12" customHeight="1" x14ac:dyDescent="0.25">
      <c r="A59" s="36"/>
      <c r="B59" s="125" t="s">
        <v>75</v>
      </c>
      <c r="C59" s="125"/>
      <c r="D59" s="126">
        <f>C61+C62+C63</f>
        <v>0</v>
      </c>
      <c r="E59" s="127" t="s">
        <v>76</v>
      </c>
      <c r="F59" s="127"/>
      <c r="G59" s="29"/>
      <c r="H59" s="36"/>
    </row>
    <row r="60" spans="1:8" s="37" customFormat="1" ht="12" customHeight="1" x14ac:dyDescent="0.25">
      <c r="A60" s="31"/>
      <c r="B60" s="122" t="s">
        <v>77</v>
      </c>
      <c r="C60" s="122"/>
      <c r="D60" s="122"/>
      <c r="E60" s="122"/>
      <c r="F60" s="122"/>
      <c r="G60" s="122"/>
      <c r="H60" s="36"/>
    </row>
    <row r="61" spans="1:8" s="37" customFormat="1" ht="12" customHeight="1" x14ac:dyDescent="0.25">
      <c r="A61" s="36"/>
      <c r="B61" s="128" t="s">
        <v>78</v>
      </c>
      <c r="C61" s="129"/>
      <c r="D61" s="130" t="s">
        <v>79</v>
      </c>
      <c r="E61" s="130"/>
      <c r="F61" s="130"/>
      <c r="G61" s="131">
        <f ca="1">E$17</f>
        <v>45772</v>
      </c>
      <c r="H61" s="36"/>
    </row>
    <row r="62" spans="1:8" s="37" customFormat="1" ht="12" customHeight="1" x14ac:dyDescent="0.25">
      <c r="A62" s="36"/>
      <c r="B62" s="128" t="s">
        <v>78</v>
      </c>
      <c r="C62" s="129"/>
      <c r="D62" s="132" t="s">
        <v>80</v>
      </c>
      <c r="E62" s="132"/>
      <c r="F62" s="132"/>
      <c r="G62" s="131">
        <f ca="1">E$17+2</f>
        <v>45774</v>
      </c>
      <c r="H62" s="133" t="s">
        <v>81</v>
      </c>
    </row>
    <row r="63" spans="1:8" s="37" customFormat="1" ht="12" customHeight="1" x14ac:dyDescent="0.25">
      <c r="A63" s="36"/>
      <c r="B63" s="128" t="s">
        <v>78</v>
      </c>
      <c r="C63" s="134"/>
      <c r="D63" s="130" t="s">
        <v>82</v>
      </c>
      <c r="E63" s="130"/>
      <c r="F63" s="130"/>
      <c r="G63" s="131">
        <f ca="1">E$17+25</f>
        <v>45797</v>
      </c>
      <c r="H63" s="133" t="s">
        <v>81</v>
      </c>
    </row>
    <row r="64" spans="1:8" s="37" customFormat="1" ht="12" customHeight="1" x14ac:dyDescent="0.25">
      <c r="A64" s="17"/>
      <c r="B64" s="135" t="s">
        <v>83</v>
      </c>
      <c r="C64" s="135"/>
      <c r="D64" s="135"/>
      <c r="E64" s="135"/>
      <c r="F64" s="135"/>
      <c r="G64" s="135"/>
      <c r="H64" s="136"/>
    </row>
    <row r="65" spans="1:8" s="37" customFormat="1" ht="12" customHeight="1" x14ac:dyDescent="0.2">
      <c r="A65" s="137" t="s">
        <v>84</v>
      </c>
      <c r="B65" s="138" t="s">
        <v>85</v>
      </c>
      <c r="C65" s="138"/>
      <c r="D65" s="138"/>
      <c r="E65" s="138"/>
      <c r="F65" s="138"/>
      <c r="G65" s="138"/>
    </row>
    <row r="66" spans="1:8" ht="12" customHeight="1" x14ac:dyDescent="0.25">
      <c r="B66" s="139" t="s">
        <v>86</v>
      </c>
      <c r="C66" s="139"/>
      <c r="D66" s="139"/>
      <c r="E66" s="139"/>
      <c r="F66" s="139" t="s">
        <v>87</v>
      </c>
      <c r="G66" s="139"/>
      <c r="H66" s="139"/>
    </row>
    <row r="67" spans="1:8" ht="12" customHeight="1" x14ac:dyDescent="0.25">
      <c r="B67" s="140" t="s">
        <v>88</v>
      </c>
      <c r="C67" s="140"/>
      <c r="D67" s="140"/>
      <c r="E67" s="140"/>
      <c r="F67" s="139" t="s">
        <v>89</v>
      </c>
      <c r="G67" s="139"/>
      <c r="H67" s="139"/>
    </row>
    <row r="68" spans="1:8" ht="12" customHeight="1" x14ac:dyDescent="0.25">
      <c r="B68" s="140" t="s">
        <v>90</v>
      </c>
      <c r="C68" s="140"/>
      <c r="D68" s="140"/>
      <c r="E68" s="140"/>
      <c r="F68" s="139" t="s">
        <v>91</v>
      </c>
      <c r="G68" s="139"/>
      <c r="H68" s="139"/>
    </row>
    <row r="69" spans="1:8" ht="12" customHeight="1" x14ac:dyDescent="0.25">
      <c r="B69" s="139" t="s">
        <v>92</v>
      </c>
      <c r="C69" s="139"/>
      <c r="D69" s="139"/>
      <c r="E69" s="139"/>
      <c r="F69" s="139"/>
      <c r="G69" s="139"/>
    </row>
    <row r="70" spans="1:8" ht="12" customHeight="1" x14ac:dyDescent="0.25">
      <c r="B70" s="141"/>
      <c r="C70" s="141"/>
      <c r="D70" s="141"/>
      <c r="E70" s="141"/>
      <c r="F70" s="141"/>
      <c r="G70" s="141"/>
      <c r="H70" s="14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1:D21 E20:G22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B23:D23 B25:D27" name="Rango1_1"/>
    <protectedRange algorithmName="SHA-512" hashValue="1IwEtpPovyRjspz9ti3J5udl070IPZ9gDlGmM3ZH/lFyQlLVVL2qbaMds7kHvZZkPq7VvowLV2MqpNnf8owpjQ==" saltValue="SwYyjj//I75seGLqQP0hyQ==" spinCount="100000" sqref="E32:E33 B31:D32 F31:G32" name="Rango2_1"/>
    <protectedRange algorithmName="SHA-512" hashValue="jRsd99E24Wg0cREusBHWfr8AogbmoKcBAiIEI/AkVrYZ6d3Zv1r365CvDnomnIuIagvCXHSwta3CL7/ZYpI/1A==" saltValue="4GoUJy3q9tod8g93O8nnng==" spinCount="100000" sqref="E31 F36:G39 F35 F33:G34 F30:G30 E34:E39 E40:G41" name="Rango1_2"/>
    <protectedRange algorithmName="SHA-512" hashValue="jRsd99E24Wg0cREusBHWfr8AogbmoKcBAiIEI/AkVrYZ6d3Zv1r365CvDnomnIuIagvCXHSwta3CL7/ZYpI/1A==" saltValue="4GoUJy3q9tod8g93O8nnng==" spinCount="100000" sqref="B49:D49" name="Rango1_1_1"/>
  </protectedRanges>
  <mergeCells count="95">
    <mergeCell ref="B67:E67"/>
    <mergeCell ref="F67:H67"/>
    <mergeCell ref="B68:E68"/>
    <mergeCell ref="F68:H68"/>
    <mergeCell ref="B69:E69"/>
    <mergeCell ref="F69:G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0:D40"/>
    <mergeCell ref="E40:G40"/>
    <mergeCell ref="B41:D41"/>
    <mergeCell ref="E41:G41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8331B2DA-3907-4698-ACA3-080B3F6B98F0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BUS-OTR</vt:lpstr>
      <vt:lpstr>'BUS-OTR'!Print_Area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2025-04-25T15:38:28Z</dcterms:created>
  <dcterms:modified xsi:type="dcterms:W3CDTF">2025-04-25T15:38:29Z</dcterms:modified>
</cp:coreProperties>
</file>
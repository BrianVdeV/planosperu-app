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626" codeName="{62F9E958-00F4-224C-1CEB-3A4BEE276A53}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Lenovo Yoga 13\"/>
    </mc:Choice>
  </mc:AlternateContent>
  <xr:revisionPtr revIDLastSave="0" documentId="8_{75E8DB5E-A980-4D27-868C-0E2108AF8A53}" xr6:coauthVersionLast="47" xr6:coauthVersionMax="47" xr10:uidLastSave="{00000000-0000-0000-0000-000000000000}"/>
  <bookViews>
    <workbookView xWindow="3150" yWindow="3150" windowWidth="18000" windowHeight="9360" xr2:uid="{8460471B-D692-4E44-BAE2-685F63E789CB}"/>
  </bookViews>
  <sheets>
    <sheet name="MED-PLU" sheetId="2" r:id="rId1"/>
  </sheets>
  <definedNames>
    <definedName name="Print_Area" localSheetId="0">'MED-PLU'!$A$1:$H$72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59" i="2" l="1"/>
  <c r="E17" i="2"/>
  <c r="G62" i="2" s="1"/>
  <c r="G61" i="2" l="1"/>
</calcChain>
</file>

<file path=xl/sharedStrings.xml><?xml version="1.0" encoding="utf-8"?>
<sst xmlns="http://schemas.openxmlformats.org/spreadsheetml/2006/main" count="93" uniqueCount="92">
  <si>
    <t xml:space="preserve">                                                                                                                  </t>
  </si>
  <si>
    <t>Oficina Princ.</t>
  </si>
  <si>
    <t xml:space="preserve">Jr. José muñoz 354- Mz R3 Lote 22 Comas                                                                                                              </t>
  </si>
  <si>
    <t>Oficina 2</t>
  </si>
  <si>
    <t>Av. Guillermo Billinghurst 1081, San Juan de Miraflores</t>
  </si>
  <si>
    <t>Correo:</t>
  </si>
  <si>
    <t xml:space="preserve">planos.s@hotmail.com                       </t>
  </si>
  <si>
    <t>PaginaWeb:</t>
  </si>
  <si>
    <t>https://www.planosperu.com.pe</t>
  </si>
  <si>
    <t xml:space="preserve"> </t>
  </si>
  <si>
    <t>COTIZACION / CONTRATO DE ELABORACION EXPEDIENTE SOLICITUD MEDIDOR - PLUZ</t>
  </si>
  <si>
    <t>Proyecto:</t>
  </si>
  <si>
    <t>Expediente para Solicitud - Medidor - Pluz</t>
  </si>
  <si>
    <t>Detalles:</t>
  </si>
  <si>
    <t>Piso :</t>
  </si>
  <si>
    <t>Area:</t>
  </si>
  <si>
    <t>m² aprox.</t>
  </si>
  <si>
    <t>Medidas:</t>
  </si>
  <si>
    <t>Cliente (a)</t>
  </si>
  <si>
    <t xml:space="preserve">Ubicación: </t>
  </si>
  <si>
    <t>Telefono:</t>
  </si>
  <si>
    <t>DNI Nº:</t>
  </si>
  <si>
    <t>Fecha:</t>
  </si>
  <si>
    <t>1.- DESCRIPCIÓN DE NUESTROS SERVICIOS</t>
  </si>
  <si>
    <t>1.1 Medición de Inmueble o guia de planos del cliente</t>
  </si>
  <si>
    <t xml:space="preserve">1.3 Evaluación Estructuras </t>
  </si>
  <si>
    <t>1.2 Supervisión de Obra</t>
  </si>
  <si>
    <t>1.4 Tasación de Inmueble</t>
  </si>
  <si>
    <t>A. Desarrollo de Planos</t>
  </si>
  <si>
    <t>A.1 Anteproyecto (Hasta 3 Diseños)</t>
  </si>
  <si>
    <t>A,11 Ubicación Coordenadas PSAD56 o WGS84</t>
  </si>
  <si>
    <t>A.2 Plano Instalación Sanitaria</t>
  </si>
  <si>
    <t>A.12 Ubicación Coordenadas PSAD56 o WGS84</t>
  </si>
  <si>
    <t>A.3 Diagrama Unifilar</t>
  </si>
  <si>
    <t>A.13 Plano Perimetrico - Independización</t>
  </si>
  <si>
    <t>A.4 Plano de Distribución de Tableros</t>
  </si>
  <si>
    <t xml:space="preserve">A.14 Plano Ubicación </t>
  </si>
  <si>
    <t>A.5 Detalle de redes de Agua Fria y Caliente</t>
  </si>
  <si>
    <t>A.15 Cuadro tecnico</t>
  </si>
  <si>
    <t>A.10 Plano de Ubicación y Localización</t>
  </si>
  <si>
    <t>A.16 Plano Distribución</t>
  </si>
  <si>
    <t>B.  Elaboración de Documentos: del Expediente Solicitado</t>
  </si>
  <si>
    <t>B.1 Lectura Titulo SUNARP (si fuera el caso)</t>
  </si>
  <si>
    <t>B.11 Subsanacion de observaciones Pluz (si fuera el caso)</t>
  </si>
  <si>
    <t>B.2 Copia Literal actualizado del predio a Instalar medidor</t>
  </si>
  <si>
    <t>B.12 FUE (Formulario Unico de Edifcaciones)</t>
  </si>
  <si>
    <t>B.3 Reglamento interno y junta de Propietarios (si fuera el caso)</t>
  </si>
  <si>
    <t>B.13 Memoria descriptiva y de calculo</t>
  </si>
  <si>
    <t>B.14 Sucesión Intestada</t>
  </si>
  <si>
    <t>B.4 Foto de caja electrica con N° Suministro</t>
  </si>
  <si>
    <t>B.15 Presupuesto de Obra</t>
  </si>
  <si>
    <t>B.5 Modificación de Reglamento interno y junta de Propietarios (si fuera el caso)</t>
  </si>
  <si>
    <t>B.16. Escrito notarial si fuese requerido</t>
  </si>
  <si>
    <t>B.17 Factibilidad Electrica</t>
  </si>
  <si>
    <t>B.6 Constancia y Acta Extraordinaria (si fuera el caso)</t>
  </si>
  <si>
    <t>B.18 Carta de Seguridad de Obra</t>
  </si>
  <si>
    <t>B.7 Informe Tecnico de Verificación</t>
  </si>
  <si>
    <t>B.19 Carta de Responsabilidad de Obra</t>
  </si>
  <si>
    <t>B.8 Declaracion Jurada del profesional</t>
  </si>
  <si>
    <t>B.20 Escrito para respuesta de Notificacion Municpal</t>
  </si>
  <si>
    <t xml:space="preserve">B.9 Boleta de Habilidad del profesional </t>
  </si>
  <si>
    <t>B.21 Asesoria durante el proceso</t>
  </si>
  <si>
    <t>B.10 Anexo Nº 4 SUNARP</t>
  </si>
  <si>
    <t>2.- ALCANCES: ENTREGA DE DOCUMENTOS FIRMADOS – PROFESIONALES VIGENTES</t>
  </si>
  <si>
    <t xml:space="preserve">2.1 Planos Completos Firmados y Sellados (1 original 2 </t>
  </si>
  <si>
    <t>2.3 Investigacion Antecedentes de Inmueble SUNARP</t>
  </si>
  <si>
    <t>copias) por Profesional Colegiado y Habilitado Vigente</t>
  </si>
  <si>
    <t xml:space="preserve">2.4 Servicio de Tramitación de expediente para factibilidad ante </t>
  </si>
  <si>
    <t>entidad hasta su aceptacion y Aprobacion</t>
  </si>
  <si>
    <t xml:space="preserve">2.2 CD - Grabación Digital del Proyecto </t>
  </si>
  <si>
    <t>Observaciones:</t>
  </si>
  <si>
    <t>NO ESTA INCLUIDO servicio de tramitación de expediente, de requerir es costo adicional al servicio</t>
  </si>
  <si>
    <t>3.-TIEMPO DE ELABORACION:</t>
  </si>
  <si>
    <t xml:space="preserve">o Planos y/o Documentos </t>
  </si>
  <si>
    <t>días hábiles.</t>
  </si>
  <si>
    <t>4.-OFERTA TÉCNICA:</t>
  </si>
  <si>
    <t xml:space="preserve"> Costo del Proyecto   S/</t>
  </si>
  <si>
    <t>Soles.</t>
  </si>
  <si>
    <t>5.-MODO DE CANCELACIÓN:</t>
  </si>
  <si>
    <t xml:space="preserve">   S/   </t>
  </si>
  <si>
    <t xml:space="preserve">A la Aprobación de la Presente Proforma  </t>
  </si>
  <si>
    <t>Previo al ingreso de la solicitud de medidor</t>
  </si>
  <si>
    <t>NOTAS: Oferta Valida 7 Días, No incluye costo de impuesto alguno en la realización del trámite. Documento con vigencia limitada.</t>
  </si>
  <si>
    <t>*</t>
  </si>
  <si>
    <t>STAFF DE PROFESIONALES:</t>
  </si>
  <si>
    <t>Ing. Santillan Quiroz Julio  Nº CIP:56827  CIV: 022023VCZRIX</t>
  </si>
  <si>
    <t>Abog.Ljubica Nada Sékula Delgado CAD 18346</t>
  </si>
  <si>
    <t>Ing. Civil Juan Manuel Leveau Guerra Nº CIP: 74155</t>
  </si>
  <si>
    <t>Abog. Rommy Alberto Granda Montes CAL.S N° 01508</t>
  </si>
  <si>
    <t>Ing. Eléctrico Daniel Adolfo Quispe Yupa CIP: 59744</t>
  </si>
  <si>
    <t xml:space="preserve">Arq. Rodolfo Wilber Mogrovejo Huamani CAP N° 24431 </t>
  </si>
  <si>
    <t>Ing. Sanitario José Francisco Javier Zela Steban CIP: 130333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</si>
</sst>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C0A]d\-mmm\-yy;@"/>
  </numFmts>
  <fonts count="21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0"/>
      <color theme="1"/>
      <name val="Arial Narrow"/>
      <family val="2"/>
    </font>
    <font>
      <sz val="10"/>
      <color theme="1"/>
      <name val="Arial Narrow"/>
      <family val="2"/>
    </font>
    <font>
      <sz val="10"/>
      <color theme="8" tint="-0.249977111117893"/>
      <name val="Arial Narrow"/>
      <family val="2"/>
    </font>
    <font>
      <b/>
      <u/>
      <sz val="10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sz val="10"/>
      <name val="Arial Narrow"/>
      <family val="2"/>
    </font>
    <font>
      <sz val="9"/>
      <color theme="1"/>
      <name val="Arial Narrow"/>
      <family val="2"/>
    </font>
    <font>
      <sz val="9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9"/>
      <color theme="1"/>
      <name val="Arial Narrow"/>
      <family val="2"/>
    </font>
    <font>
      <sz val="9"/>
      <name val="Arial Narrow"/>
      <family val="2"/>
    </font>
    <font>
      <sz val="9"/>
      <color theme="2" tint="-0.249977111117893"/>
      <name val="Arial Narrow"/>
      <family val="2"/>
    </font>
    <font>
      <b/>
      <sz val="9"/>
      <name val="Arial Narrow"/>
      <family val="2"/>
    </font>
    <font>
      <sz val="9"/>
      <color theme="2" tint="-0.249977111117893"/>
      <name val="Calibri"/>
      <family val="2"/>
      <scheme val="minor"/>
    </font>
    <font>
      <sz val="9"/>
      <color rgb="FF000000"/>
      <name val="Arial Narrow"/>
      <family val="2"/>
    </font>
    <font>
      <sz val="9"/>
      <color theme="2" tint="-9.9978637043366805E-2"/>
      <name val="Arial Narrow"/>
      <family val="2"/>
    </font>
    <font>
      <u/>
      <sz val="9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  <font>
      <sz val="8"/>
      <color theme="1"/>
      <name val="Arial Narrow"/>
      <family val="2"/>
    </font>
  </fonts>
  <fills count="6">
    <fill>
      <patternFill patternType="none"/>
    </fill>
    <fill>
      <patternFill patternType="gray125"/>
    </fill>
    <fill>
      <patternFill patternType="solid">
        <fgColor theme="4" tint="-0.24997711111789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B4C6E7"/>
        <bgColor indexed="64"/>
      </patternFill>
    </fill>
  </fills>
  <borders count="16">
    <border>
      <left/>
      <right/>
      <top/>
      <bottom/>
      <diagonal/>
    </border>
    <border>
      <left/>
      <right/>
      <top/>
      <bottom style="dotted">
        <color indexed="64"/>
      </bottom>
      <diagonal/>
    </border>
    <border>
      <left/>
      <right/>
      <top style="dotted">
        <color indexed="64"/>
      </top>
      <bottom style="dotted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dotted">
        <color indexed="64"/>
      </top>
      <bottom/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122">
    <xf numFmtId="0" fontId="0" fillId="0" borderId="0" xfId="0"/>
    <xf numFmtId="0" fontId="2" fillId="0" borderId="0" xfId="0" applyFont="1" applyAlignment="1">
      <alignment horizontal="left"/>
    </xf>
    <xf numFmtId="0" fontId="3" fillId="0" borderId="0" xfId="0" applyFont="1" applyAlignment="1">
      <alignment horizontal="left" vertical="center"/>
    </xf>
    <xf numFmtId="0" fontId="3" fillId="0" borderId="0" xfId="0" applyFont="1" applyAlignment="1">
      <alignment horizontal="left" vertical="center"/>
    </xf>
    <xf numFmtId="0" fontId="3" fillId="0" borderId="0" xfId="0" applyFont="1" applyAlignment="1">
      <alignment horizontal="left"/>
    </xf>
    <xf numFmtId="0" fontId="3" fillId="0" borderId="0" xfId="0" applyFont="1" applyAlignment="1">
      <alignment horizontal="left"/>
    </xf>
    <xf numFmtId="0" fontId="3" fillId="0" borderId="0" xfId="0" quotePrefix="1" applyFont="1" applyAlignment="1">
      <alignment horizontal="left"/>
    </xf>
    <xf numFmtId="0" fontId="4" fillId="0" borderId="0" xfId="0" applyFont="1"/>
    <xf numFmtId="0" fontId="3" fillId="0" borderId="0" xfId="1" applyFont="1" applyAlignment="1"/>
    <xf numFmtId="0" fontId="0" fillId="2" borderId="0" xfId="0" applyFill="1"/>
    <xf numFmtId="0" fontId="0" fillId="0" borderId="0" xfId="0" applyAlignment="1">
      <alignment vertical="center"/>
    </xf>
    <xf numFmtId="0" fontId="5" fillId="0" borderId="0" xfId="0" applyFont="1" applyAlignment="1">
      <alignment horizontal="center" vertical="center" wrapText="1"/>
    </xf>
    <xf numFmtId="0" fontId="6" fillId="0" borderId="0" xfId="0" applyFont="1" applyAlignment="1">
      <alignment vertical="center"/>
    </xf>
    <xf numFmtId="0" fontId="3" fillId="0" borderId="0" xfId="0" applyFont="1" applyAlignment="1" applyProtection="1">
      <alignment horizontal="right" vertical="center"/>
      <protection locked="0"/>
    </xf>
    <xf numFmtId="0" fontId="7" fillId="3" borderId="1" xfId="0" applyFont="1" applyFill="1" applyBorder="1" applyAlignment="1" applyProtection="1">
      <alignment horizontal="left" vertical="center"/>
      <protection locked="0"/>
    </xf>
    <xf numFmtId="0" fontId="7" fillId="0" borderId="0" xfId="0" applyFont="1" applyAlignment="1" applyProtection="1">
      <alignment horizontal="center"/>
      <protection locked="0"/>
    </xf>
    <xf numFmtId="0" fontId="7" fillId="3" borderId="1" xfId="0" applyFont="1" applyFill="1" applyBorder="1" applyAlignment="1" applyProtection="1">
      <alignment vertical="center"/>
      <protection locked="0"/>
    </xf>
    <xf numFmtId="0" fontId="8" fillId="0" borderId="0" xfId="0" applyFont="1"/>
    <xf numFmtId="0" fontId="9" fillId="0" borderId="0" xfId="0" applyFont="1" applyAlignment="1">
      <alignment vertical="center"/>
    </xf>
    <xf numFmtId="0" fontId="10" fillId="0" borderId="0" xfId="0" applyFont="1" applyProtection="1">
      <protection locked="0"/>
    </xf>
    <xf numFmtId="0" fontId="7" fillId="3" borderId="1" xfId="0" applyFont="1" applyFill="1" applyBorder="1" applyAlignment="1" applyProtection="1">
      <alignment horizontal="center" vertical="center"/>
      <protection locked="0"/>
    </xf>
    <xf numFmtId="0" fontId="3" fillId="0" borderId="0" xfId="0" applyFont="1" applyAlignment="1" applyProtection="1">
      <alignment horizontal="center" vertical="center"/>
      <protection locked="0"/>
    </xf>
    <xf numFmtId="1" fontId="7" fillId="3" borderId="2" xfId="0" applyNumberFormat="1" applyFont="1" applyFill="1" applyBorder="1" applyAlignment="1" applyProtection="1">
      <alignment horizontal="center" vertical="center"/>
      <protection locked="0"/>
    </xf>
    <xf numFmtId="0" fontId="3" fillId="0" borderId="0" xfId="0" applyFont="1" applyAlignment="1" applyProtection="1">
      <alignment vertical="center"/>
      <protection locked="0"/>
    </xf>
    <xf numFmtId="0" fontId="7" fillId="3" borderId="2" xfId="0" applyFont="1" applyFill="1" applyBorder="1" applyAlignment="1" applyProtection="1">
      <alignment vertical="center"/>
      <protection locked="0"/>
    </xf>
    <xf numFmtId="0" fontId="2" fillId="4" borderId="0" xfId="0" applyFont="1" applyFill="1" applyAlignment="1" applyProtection="1">
      <alignment horizontal="center" vertical="center"/>
      <protection locked="0"/>
    </xf>
    <xf numFmtId="0" fontId="3" fillId="3" borderId="1" xfId="0" applyFont="1" applyFill="1" applyBorder="1" applyAlignment="1" applyProtection="1">
      <alignment horizontal="left" vertical="center"/>
      <protection locked="0"/>
    </xf>
    <xf numFmtId="0" fontId="2" fillId="4" borderId="3" xfId="0" applyFont="1" applyFill="1" applyBorder="1" applyAlignment="1" applyProtection="1">
      <alignment vertical="center"/>
      <protection locked="0"/>
    </xf>
    <xf numFmtId="164" fontId="7" fillId="3" borderId="1" xfId="0" applyNumberFormat="1" applyFont="1" applyFill="1" applyBorder="1" applyAlignment="1">
      <alignment horizontal="left" vertical="center"/>
    </xf>
    <xf numFmtId="0" fontId="8" fillId="0" borderId="0" xfId="0" applyFont="1" applyAlignment="1" applyProtection="1">
      <alignment vertical="center"/>
      <protection locked="0"/>
    </xf>
    <xf numFmtId="0" fontId="9" fillId="0" borderId="4" xfId="0" applyFont="1" applyBorder="1" applyAlignment="1" applyProtection="1">
      <alignment vertical="center"/>
      <protection locked="0"/>
    </xf>
    <xf numFmtId="0" fontId="9" fillId="0" borderId="0" xfId="0" applyFont="1" applyProtection="1">
      <protection locked="0"/>
    </xf>
    <xf numFmtId="0" fontId="11" fillId="0" borderId="5" xfId="0" applyFont="1" applyBorder="1" applyAlignment="1" applyProtection="1">
      <alignment horizontal="left" vertical="center"/>
      <protection locked="0"/>
    </xf>
    <xf numFmtId="0" fontId="11" fillId="0" borderId="6" xfId="0" applyFont="1" applyBorder="1" applyAlignment="1" applyProtection="1">
      <alignment horizontal="left" vertical="center"/>
      <protection locked="0"/>
    </xf>
    <xf numFmtId="0" fontId="11" fillId="0" borderId="7" xfId="0" applyFont="1" applyBorder="1" applyAlignment="1" applyProtection="1">
      <alignment horizontal="left" vertical="center"/>
      <protection locked="0"/>
    </xf>
    <xf numFmtId="0" fontId="3" fillId="0" borderId="8" xfId="0" applyFont="1" applyBorder="1" applyAlignment="1" applyProtection="1">
      <alignment vertical="center"/>
      <protection locked="0"/>
    </xf>
    <xf numFmtId="0" fontId="8" fillId="0" borderId="0" xfId="0" applyFont="1" applyProtection="1">
      <protection locked="0"/>
    </xf>
    <xf numFmtId="0" fontId="9" fillId="0" borderId="0" xfId="0" applyFont="1"/>
    <xf numFmtId="0" fontId="12" fillId="3" borderId="9" xfId="0" applyFont="1" applyFill="1" applyBorder="1" applyAlignment="1">
      <alignment vertical="center"/>
    </xf>
    <xf numFmtId="0" fontId="12" fillId="3" borderId="0" xfId="0" applyFont="1" applyFill="1" applyAlignment="1">
      <alignment vertical="center"/>
    </xf>
    <xf numFmtId="0" fontId="12" fillId="3" borderId="3" xfId="0" applyFont="1" applyFill="1" applyBorder="1" applyAlignment="1">
      <alignment vertical="center"/>
    </xf>
    <xf numFmtId="0" fontId="13" fillId="0" borderId="10" xfId="0" applyFont="1" applyBorder="1" applyAlignment="1" applyProtection="1">
      <alignment horizontal="left" vertical="center"/>
      <protection hidden="1"/>
    </xf>
    <xf numFmtId="0" fontId="13" fillId="0" borderId="11" xfId="0" applyFont="1" applyBorder="1" applyAlignment="1" applyProtection="1">
      <alignment horizontal="left" vertical="center"/>
      <protection hidden="1"/>
    </xf>
    <xf numFmtId="0" fontId="13" fillId="0" borderId="9" xfId="0" applyFont="1" applyBorder="1" applyAlignment="1" applyProtection="1">
      <alignment horizontal="left" vertical="center"/>
      <protection hidden="1"/>
    </xf>
    <xf numFmtId="0" fontId="13" fillId="0" borderId="0" xfId="0" applyFont="1" applyAlignment="1" applyProtection="1">
      <alignment horizontal="left" vertical="center"/>
      <protection hidden="1"/>
    </xf>
    <xf numFmtId="0" fontId="13" fillId="0" borderId="3" xfId="0" applyFont="1" applyBorder="1" applyAlignment="1" applyProtection="1">
      <alignment horizontal="left" vertical="center"/>
      <protection hidden="1"/>
    </xf>
    <xf numFmtId="0" fontId="14" fillId="0" borderId="5" xfId="0" applyFont="1" applyBorder="1" applyAlignment="1" applyProtection="1">
      <alignment horizontal="left" vertical="center"/>
      <protection hidden="1"/>
    </xf>
    <xf numFmtId="0" fontId="14" fillId="0" borderId="6" xfId="0" applyFont="1" applyBorder="1" applyAlignment="1" applyProtection="1">
      <alignment horizontal="left" vertical="center"/>
      <protection hidden="1"/>
    </xf>
    <xf numFmtId="0" fontId="12" fillId="0" borderId="6" xfId="0" applyFont="1" applyBorder="1" applyAlignment="1" applyProtection="1">
      <alignment horizontal="left" vertical="center"/>
      <protection hidden="1"/>
    </xf>
    <xf numFmtId="0" fontId="12" fillId="0" borderId="7" xfId="0" applyFont="1" applyBorder="1" applyAlignment="1" applyProtection="1">
      <alignment horizontal="left" vertical="center"/>
      <protection hidden="1"/>
    </xf>
    <xf numFmtId="0" fontId="11" fillId="0" borderId="3" xfId="0" applyFont="1" applyBorder="1" applyAlignment="1">
      <alignment textRotation="90"/>
    </xf>
    <xf numFmtId="0" fontId="12" fillId="3" borderId="9" xfId="0" applyFont="1" applyFill="1" applyBorder="1" applyAlignment="1" applyProtection="1">
      <alignment horizontal="left" vertical="center"/>
      <protection hidden="1"/>
    </xf>
    <xf numFmtId="0" fontId="12" fillId="3" borderId="0" xfId="0" applyFont="1" applyFill="1" applyAlignment="1" applyProtection="1">
      <alignment horizontal="left" vertical="center"/>
      <protection hidden="1"/>
    </xf>
    <xf numFmtId="0" fontId="12" fillId="3" borderId="3" xfId="0" applyFont="1" applyFill="1" applyBorder="1" applyAlignment="1" applyProtection="1">
      <alignment horizontal="left" vertical="center"/>
      <protection hidden="1"/>
    </xf>
    <xf numFmtId="0" fontId="8" fillId="0" borderId="3" xfId="0" applyFont="1" applyBorder="1" applyAlignment="1">
      <alignment textRotation="90"/>
    </xf>
    <xf numFmtId="0" fontId="13" fillId="0" borderId="9" xfId="0" applyFont="1" applyBorder="1" applyAlignment="1" applyProtection="1">
      <alignment vertical="center"/>
      <protection hidden="1"/>
    </xf>
    <xf numFmtId="0" fontId="13" fillId="0" borderId="0" xfId="0" applyFont="1" applyAlignment="1" applyProtection="1">
      <alignment vertical="center"/>
      <protection hidden="1"/>
    </xf>
    <xf numFmtId="0" fontId="13" fillId="0" borderId="3" xfId="0" applyFont="1" applyBorder="1" applyAlignment="1" applyProtection="1">
      <alignment vertical="center"/>
      <protection hidden="1"/>
    </xf>
    <xf numFmtId="0" fontId="12" fillId="3" borderId="12" xfId="0" applyFont="1" applyFill="1" applyBorder="1" applyAlignment="1" applyProtection="1">
      <alignment vertical="center"/>
      <protection hidden="1"/>
    </xf>
    <xf numFmtId="0" fontId="12" fillId="3" borderId="4" xfId="0" applyFont="1" applyFill="1" applyBorder="1" applyAlignment="1" applyProtection="1">
      <alignment vertical="center"/>
      <protection hidden="1"/>
    </xf>
    <xf numFmtId="0" fontId="12" fillId="3" borderId="13" xfId="0" applyFont="1" applyFill="1" applyBorder="1" applyAlignment="1" applyProtection="1">
      <alignment vertical="center"/>
      <protection hidden="1"/>
    </xf>
    <xf numFmtId="0" fontId="13" fillId="0" borderId="12" xfId="0" applyFont="1" applyBorder="1" applyAlignment="1" applyProtection="1">
      <alignment horizontal="left"/>
      <protection hidden="1"/>
    </xf>
    <xf numFmtId="0" fontId="13" fillId="0" borderId="4" xfId="0" applyFont="1" applyBorder="1" applyAlignment="1" applyProtection="1">
      <alignment horizontal="left"/>
      <protection hidden="1"/>
    </xf>
    <xf numFmtId="0" fontId="13" fillId="0" borderId="13" xfId="0" applyFont="1" applyBorder="1" applyAlignment="1" applyProtection="1">
      <alignment horizontal="left"/>
      <protection hidden="1"/>
    </xf>
    <xf numFmtId="0" fontId="14" fillId="0" borderId="10" xfId="0" applyFont="1" applyBorder="1" applyAlignment="1" applyProtection="1">
      <alignment horizontal="left" vertical="center"/>
      <protection hidden="1"/>
    </xf>
    <xf numFmtId="0" fontId="14" fillId="0" borderId="11" xfId="0" applyFont="1" applyBorder="1" applyAlignment="1" applyProtection="1">
      <alignment horizontal="left" vertical="center"/>
      <protection hidden="1"/>
    </xf>
    <xf numFmtId="0" fontId="8" fillId="0" borderId="0" xfId="0" applyFont="1" applyAlignment="1">
      <alignment textRotation="90"/>
    </xf>
    <xf numFmtId="0" fontId="13" fillId="0" borderId="14" xfId="0" applyFont="1" applyBorder="1" applyAlignment="1" applyProtection="1">
      <alignment vertical="center"/>
      <protection hidden="1"/>
    </xf>
    <xf numFmtId="0" fontId="13" fillId="0" borderId="10" xfId="0" applyFont="1" applyBorder="1" applyAlignment="1" applyProtection="1">
      <alignment vertical="center"/>
      <protection hidden="1"/>
    </xf>
    <xf numFmtId="0" fontId="13" fillId="0" borderId="11" xfId="0" applyFont="1" applyBorder="1" applyAlignment="1" applyProtection="1">
      <alignment vertical="center"/>
      <protection hidden="1"/>
    </xf>
    <xf numFmtId="0" fontId="8" fillId="0" borderId="0" xfId="0" applyFont="1" applyAlignment="1">
      <alignment horizontal="center" textRotation="90"/>
    </xf>
    <xf numFmtId="0" fontId="13" fillId="0" borderId="9" xfId="0" applyFont="1" applyBorder="1" applyAlignment="1" applyProtection="1">
      <alignment horizontal="left" vertical="center" wrapText="1"/>
      <protection hidden="1"/>
    </xf>
    <xf numFmtId="0" fontId="13" fillId="0" borderId="0" xfId="0" applyFont="1" applyAlignment="1" applyProtection="1">
      <alignment horizontal="left" vertical="center" wrapText="1"/>
      <protection hidden="1"/>
    </xf>
    <xf numFmtId="0" fontId="13" fillId="0" borderId="3" xfId="0" applyFont="1" applyBorder="1" applyAlignment="1" applyProtection="1">
      <alignment horizontal="left" vertical="center" wrapText="1"/>
      <protection hidden="1"/>
    </xf>
    <xf numFmtId="0" fontId="12" fillId="3" borderId="9" xfId="0" applyFont="1" applyFill="1" applyBorder="1" applyAlignment="1" applyProtection="1">
      <alignment vertical="center"/>
      <protection hidden="1"/>
    </xf>
    <xf numFmtId="0" fontId="12" fillId="3" borderId="0" xfId="0" applyFont="1" applyFill="1" applyAlignment="1" applyProtection="1">
      <alignment vertical="center"/>
      <protection hidden="1"/>
    </xf>
    <xf numFmtId="0" fontId="12" fillId="3" borderId="3" xfId="0" applyFont="1" applyFill="1" applyBorder="1" applyAlignment="1" applyProtection="1">
      <alignment vertical="center"/>
      <protection hidden="1"/>
    </xf>
    <xf numFmtId="0" fontId="13" fillId="0" borderId="9" xfId="0" applyFont="1" applyBorder="1"/>
    <xf numFmtId="0" fontId="13" fillId="0" borderId="0" xfId="0" applyFont="1"/>
    <xf numFmtId="0" fontId="13" fillId="0" borderId="3" xfId="0" applyFont="1" applyBorder="1"/>
    <xf numFmtId="0" fontId="13" fillId="0" borderId="12" xfId="0" applyFont="1" applyBorder="1" applyAlignment="1" applyProtection="1">
      <alignment vertical="center"/>
      <protection hidden="1"/>
    </xf>
    <xf numFmtId="0" fontId="13" fillId="0" borderId="4" xfId="0" applyFont="1" applyBorder="1" applyAlignment="1" applyProtection="1">
      <alignment vertical="center"/>
      <protection hidden="1"/>
    </xf>
    <xf numFmtId="0" fontId="13" fillId="0" borderId="13" xfId="0" applyFont="1" applyBorder="1" applyAlignment="1" applyProtection="1">
      <alignment vertical="center"/>
      <protection hidden="1"/>
    </xf>
    <xf numFmtId="0" fontId="15" fillId="0" borderId="12" xfId="0" applyFont="1" applyBorder="1"/>
    <xf numFmtId="0" fontId="15" fillId="0" borderId="4" xfId="0" applyFont="1" applyBorder="1"/>
    <xf numFmtId="0" fontId="15" fillId="0" borderId="13" xfId="0" applyFont="1" applyBorder="1"/>
    <xf numFmtId="0" fontId="14" fillId="0" borderId="4" xfId="0" applyFont="1" applyBorder="1" applyAlignment="1" applyProtection="1">
      <alignment horizontal="left" vertical="center"/>
      <protection hidden="1"/>
    </xf>
    <xf numFmtId="0" fontId="14" fillId="0" borderId="13" xfId="0" applyFont="1" applyBorder="1" applyAlignment="1" applyProtection="1">
      <alignment horizontal="left" vertical="center"/>
      <protection hidden="1"/>
    </xf>
    <xf numFmtId="0" fontId="16" fillId="5" borderId="14" xfId="0" applyFont="1" applyFill="1" applyBorder="1" applyAlignment="1" applyProtection="1">
      <alignment horizontal="left" vertical="center" wrapText="1"/>
      <protection hidden="1"/>
    </xf>
    <xf numFmtId="0" fontId="17" fillId="4" borderId="10" xfId="0" applyFont="1" applyFill="1" applyBorder="1" applyAlignment="1" applyProtection="1">
      <alignment horizontal="left" vertical="center" wrapText="1"/>
      <protection hidden="1"/>
    </xf>
    <xf numFmtId="0" fontId="17" fillId="4" borderId="11" xfId="0" applyFont="1" applyFill="1" applyBorder="1" applyAlignment="1" applyProtection="1">
      <alignment horizontal="left" vertical="center" wrapText="1"/>
      <protection hidden="1"/>
    </xf>
    <xf numFmtId="0" fontId="16" fillId="5" borderId="9" xfId="0" applyFont="1" applyFill="1" applyBorder="1" applyAlignment="1" applyProtection="1">
      <alignment horizontal="left" vertical="center"/>
      <protection hidden="1"/>
    </xf>
    <xf numFmtId="0" fontId="17" fillId="4" borderId="0" xfId="0" applyFont="1" applyFill="1" applyAlignment="1" applyProtection="1">
      <alignment horizontal="left" vertical="center"/>
      <protection hidden="1"/>
    </xf>
    <xf numFmtId="0" fontId="17" fillId="4" borderId="3" xfId="0" applyFont="1" applyFill="1" applyBorder="1" applyAlignment="1" applyProtection="1">
      <alignment horizontal="left" vertical="center"/>
      <protection hidden="1"/>
    </xf>
    <xf numFmtId="0" fontId="13" fillId="4" borderId="12" xfId="0" applyFont="1" applyFill="1" applyBorder="1" applyAlignment="1" applyProtection="1">
      <alignment horizontal="left" vertical="center"/>
      <protection hidden="1"/>
    </xf>
    <xf numFmtId="0" fontId="13" fillId="4" borderId="4" xfId="0" applyFont="1" applyFill="1" applyBorder="1" applyAlignment="1" applyProtection="1">
      <alignment horizontal="left" vertical="center"/>
      <protection hidden="1"/>
    </xf>
    <xf numFmtId="0" fontId="13" fillId="4" borderId="13" xfId="0" applyFont="1" applyFill="1" applyBorder="1" applyAlignment="1" applyProtection="1">
      <alignment horizontal="left" vertical="center"/>
      <protection hidden="1"/>
    </xf>
    <xf numFmtId="0" fontId="18" fillId="0" borderId="0" xfId="0" applyFont="1"/>
    <xf numFmtId="0" fontId="19" fillId="0" borderId="10" xfId="0" applyFont="1" applyBorder="1" applyAlignment="1" applyProtection="1">
      <alignment horizontal="center" vertical="center"/>
      <protection hidden="1"/>
    </xf>
    <xf numFmtId="0" fontId="19" fillId="0" borderId="0" xfId="0" applyFont="1" applyAlignment="1" applyProtection="1">
      <alignment horizontal="center" vertical="center"/>
      <protection hidden="1"/>
    </xf>
    <xf numFmtId="0" fontId="2" fillId="0" borderId="0" xfId="0" applyFont="1"/>
    <xf numFmtId="0" fontId="12" fillId="3" borderId="1" xfId="0" applyFont="1" applyFill="1" applyBorder="1" applyAlignment="1" applyProtection="1">
      <alignment vertical="center"/>
      <protection hidden="1"/>
    </xf>
    <xf numFmtId="0" fontId="12" fillId="3" borderId="2" xfId="0" applyFont="1" applyFill="1" applyBorder="1" applyAlignment="1">
      <alignment horizontal="left" vertical="center"/>
    </xf>
    <xf numFmtId="0" fontId="12" fillId="0" borderId="15" xfId="0" applyFont="1" applyBorder="1" applyAlignment="1">
      <alignment horizontal="left" vertical="center"/>
    </xf>
    <xf numFmtId="0" fontId="11" fillId="0" borderId="0" xfId="0" applyFont="1" applyAlignment="1" applyProtection="1">
      <alignment horizontal="left" vertical="center"/>
      <protection locked="0"/>
    </xf>
    <xf numFmtId="0" fontId="8" fillId="0" borderId="0" xfId="0" applyFont="1" applyAlignment="1" applyProtection="1">
      <alignment horizontal="right" vertical="center" wrapText="1"/>
      <protection locked="0"/>
    </xf>
    <xf numFmtId="0" fontId="11" fillId="3" borderId="1" xfId="0" applyFont="1" applyFill="1" applyBorder="1" applyAlignment="1" applyProtection="1">
      <alignment horizontal="center" vertical="center" wrapText="1"/>
      <protection locked="0"/>
    </xf>
    <xf numFmtId="0" fontId="8" fillId="0" borderId="0" xfId="0" applyFont="1" applyAlignment="1" applyProtection="1">
      <alignment horizontal="right" vertical="center"/>
      <protection locked="0"/>
    </xf>
    <xf numFmtId="2" fontId="11" fillId="3" borderId="1" xfId="0" applyNumberFormat="1" applyFont="1" applyFill="1" applyBorder="1" applyAlignment="1">
      <alignment horizontal="center" vertical="center"/>
    </xf>
    <xf numFmtId="0" fontId="8" fillId="0" borderId="0" xfId="0" applyFont="1" applyAlignment="1" applyProtection="1">
      <alignment horizontal="left" vertical="center"/>
      <protection locked="0"/>
    </xf>
    <xf numFmtId="0" fontId="8" fillId="0" borderId="0" xfId="0" applyFont="1" applyAlignment="1" applyProtection="1">
      <alignment horizontal="right" vertical="center"/>
      <protection locked="0"/>
    </xf>
    <xf numFmtId="2" fontId="11" fillId="3" borderId="1" xfId="0" applyNumberFormat="1" applyFont="1" applyFill="1" applyBorder="1" applyAlignment="1" applyProtection="1">
      <alignment horizontal="center" vertical="center"/>
      <protection locked="0"/>
    </xf>
    <xf numFmtId="0" fontId="3" fillId="3" borderId="1" xfId="0" applyFont="1" applyFill="1" applyBorder="1" applyAlignment="1">
      <alignment horizontal="center" vertical="center"/>
    </xf>
    <xf numFmtId="164" fontId="11" fillId="3" borderId="1" xfId="0" applyNumberFormat="1" applyFont="1" applyFill="1" applyBorder="1" applyAlignment="1">
      <alignment horizontal="left" vertical="center"/>
    </xf>
    <xf numFmtId="2" fontId="11" fillId="3" borderId="2" xfId="0" applyNumberFormat="1" applyFont="1" applyFill="1" applyBorder="1" applyAlignment="1" applyProtection="1">
      <alignment horizontal="center" vertical="center"/>
      <protection locked="0"/>
    </xf>
    <xf numFmtId="0" fontId="12" fillId="4" borderId="0" xfId="0" applyFont="1" applyFill="1" applyAlignment="1">
      <alignment vertical="center"/>
    </xf>
    <xf numFmtId="0" fontId="12" fillId="4" borderId="0" xfId="0" applyFont="1" applyFill="1" applyAlignment="1">
      <alignment vertical="center"/>
    </xf>
    <xf numFmtId="0" fontId="9" fillId="0" borderId="0" xfId="0" applyFont="1" applyAlignment="1">
      <alignment horizontal="right" vertical="center"/>
    </xf>
    <xf numFmtId="0" fontId="11" fillId="0" borderId="0" xfId="0" applyFont="1" applyAlignment="1">
      <alignment horizontal="left" vertical="center"/>
    </xf>
    <xf numFmtId="0" fontId="8" fillId="0" borderId="0" xfId="0" applyFont="1" applyAlignment="1">
      <alignment vertical="center"/>
    </xf>
    <xf numFmtId="0" fontId="8" fillId="0" borderId="0" xfId="0" applyFont="1" applyAlignment="1">
      <alignment horizontal="left" vertical="center"/>
    </xf>
    <xf numFmtId="0" fontId="20" fillId="4" borderId="0" xfId="0" applyFont="1" applyFill="1" applyAlignment="1">
      <alignment vertical="center"/>
    </xf>
  </cellXfs>
  <cellStyles count="2">
    <cellStyle name="Hipervínculo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4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704583</xdr:colOff>
      <xdr:row>0</xdr:row>
      <xdr:rowOff>28340</xdr:rowOff>
    </xdr:from>
    <xdr:to>
      <xdr:col>6</xdr:col>
      <xdr:colOff>428356</xdr:colOff>
      <xdr:row>3</xdr:row>
      <xdr:rowOff>20636</xdr:rowOff>
    </xdr:to>
    <xdr:sp macro="" textlink="">
      <xdr:nvSpPr>
        <xdr:cNvPr id="2" name="Rectangle 3">
          <a:extLst>
            <a:ext uri="{FF2B5EF4-FFF2-40B4-BE49-F238E27FC236}">
              <a16:creationId xmlns:a16="http://schemas.microsoft.com/office/drawing/2014/main" id="{FEF4D3B6-CDA7-4CEF-8CAD-CA7FF64D27A0}"/>
            </a:ext>
          </a:extLst>
        </xdr:cNvPr>
        <xdr:cNvSpPr>
          <a:spLocks noChangeArrowheads="1"/>
        </xdr:cNvSpPr>
      </xdr:nvSpPr>
      <xdr:spPr bwMode="auto">
        <a:xfrm>
          <a:off x="1371333" y="28340"/>
          <a:ext cx="3876673" cy="554271"/>
        </a:xfrm>
        <a:prstGeom prst="rect">
          <a:avLst/>
        </a:prstGeom>
        <a:solidFill>
          <a:schemeClr val="accent1">
            <a:lumMod val="75000"/>
          </a:schemeClr>
        </a:solidFill>
        <a:ln w="9525">
          <a:solidFill>
            <a:schemeClr val="accent1">
              <a:lumMod val="40000"/>
              <a:lumOff val="60000"/>
            </a:schemeClr>
          </a:solidFill>
          <a:miter lim="800000"/>
          <a:headEnd/>
          <a:tailEnd/>
        </a:ln>
      </xdr:spPr>
      <xdr:txBody>
        <a:bodyPr vertOverflow="clip" wrap="square" lIns="91440" tIns="45720" rIns="91440" bIns="45720" anchor="ctr" upright="1"/>
        <a:lstStyle/>
        <a:p>
          <a:pPr algn="ctr" rtl="0">
            <a:defRPr sz="1000"/>
          </a:pPr>
          <a:r>
            <a:rPr lang="es-PE" sz="1200" b="1" i="0" u="none" strike="noStrike" baseline="0">
              <a:solidFill>
                <a:srgbClr val="FFFFFF"/>
              </a:solidFill>
              <a:latin typeface="Arial Narrow"/>
            </a:rPr>
            <a:t>RICKZEN INGENIEROS &amp; ARQUITECTOS</a:t>
          </a:r>
        </a:p>
        <a:p>
          <a:pPr algn="ctr" rtl="0">
            <a:defRPr sz="1000"/>
          </a:pPr>
          <a:r>
            <a:rPr lang="es-PE" sz="1200" b="1" i="0" u="none" strike="noStrike" baseline="0">
              <a:solidFill>
                <a:srgbClr val="FFFFFF"/>
              </a:solidFill>
              <a:latin typeface="Calibri"/>
              <a:cs typeface="Calibri"/>
            </a:rPr>
            <a:t>RUC 10099623387</a:t>
          </a:r>
        </a:p>
      </xdr:txBody>
    </xdr:sp>
    <xdr:clientData/>
  </xdr:twoCellAnchor>
  <xdr:twoCellAnchor>
    <xdr:from>
      <xdr:col>6</xdr:col>
      <xdr:colOff>22558</xdr:colOff>
      <xdr:row>16</xdr:row>
      <xdr:rowOff>44450</xdr:rowOff>
    </xdr:from>
    <xdr:to>
      <xdr:col>7</xdr:col>
      <xdr:colOff>279399</xdr:colOff>
      <xdr:row>18</xdr:row>
      <xdr:rowOff>101601</xdr:rowOff>
    </xdr:to>
    <xdr:sp macro="" textlink="">
      <xdr:nvSpPr>
        <xdr:cNvPr id="3" name="txtOT">
          <a:extLst>
            <a:ext uri="{FF2B5EF4-FFF2-40B4-BE49-F238E27FC236}">
              <a16:creationId xmlns:a16="http://schemas.microsoft.com/office/drawing/2014/main" id="{52E84040-3892-4E37-9195-FD63E106D852}"/>
            </a:ext>
          </a:extLst>
        </xdr:cNvPr>
        <xdr:cNvSpPr/>
      </xdr:nvSpPr>
      <xdr:spPr>
        <a:xfrm>
          <a:off x="4842208" y="2682875"/>
          <a:ext cx="1361741" cy="361951"/>
        </a:xfrm>
        <a:prstGeom prst="roundRect">
          <a:avLst/>
        </a:prstGeom>
        <a:ln>
          <a:solidFill>
            <a:schemeClr val="tx1"/>
          </a:solidFill>
        </a:ln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s-PE" sz="1100">
              <a:solidFill>
                <a:schemeClr val="tx1"/>
              </a:solidFill>
            </a:rPr>
            <a:t>OT: </a:t>
          </a:r>
        </a:p>
        <a:p>
          <a:pPr algn="l"/>
          <a:endParaRPr lang="es-PE" sz="1100">
            <a:solidFill>
              <a:schemeClr val="tx1"/>
            </a:solidFill>
          </a:endParaRPr>
        </a:p>
      </xdr:txBody>
    </xdr:sp>
    <xdr:clientData/>
  </xdr:twoCellAnchor>
  <xdr:twoCellAnchor>
    <xdr:from>
      <xdr:col>4</xdr:col>
      <xdr:colOff>768349</xdr:colOff>
      <xdr:row>55</xdr:row>
      <xdr:rowOff>126928</xdr:rowOff>
    </xdr:from>
    <xdr:to>
      <xdr:col>7</xdr:col>
      <xdr:colOff>15875</xdr:colOff>
      <xdr:row>59</xdr:row>
      <xdr:rowOff>28112</xdr:rowOff>
    </xdr:to>
    <xdr:sp macro="" textlink="">
      <xdr:nvSpPr>
        <xdr:cNvPr id="4" name="Rectangle 6">
          <a:extLst>
            <a:ext uri="{FF2B5EF4-FFF2-40B4-BE49-F238E27FC236}">
              <a16:creationId xmlns:a16="http://schemas.microsoft.com/office/drawing/2014/main" id="{2FFAE441-0459-482C-81EF-FE93B9F14146}"/>
            </a:ext>
          </a:extLst>
        </xdr:cNvPr>
        <xdr:cNvSpPr>
          <a:spLocks noChangeArrowheads="1"/>
        </xdr:cNvSpPr>
      </xdr:nvSpPr>
      <xdr:spPr bwMode="auto">
        <a:xfrm>
          <a:off x="3911599" y="8099353"/>
          <a:ext cx="2028826" cy="510784"/>
        </a:xfrm>
        <a:prstGeom prst="rect">
          <a:avLst/>
        </a:prstGeom>
        <a:solidFill>
          <a:srgbClr val="FFFFFF"/>
        </a:solidFill>
        <a:ln w="9525">
          <a:solidFill>
            <a:srgbClr val="00206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s-PE" sz="1100" b="0" i="0" u="none" strike="noStrike" baseline="0">
              <a:solidFill>
                <a:srgbClr val="002060"/>
              </a:solidFill>
              <a:latin typeface="Calibri"/>
              <a:cs typeface="Calibri"/>
            </a:rPr>
            <a:t>        Ing. Richard Atapaucar</a:t>
          </a:r>
        </a:p>
        <a:p>
          <a:pPr algn="l" rtl="0">
            <a:defRPr sz="1000"/>
          </a:pPr>
          <a:r>
            <a:rPr lang="es-PE" sz="1100" b="0" i="0" u="none" strike="noStrike" baseline="0">
              <a:solidFill>
                <a:srgbClr val="002060"/>
              </a:solidFill>
              <a:latin typeface="Calibri"/>
              <a:cs typeface="Calibri"/>
            </a:rPr>
            <a:t>          Representante Legal</a:t>
          </a:r>
          <a:endParaRPr lang="es-PE" sz="1100" b="0" i="0" u="none" strike="noStrike" baseline="0">
            <a:solidFill>
              <a:srgbClr val="002060"/>
            </a:solidFill>
            <a:latin typeface="Times New Roman"/>
            <a:cs typeface="Times New Roman"/>
          </a:endParaRPr>
        </a:p>
        <a:p>
          <a:pPr algn="l" rtl="0">
            <a:defRPr sz="1000"/>
          </a:pPr>
          <a:endParaRPr lang="es-PE" sz="1100" b="0" i="0" u="none" strike="noStrike" baseline="0">
            <a:solidFill>
              <a:srgbClr val="002060"/>
            </a:solidFill>
            <a:latin typeface="Times New Roman"/>
            <a:cs typeface="Times New Roman"/>
          </a:endParaRPr>
        </a:p>
      </xdr:txBody>
    </xdr:sp>
    <xdr:clientData/>
  </xdr:twoCellAnchor>
  <xdr:oneCellAnchor>
    <xdr:from>
      <xdr:col>5</xdr:col>
      <xdr:colOff>557629</xdr:colOff>
      <xdr:row>46</xdr:row>
      <xdr:rowOff>130204</xdr:rowOff>
    </xdr:from>
    <xdr:ext cx="601286" cy="1181643"/>
    <xdr:pic>
      <xdr:nvPicPr>
        <xdr:cNvPr id="5" name="Imagen 4">
          <a:extLst>
            <a:ext uri="{FF2B5EF4-FFF2-40B4-BE49-F238E27FC236}">
              <a16:creationId xmlns:a16="http://schemas.microsoft.com/office/drawing/2014/main" id="{8ED40E47-DDC5-4B73-A5CA-5640D860F186}"/>
            </a:ext>
          </a:extLst>
        </xdr:cNvPr>
        <xdr:cNvPicPr/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 rot="21256559">
          <a:off x="4615279" y="7340629"/>
          <a:ext cx="601286" cy="1181643"/>
        </a:xfrm>
        <a:prstGeom prst="rect">
          <a:avLst/>
        </a:prstGeom>
        <a:noFill/>
      </xdr:spPr>
    </xdr:pic>
    <xdr:clientData/>
  </xdr:oneCellAnchor>
  <xdr:oneCellAnchor>
    <xdr:from>
      <xdr:col>6</xdr:col>
      <xdr:colOff>738187</xdr:colOff>
      <xdr:row>3</xdr:row>
      <xdr:rowOff>185150</xdr:rowOff>
    </xdr:from>
    <xdr:ext cx="538162" cy="361336"/>
    <xdr:pic>
      <xdr:nvPicPr>
        <xdr:cNvPr id="6" name="Imagen 5">
          <a:extLst>
            <a:ext uri="{FF2B5EF4-FFF2-40B4-BE49-F238E27FC236}">
              <a16:creationId xmlns:a16="http://schemas.microsoft.com/office/drawing/2014/main" id="{92FFD29B-A999-4629-910E-6BBB1DAFC67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557837" y="747125"/>
          <a:ext cx="538162" cy="361336"/>
        </a:xfrm>
        <a:prstGeom prst="rect">
          <a:avLst/>
        </a:prstGeom>
      </xdr:spPr>
    </xdr:pic>
    <xdr:clientData/>
  </xdr:oneCellAnchor>
  <xdr:twoCellAnchor>
    <xdr:from>
      <xdr:col>0</xdr:col>
      <xdr:colOff>204493</xdr:colOff>
      <xdr:row>68</xdr:row>
      <xdr:rowOff>67408</xdr:rowOff>
    </xdr:from>
    <xdr:to>
      <xdr:col>7</xdr:col>
      <xdr:colOff>285750</xdr:colOff>
      <xdr:row>71</xdr:row>
      <xdr:rowOff>57150</xdr:rowOff>
    </xdr:to>
    <xdr:sp macro="" textlink="">
      <xdr:nvSpPr>
        <xdr:cNvPr id="7" name="Rectangle 7">
          <a:extLst>
            <a:ext uri="{FF2B5EF4-FFF2-40B4-BE49-F238E27FC236}">
              <a16:creationId xmlns:a16="http://schemas.microsoft.com/office/drawing/2014/main" id="{CCF524FB-00CB-4045-93AB-A2DAE9B2D59F}"/>
            </a:ext>
          </a:extLst>
        </xdr:cNvPr>
        <xdr:cNvSpPr>
          <a:spLocks noChangeArrowheads="1"/>
        </xdr:cNvSpPr>
      </xdr:nvSpPr>
      <xdr:spPr bwMode="auto">
        <a:xfrm>
          <a:off x="204493" y="9868633"/>
          <a:ext cx="6005807" cy="523142"/>
        </a:xfrm>
        <a:prstGeom prst="rect">
          <a:avLst/>
        </a:prstGeom>
        <a:solidFill>
          <a:srgbClr val="B4C6E7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000"/>
          </a:pPr>
          <a:r>
            <a:rPr lang="es-PE" sz="900" b="1" i="0" u="none" strike="noStrike" baseline="0">
              <a:solidFill>
                <a:srgbClr val="000000"/>
              </a:solidFill>
              <a:latin typeface="Arial" panose="020B0604020202020204" pitchFamily="34" charset="0"/>
              <a:cs typeface="Arial" panose="020B0604020202020204" pitchFamily="34" charset="0"/>
            </a:rPr>
            <a:t>        </a:t>
          </a:r>
          <a:r>
            <a:rPr lang="es-PE" sz="900" b="1" i="0" u="none" strike="noStrike" baseline="0">
              <a:solidFill>
                <a:srgbClr val="002060"/>
              </a:solidFill>
              <a:latin typeface="Arial" panose="020B0604020202020204" pitchFamily="34" charset="0"/>
              <a:cs typeface="Arial" panose="020B0604020202020204" pitchFamily="34" charset="0"/>
            </a:rPr>
            <a:t>CTA BCP CUENTA CORRIENTE SOLES: 191-7674171-0-77   </a:t>
          </a:r>
        </a:p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000"/>
          </a:pPr>
          <a:r>
            <a:rPr lang="es-PE" sz="900" b="1" i="0" baseline="0">
              <a:solidFill>
                <a:srgbClr val="002060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CCI: 00219100767417107756 T</a:t>
          </a:r>
          <a:r>
            <a:rPr lang="es-PE" sz="900" b="1" i="0" u="none" strike="noStrike" baseline="0">
              <a:solidFill>
                <a:srgbClr val="002060"/>
              </a:solidFill>
              <a:latin typeface="Arial" panose="020B0604020202020204" pitchFamily="34" charset="0"/>
              <a:cs typeface="Arial" panose="020B0604020202020204" pitchFamily="34" charset="0"/>
            </a:rPr>
            <a:t>itular Ing. Atapaucar Bardales Richard</a:t>
          </a:r>
        </a:p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000"/>
          </a:pPr>
          <a:r>
            <a:rPr lang="es-PE" sz="900" b="1" i="0" u="none" strike="noStrike" baseline="0">
              <a:solidFill>
                <a:srgbClr val="002060"/>
              </a:solidFill>
              <a:latin typeface="Arial" panose="020B0604020202020204" pitchFamily="34" charset="0"/>
              <a:cs typeface="Arial" panose="020B0604020202020204" pitchFamily="34" charset="0"/>
            </a:rPr>
            <a:t>Se aceptan todo tipo de Tarjetas de Credito</a:t>
          </a:r>
        </a:p>
        <a:p>
          <a:pPr algn="l" rtl="0">
            <a:defRPr sz="1000"/>
          </a:pPr>
          <a:endParaRPr lang="es-PE" sz="1150" b="1" i="0" u="none" strike="noStrike" baseline="0">
            <a:solidFill>
              <a:srgbClr val="FFFFFF"/>
            </a:solidFill>
            <a:latin typeface="Times New Roman"/>
            <a:cs typeface="Times New Roman"/>
          </a:endParaRPr>
        </a:p>
        <a:p>
          <a:pPr algn="l" rtl="0">
            <a:defRPr sz="1000"/>
          </a:pPr>
          <a:endParaRPr lang="es-PE" sz="1100" b="0" i="0" u="none" strike="noStrike" baseline="0">
            <a:solidFill>
              <a:srgbClr val="000000"/>
            </a:solidFill>
            <a:latin typeface="Times New Roman"/>
            <a:cs typeface="Times New Roman"/>
          </a:endParaRPr>
        </a:p>
        <a:p>
          <a:pPr algn="l" rtl="0">
            <a:defRPr sz="1000"/>
          </a:pPr>
          <a:endParaRPr lang="es-PE" sz="1100" b="0" i="0" u="none" strike="noStrike" baseline="0">
            <a:solidFill>
              <a:srgbClr val="000000"/>
            </a:solidFill>
            <a:latin typeface="Times New Roman"/>
            <a:cs typeface="Times New Roman"/>
          </a:endParaRPr>
        </a:p>
      </xdr:txBody>
    </xdr:sp>
    <xdr:clientData/>
  </xdr:twoCellAnchor>
  <xdr:oneCellAnchor>
    <xdr:from>
      <xdr:col>0</xdr:col>
      <xdr:colOff>228601</xdr:colOff>
      <xdr:row>0</xdr:row>
      <xdr:rowOff>66674</xdr:rowOff>
    </xdr:from>
    <xdr:ext cx="1081184" cy="996952"/>
    <xdr:pic>
      <xdr:nvPicPr>
        <xdr:cNvPr id="8" name="Imagen 7">
          <a:extLst>
            <a:ext uri="{FF2B5EF4-FFF2-40B4-BE49-F238E27FC236}">
              <a16:creationId xmlns:a16="http://schemas.microsoft.com/office/drawing/2014/main" id="{C5213AB3-D090-4249-810C-4DBF8DB66CD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228601" y="66674"/>
          <a:ext cx="1081184" cy="996952"/>
        </a:xfrm>
        <a:prstGeom prst="rect">
          <a:avLst/>
        </a:prstGeom>
      </xdr:spPr>
    </xdr:pic>
    <xdr:clientData/>
  </xdr:oneCellAnchor>
  <xdr:oneCellAnchor>
    <xdr:from>
      <xdr:col>6</xdr:col>
      <xdr:colOff>674689</xdr:colOff>
      <xdr:row>0</xdr:row>
      <xdr:rowOff>27552</xdr:rowOff>
    </xdr:from>
    <xdr:ext cx="679694" cy="575700"/>
    <xdr:pic>
      <xdr:nvPicPr>
        <xdr:cNvPr id="9" name="Imagen 8">
          <a:extLst>
            <a:ext uri="{FF2B5EF4-FFF2-40B4-BE49-F238E27FC236}">
              <a16:creationId xmlns:a16="http://schemas.microsoft.com/office/drawing/2014/main" id="{91AAFD7B-E957-42E4-B80F-6760ADD3ACD3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8078" t="8078" r="8078" b="8078"/>
        <a:stretch/>
      </xdr:blipFill>
      <xdr:spPr>
        <a:xfrm>
          <a:off x="5494339" y="27552"/>
          <a:ext cx="679694" cy="575700"/>
        </a:xfrm>
        <a:prstGeom prst="rect">
          <a:avLst/>
        </a:prstGeom>
      </xdr:spPr>
    </xdr:pic>
    <xdr:clientData/>
  </xdr:one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planosperu.com.pe/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02CE04-A947-41C3-A7CD-222104EEE512}">
  <sheetPr codeName="Hoja30">
    <tabColor theme="1"/>
    <pageSetUpPr fitToPage="1"/>
  </sheetPr>
  <dimension ref="A3:I79"/>
  <sheetViews>
    <sheetView showGridLines="0" tabSelected="1" showRuler="0" view="pageBreakPreview" topLeftCell="A40" zoomScaleNormal="50" zoomScaleSheetLayoutView="100" workbookViewId="0">
      <selection activeCell="B65" sqref="B65:E65"/>
    </sheetView>
  </sheetViews>
  <sheetFormatPr baseColWidth="10" defaultColWidth="11.42578125" defaultRowHeight="15" x14ac:dyDescent="0.25"/>
  <cols>
    <col min="1" max="1" width="10" customWidth="1"/>
    <col min="4" max="4" width="14.28515625" customWidth="1"/>
    <col min="5" max="5" width="13.7109375" customWidth="1"/>
    <col min="6" max="6" width="11.42578125" customWidth="1"/>
    <col min="7" max="7" width="16.5703125" customWidth="1"/>
    <col min="8" max="8" width="8" customWidth="1"/>
  </cols>
  <sheetData>
    <row r="3" spans="1:8" ht="14.25" customHeight="1" x14ac:dyDescent="0.25">
      <c r="D3" t="s">
        <v>0</v>
      </c>
    </row>
    <row r="4" spans="1:8" ht="15" customHeight="1" x14ac:dyDescent="0.25">
      <c r="C4" s="1" t="s">
        <v>1</v>
      </c>
      <c r="D4" s="2" t="s">
        <v>2</v>
      </c>
      <c r="E4" s="2"/>
      <c r="F4" s="2"/>
      <c r="G4" s="3"/>
    </row>
    <row r="5" spans="1:8" ht="11.25" customHeight="1" x14ac:dyDescent="0.25">
      <c r="C5" s="1" t="s">
        <v>3</v>
      </c>
      <c r="D5" s="4" t="s">
        <v>4</v>
      </c>
      <c r="E5" s="4"/>
      <c r="F5" s="4"/>
      <c r="G5" s="5"/>
    </row>
    <row r="6" spans="1:8" ht="11.25" customHeight="1" x14ac:dyDescent="0.25">
      <c r="C6" s="5" t="s">
        <v>5</v>
      </c>
      <c r="D6" s="6" t="s">
        <v>6</v>
      </c>
      <c r="E6" s="6"/>
      <c r="F6" s="6"/>
      <c r="G6" s="7"/>
    </row>
    <row r="7" spans="1:8" ht="12" customHeight="1" x14ac:dyDescent="0.25">
      <c r="C7" s="5" t="s">
        <v>7</v>
      </c>
      <c r="D7" s="8" t="s">
        <v>8</v>
      </c>
      <c r="E7" s="8"/>
      <c r="F7" s="8"/>
      <c r="G7" s="7"/>
      <c r="H7" t="s">
        <v>9</v>
      </c>
    </row>
    <row r="8" spans="1:8" ht="10.5" customHeight="1" x14ac:dyDescent="0.25">
      <c r="A8" s="9"/>
      <c r="B8" s="9"/>
      <c r="C8" s="9"/>
      <c r="D8" s="9"/>
      <c r="E8" s="9"/>
      <c r="F8" s="9"/>
      <c r="G8" s="9"/>
      <c r="H8" s="9"/>
    </row>
    <row r="9" spans="1:8" s="10" customFormat="1" ht="15.95" customHeight="1" x14ac:dyDescent="0.25">
      <c r="B9" s="11" t="s">
        <v>10</v>
      </c>
      <c r="C9" s="11"/>
      <c r="D9" s="11"/>
      <c r="E9" s="11"/>
      <c r="F9" s="11"/>
      <c r="G9" s="11"/>
      <c r="H9" s="12"/>
    </row>
    <row r="10" spans="1:8" s="10" customFormat="1" ht="15.75" customHeight="1" x14ac:dyDescent="0.25">
      <c r="B10" s="11"/>
      <c r="C10" s="11"/>
      <c r="D10" s="11"/>
      <c r="E10" s="11"/>
      <c r="F10" s="11"/>
      <c r="G10" s="11"/>
      <c r="H10" s="12"/>
    </row>
    <row r="11" spans="1:8" s="18" customFormat="1" ht="12" customHeight="1" x14ac:dyDescent="0.25">
      <c r="A11" s="13" t="s">
        <v>11</v>
      </c>
      <c r="B11" s="14" t="s">
        <v>12</v>
      </c>
      <c r="C11" s="14"/>
      <c r="D11" s="14"/>
      <c r="E11" s="14"/>
      <c r="F11" s="15" t="s">
        <v>13</v>
      </c>
      <c r="G11" s="16"/>
      <c r="H11" s="17"/>
    </row>
    <row r="12" spans="1:8" s="18" customFormat="1" ht="12" customHeight="1" x14ac:dyDescent="0.25">
      <c r="A12" s="13"/>
      <c r="B12" s="14"/>
      <c r="C12" s="14"/>
      <c r="D12" s="14"/>
      <c r="E12" s="14"/>
      <c r="F12" s="14"/>
      <c r="G12" s="14"/>
      <c r="H12" s="17"/>
    </row>
    <row r="13" spans="1:8" s="18" customFormat="1" ht="12" customHeight="1" x14ac:dyDescent="0.25">
      <c r="A13" s="19"/>
      <c r="B13" s="14"/>
      <c r="C13" s="14"/>
      <c r="D13" s="14"/>
      <c r="E13" s="14"/>
      <c r="F13" s="14"/>
      <c r="G13" s="14"/>
      <c r="H13" s="17"/>
    </row>
    <row r="14" spans="1:8" s="18" customFormat="1" ht="12" customHeight="1" x14ac:dyDescent="0.25">
      <c r="A14" s="13" t="s">
        <v>14</v>
      </c>
      <c r="B14" s="20"/>
      <c r="C14" s="21" t="s">
        <v>15</v>
      </c>
      <c r="D14" s="22"/>
      <c r="E14" s="23" t="s">
        <v>16</v>
      </c>
      <c r="F14" s="21" t="s">
        <v>17</v>
      </c>
      <c r="G14" s="24"/>
      <c r="H14" s="17"/>
    </row>
    <row r="15" spans="1:8" s="18" customFormat="1" ht="12" customHeight="1" x14ac:dyDescent="0.25">
      <c r="A15" s="13" t="s">
        <v>18</v>
      </c>
      <c r="B15" s="14"/>
      <c r="C15" s="14"/>
      <c r="D15" s="14"/>
      <c r="E15" s="14"/>
      <c r="F15" s="21" t="s">
        <v>19</v>
      </c>
      <c r="G15" s="24"/>
      <c r="H15" s="17"/>
    </row>
    <row r="16" spans="1:8" s="18" customFormat="1" ht="12" customHeight="1" x14ac:dyDescent="0.25">
      <c r="A16" s="19"/>
      <c r="B16" s="25"/>
      <c r="C16" s="25"/>
      <c r="D16" s="25"/>
      <c r="E16" s="25"/>
      <c r="F16" s="21" t="s">
        <v>20</v>
      </c>
      <c r="G16" s="26"/>
      <c r="H16" s="17"/>
    </row>
    <row r="17" spans="1:8" s="18" customFormat="1" ht="12" customHeight="1" x14ac:dyDescent="0.25">
      <c r="A17" s="13" t="s">
        <v>21</v>
      </c>
      <c r="B17" s="14"/>
      <c r="C17" s="14"/>
      <c r="D17" s="27" t="s">
        <v>22</v>
      </c>
      <c r="E17" s="28">
        <f ca="1">TODAY()</f>
        <v>45772</v>
      </c>
      <c r="F17" s="23"/>
      <c r="G17" s="23"/>
      <c r="H17" s="23"/>
    </row>
    <row r="18" spans="1:8" s="18" customFormat="1" ht="12" customHeight="1" x14ac:dyDescent="0.25">
      <c r="A18" s="29"/>
      <c r="B18" s="30"/>
      <c r="C18" s="30"/>
      <c r="D18" s="30"/>
      <c r="E18" s="30"/>
      <c r="F18" s="30"/>
      <c r="G18" s="30"/>
      <c r="H18" s="29"/>
    </row>
    <row r="19" spans="1:8" s="37" customFormat="1" ht="12" customHeight="1" x14ac:dyDescent="0.25">
      <c r="A19" s="31"/>
      <c r="B19" s="32" t="s">
        <v>23</v>
      </c>
      <c r="C19" s="33"/>
      <c r="D19" s="34"/>
      <c r="E19" s="35"/>
      <c r="F19" s="35"/>
      <c r="G19" s="35"/>
      <c r="H19" s="36"/>
    </row>
    <row r="20" spans="1:8" s="37" customFormat="1" ht="12" customHeight="1" x14ac:dyDescent="0.25">
      <c r="A20" s="17"/>
      <c r="B20" s="38" t="s">
        <v>24</v>
      </c>
      <c r="C20" s="39"/>
      <c r="D20" s="40"/>
      <c r="E20" s="41" t="s">
        <v>25</v>
      </c>
      <c r="F20" s="41"/>
      <c r="G20" s="42"/>
      <c r="H20" s="17"/>
    </row>
    <row r="21" spans="1:8" s="37" customFormat="1" ht="12" customHeight="1" x14ac:dyDescent="0.25">
      <c r="A21" s="17"/>
      <c r="B21" s="43" t="s">
        <v>26</v>
      </c>
      <c r="C21" s="44"/>
      <c r="D21" s="45"/>
      <c r="E21" s="44" t="s">
        <v>27</v>
      </c>
      <c r="F21" s="44"/>
      <c r="G21" s="45"/>
      <c r="H21" s="17"/>
    </row>
    <row r="22" spans="1:8" s="37" customFormat="1" ht="12" customHeight="1" x14ac:dyDescent="0.25">
      <c r="A22" s="17"/>
      <c r="B22" s="46" t="s">
        <v>28</v>
      </c>
      <c r="C22" s="47"/>
      <c r="D22" s="47"/>
      <c r="E22" s="48"/>
      <c r="F22" s="48"/>
      <c r="G22" s="49"/>
      <c r="H22" s="17"/>
    </row>
    <row r="23" spans="1:8" s="37" customFormat="1" ht="12" customHeight="1" x14ac:dyDescent="0.25">
      <c r="A23" s="17"/>
      <c r="B23" s="43" t="s">
        <v>29</v>
      </c>
      <c r="C23" s="44"/>
      <c r="D23" s="45"/>
      <c r="E23" s="43" t="s">
        <v>30</v>
      </c>
      <c r="F23" s="44"/>
      <c r="G23" s="45"/>
      <c r="H23" s="17"/>
    </row>
    <row r="24" spans="1:8" s="37" customFormat="1" ht="12" customHeight="1" x14ac:dyDescent="0.25">
      <c r="A24" s="17"/>
      <c r="B24" s="43" t="s">
        <v>31</v>
      </c>
      <c r="C24" s="44"/>
      <c r="D24" s="45"/>
      <c r="E24" s="43" t="s">
        <v>32</v>
      </c>
      <c r="F24" s="44"/>
      <c r="G24" s="45"/>
      <c r="H24" s="17"/>
    </row>
    <row r="25" spans="1:8" s="37" customFormat="1" ht="12" customHeight="1" x14ac:dyDescent="0.25">
      <c r="A25" s="50"/>
      <c r="B25" s="51" t="s">
        <v>33</v>
      </c>
      <c r="C25" s="52"/>
      <c r="D25" s="53"/>
      <c r="E25" s="43" t="s">
        <v>34</v>
      </c>
      <c r="F25" s="44"/>
      <c r="G25" s="45"/>
      <c r="H25" s="17"/>
    </row>
    <row r="26" spans="1:8" s="37" customFormat="1" ht="12" customHeight="1" x14ac:dyDescent="0.25">
      <c r="A26" s="54"/>
      <c r="B26" s="51" t="s">
        <v>35</v>
      </c>
      <c r="C26" s="52"/>
      <c r="D26" s="53"/>
      <c r="E26" s="43" t="s">
        <v>36</v>
      </c>
      <c r="F26" s="44"/>
      <c r="G26" s="45"/>
      <c r="H26" s="17"/>
    </row>
    <row r="27" spans="1:8" s="37" customFormat="1" ht="12" customHeight="1" x14ac:dyDescent="0.25">
      <c r="A27" s="54"/>
      <c r="B27" s="55" t="s">
        <v>37</v>
      </c>
      <c r="C27" s="56"/>
      <c r="D27" s="57"/>
      <c r="E27" s="43" t="s">
        <v>38</v>
      </c>
      <c r="F27" s="44"/>
      <c r="G27" s="45"/>
      <c r="H27" s="17"/>
    </row>
    <row r="28" spans="1:8" s="37" customFormat="1" ht="12" customHeight="1" x14ac:dyDescent="0.25">
      <c r="A28" s="54"/>
      <c r="B28" s="58" t="s">
        <v>39</v>
      </c>
      <c r="C28" s="59"/>
      <c r="D28" s="60"/>
      <c r="E28" s="61" t="s">
        <v>40</v>
      </c>
      <c r="F28" s="62"/>
      <c r="G28" s="63"/>
      <c r="H28" s="17"/>
    </row>
    <row r="29" spans="1:8" s="37" customFormat="1" ht="12" customHeight="1" x14ac:dyDescent="0.25">
      <c r="A29" s="54"/>
      <c r="B29" s="46" t="s">
        <v>41</v>
      </c>
      <c r="C29" s="47"/>
      <c r="D29" s="47"/>
      <c r="E29" s="64"/>
      <c r="F29" s="64"/>
      <c r="G29" s="65"/>
      <c r="H29" s="17"/>
    </row>
    <row r="30" spans="1:8" s="37" customFormat="1" ht="12" customHeight="1" x14ac:dyDescent="0.25">
      <c r="A30" s="66"/>
      <c r="B30" s="67" t="s">
        <v>42</v>
      </c>
      <c r="C30" s="68"/>
      <c r="D30" s="69"/>
      <c r="E30" s="67" t="s">
        <v>43</v>
      </c>
      <c r="F30" s="68"/>
      <c r="G30" s="69"/>
      <c r="H30" s="17"/>
    </row>
    <row r="31" spans="1:8" s="37" customFormat="1" ht="12" customHeight="1" x14ac:dyDescent="0.25">
      <c r="A31" s="66"/>
      <c r="B31" s="55" t="s">
        <v>44</v>
      </c>
      <c r="C31" s="56"/>
      <c r="D31" s="57"/>
      <c r="E31" s="55" t="s">
        <v>45</v>
      </c>
      <c r="F31" s="56"/>
      <c r="G31" s="57"/>
      <c r="H31" s="17"/>
    </row>
    <row r="32" spans="1:8" s="37" customFormat="1" ht="12" customHeight="1" x14ac:dyDescent="0.25">
      <c r="A32" s="70"/>
      <c r="B32" s="71" t="s">
        <v>46</v>
      </c>
      <c r="C32" s="72"/>
      <c r="D32" s="73"/>
      <c r="E32" s="74" t="s">
        <v>47</v>
      </c>
      <c r="F32" s="75"/>
      <c r="G32" s="76"/>
      <c r="H32" s="17"/>
    </row>
    <row r="33" spans="1:9" s="37" customFormat="1" ht="12" customHeight="1" x14ac:dyDescent="0.25">
      <c r="A33" s="17"/>
      <c r="B33" s="71"/>
      <c r="C33" s="72"/>
      <c r="D33" s="73"/>
      <c r="E33" s="55" t="s">
        <v>48</v>
      </c>
      <c r="F33" s="56"/>
      <c r="G33" s="57"/>
      <c r="H33" s="17"/>
    </row>
    <row r="34" spans="1:9" s="37" customFormat="1" ht="12" customHeight="1" x14ac:dyDescent="0.25">
      <c r="A34" s="17"/>
      <c r="B34" s="74" t="s">
        <v>49</v>
      </c>
      <c r="C34" s="75"/>
      <c r="D34" s="76"/>
      <c r="E34" s="55" t="s">
        <v>50</v>
      </c>
      <c r="F34" s="56"/>
      <c r="G34" s="57"/>
      <c r="H34" s="17"/>
    </row>
    <row r="35" spans="1:9" s="37" customFormat="1" ht="12" customHeight="1" x14ac:dyDescent="0.25">
      <c r="A35" s="17"/>
      <c r="B35" s="71" t="s">
        <v>51</v>
      </c>
      <c r="C35" s="72"/>
      <c r="D35" s="73"/>
      <c r="E35" s="55" t="s">
        <v>52</v>
      </c>
      <c r="F35" s="56"/>
      <c r="G35" s="57"/>
      <c r="H35" s="17"/>
    </row>
    <row r="36" spans="1:9" s="37" customFormat="1" ht="12" customHeight="1" x14ac:dyDescent="0.25">
      <c r="A36" s="17"/>
      <c r="B36" s="71"/>
      <c r="C36" s="72"/>
      <c r="D36" s="73"/>
      <c r="E36" s="55" t="s">
        <v>53</v>
      </c>
      <c r="F36" s="56"/>
      <c r="G36" s="57"/>
      <c r="H36" s="17"/>
    </row>
    <row r="37" spans="1:9" s="37" customFormat="1" ht="12" customHeight="1" x14ac:dyDescent="0.25">
      <c r="A37" s="17"/>
      <c r="B37" s="77" t="s">
        <v>54</v>
      </c>
      <c r="C37" s="78"/>
      <c r="D37" s="79"/>
      <c r="E37" s="55" t="s">
        <v>55</v>
      </c>
      <c r="F37" s="56"/>
      <c r="G37" s="57"/>
      <c r="H37" s="17"/>
    </row>
    <row r="38" spans="1:9" s="37" customFormat="1" ht="12" customHeight="1" x14ac:dyDescent="0.25">
      <c r="A38" s="17"/>
      <c r="B38" s="55" t="s">
        <v>56</v>
      </c>
      <c r="C38" s="56"/>
      <c r="D38" s="57"/>
      <c r="E38" s="55" t="s">
        <v>57</v>
      </c>
      <c r="F38" s="56"/>
      <c r="G38" s="57"/>
      <c r="H38" s="17"/>
    </row>
    <row r="39" spans="1:9" s="37" customFormat="1" ht="12" customHeight="1" x14ac:dyDescent="0.25">
      <c r="A39" s="17"/>
      <c r="B39" s="74" t="s">
        <v>58</v>
      </c>
      <c r="C39" s="75"/>
      <c r="D39" s="76"/>
      <c r="E39" s="55" t="s">
        <v>59</v>
      </c>
      <c r="F39" s="56"/>
      <c r="G39" s="57"/>
      <c r="H39" s="17"/>
    </row>
    <row r="40" spans="1:9" s="37" customFormat="1" ht="12" customHeight="1" x14ac:dyDescent="0.25">
      <c r="A40" s="17"/>
      <c r="B40" s="74" t="s">
        <v>60</v>
      </c>
      <c r="C40" s="75"/>
      <c r="D40" s="76"/>
      <c r="E40" s="55" t="s">
        <v>61</v>
      </c>
      <c r="F40" s="56"/>
      <c r="G40" s="57"/>
      <c r="H40" s="17"/>
    </row>
    <row r="41" spans="1:9" s="37" customFormat="1" ht="12" customHeight="1" x14ac:dyDescent="0.25">
      <c r="A41" s="17"/>
      <c r="B41" s="80" t="s">
        <v>62</v>
      </c>
      <c r="C41" s="81"/>
      <c r="D41" s="82"/>
      <c r="E41" s="83"/>
      <c r="F41" s="84"/>
      <c r="G41" s="85"/>
      <c r="H41" s="17"/>
    </row>
    <row r="42" spans="1:9" s="37" customFormat="1" ht="12" customHeight="1" x14ac:dyDescent="0.25">
      <c r="B42" s="46" t="s">
        <v>63</v>
      </c>
      <c r="C42" s="47"/>
      <c r="D42" s="47"/>
      <c r="E42" s="86"/>
      <c r="F42" s="86"/>
      <c r="G42" s="87"/>
      <c r="H42" s="17"/>
    </row>
    <row r="43" spans="1:9" s="37" customFormat="1" ht="12" customHeight="1" x14ac:dyDescent="0.25">
      <c r="A43" s="17"/>
      <c r="B43" s="88" t="s">
        <v>64</v>
      </c>
      <c r="C43" s="89"/>
      <c r="D43" s="90"/>
      <c r="E43" s="43" t="s">
        <v>65</v>
      </c>
      <c r="F43" s="44"/>
      <c r="G43" s="45"/>
      <c r="H43" s="17"/>
    </row>
    <row r="44" spans="1:9" s="37" customFormat="1" ht="12" customHeight="1" x14ac:dyDescent="0.25">
      <c r="A44" s="17"/>
      <c r="B44" s="91" t="s">
        <v>66</v>
      </c>
      <c r="C44" s="92"/>
      <c r="D44" s="93"/>
      <c r="E44" s="43" t="s">
        <v>67</v>
      </c>
      <c r="F44" s="44"/>
      <c r="G44" s="45"/>
      <c r="H44" s="17"/>
    </row>
    <row r="45" spans="1:9" s="37" customFormat="1" ht="12" customHeight="1" x14ac:dyDescent="0.25">
      <c r="A45" s="17"/>
      <c r="B45" s="91"/>
      <c r="C45" s="92"/>
      <c r="D45" s="93"/>
      <c r="E45" s="55" t="s">
        <v>68</v>
      </c>
      <c r="F45" s="56"/>
      <c r="G45" s="57"/>
      <c r="H45" s="17"/>
    </row>
    <row r="46" spans="1:9" s="37" customFormat="1" ht="12" customHeight="1" x14ac:dyDescent="0.25">
      <c r="A46" s="17"/>
      <c r="B46" s="94" t="s">
        <v>69</v>
      </c>
      <c r="C46" s="95"/>
      <c r="D46" s="96"/>
      <c r="E46" s="80"/>
      <c r="F46" s="81"/>
      <c r="G46" s="82"/>
      <c r="H46" s="17"/>
      <c r="I46" s="97"/>
    </row>
    <row r="47" spans="1:9" s="37" customFormat="1" ht="12" customHeight="1" x14ac:dyDescent="0.25">
      <c r="A47" s="17"/>
      <c r="B47" s="98"/>
      <c r="C47" s="98"/>
      <c r="D47" s="98"/>
      <c r="E47" s="98"/>
      <c r="F47" s="98"/>
      <c r="G47" s="98"/>
      <c r="H47" s="17"/>
    </row>
    <row r="48" spans="1:9" s="37" customFormat="1" ht="12" hidden="1" customHeight="1" x14ac:dyDescent="0.25">
      <c r="A48" s="17"/>
      <c r="B48" s="99"/>
      <c r="C48" s="99"/>
      <c r="D48" s="99"/>
      <c r="E48" s="99"/>
      <c r="F48" s="99"/>
      <c r="G48" s="99"/>
      <c r="H48" s="17"/>
    </row>
    <row r="49" spans="1:8" s="37" customFormat="1" ht="12" hidden="1" customHeight="1" x14ac:dyDescent="0.25">
      <c r="A49" s="17"/>
      <c r="B49" s="99"/>
      <c r="C49" s="99"/>
      <c r="D49" s="99"/>
      <c r="E49" s="99"/>
      <c r="F49" s="99"/>
      <c r="G49" s="99"/>
      <c r="H49" s="17"/>
    </row>
    <row r="50" spans="1:8" s="37" customFormat="1" ht="12" hidden="1" customHeight="1" x14ac:dyDescent="0.25">
      <c r="A50" s="17"/>
      <c r="B50" s="99"/>
      <c r="C50" s="99"/>
      <c r="D50" s="99"/>
      <c r="E50" s="99"/>
      <c r="F50" s="99"/>
      <c r="G50" s="99"/>
      <c r="H50" s="17"/>
    </row>
    <row r="51" spans="1:8" s="37" customFormat="1" ht="12" hidden="1" customHeight="1" x14ac:dyDescent="0.25">
      <c r="A51" s="17"/>
      <c r="B51" s="99"/>
      <c r="C51" s="99"/>
      <c r="D51" s="99"/>
      <c r="E51" s="99"/>
      <c r="F51" s="99"/>
      <c r="G51" s="99"/>
      <c r="H51" s="17"/>
    </row>
    <row r="52" spans="1:8" s="37" customFormat="1" ht="12" customHeight="1" x14ac:dyDescent="0.25">
      <c r="A52" s="17"/>
      <c r="B52" s="100" t="s">
        <v>70</v>
      </c>
      <c r="C52" s="101" t="s">
        <v>71</v>
      </c>
      <c r="D52" s="101"/>
      <c r="E52" s="101"/>
      <c r="F52" s="101"/>
      <c r="G52" s="101"/>
      <c r="H52" s="17"/>
    </row>
    <row r="53" spans="1:8" s="37" customFormat="1" ht="12" customHeight="1" x14ac:dyDescent="0.25">
      <c r="A53" s="17"/>
      <c r="B53" s="102"/>
      <c r="C53" s="102"/>
      <c r="D53" s="102"/>
      <c r="E53" s="102"/>
      <c r="F53" s="102"/>
      <c r="G53" s="102"/>
      <c r="H53" s="17"/>
    </row>
    <row r="54" spans="1:8" s="37" customFormat="1" ht="12" customHeight="1" x14ac:dyDescent="0.25">
      <c r="A54" s="17"/>
      <c r="B54" s="102"/>
      <c r="C54" s="102"/>
      <c r="D54" s="102"/>
      <c r="E54" s="102"/>
      <c r="F54" s="102"/>
      <c r="G54" s="102"/>
      <c r="H54" s="17"/>
    </row>
    <row r="55" spans="1:8" s="37" customFormat="1" ht="12" customHeight="1" x14ac:dyDescent="0.25">
      <c r="A55" s="17"/>
      <c r="B55" s="103"/>
      <c r="C55" s="103"/>
      <c r="D55" s="103"/>
      <c r="E55" s="103"/>
      <c r="F55" s="103"/>
      <c r="G55" s="103"/>
      <c r="H55" s="17"/>
    </row>
    <row r="56" spans="1:8" s="37" customFormat="1" ht="12" customHeight="1" x14ac:dyDescent="0.25">
      <c r="A56" s="31"/>
      <c r="B56" s="104" t="s">
        <v>72</v>
      </c>
      <c r="C56" s="104"/>
      <c r="D56" s="104"/>
      <c r="E56" s="104"/>
      <c r="F56" s="104"/>
      <c r="G56" s="104"/>
      <c r="H56" s="36"/>
    </row>
    <row r="57" spans="1:8" s="37" customFormat="1" ht="12" customHeight="1" x14ac:dyDescent="0.25">
      <c r="A57" s="36"/>
      <c r="B57" s="105" t="s">
        <v>73</v>
      </c>
      <c r="C57" s="105"/>
      <c r="D57" s="106">
        <v>5</v>
      </c>
      <c r="E57" s="29" t="s">
        <v>74</v>
      </c>
      <c r="F57" s="29"/>
      <c r="G57" s="29"/>
      <c r="H57" s="36"/>
    </row>
    <row r="58" spans="1:8" s="37" customFormat="1" ht="12" customHeight="1" x14ac:dyDescent="0.25">
      <c r="A58" s="31"/>
      <c r="B58" s="104" t="s">
        <v>75</v>
      </c>
      <c r="C58" s="104"/>
      <c r="D58" s="104"/>
      <c r="E58" s="104"/>
      <c r="F58" s="104"/>
      <c r="G58" s="104"/>
      <c r="H58" s="36"/>
    </row>
    <row r="59" spans="1:8" s="37" customFormat="1" ht="12" customHeight="1" x14ac:dyDescent="0.25">
      <c r="A59" s="36"/>
      <c r="B59" s="107" t="s">
        <v>76</v>
      </c>
      <c r="C59" s="107"/>
      <c r="D59" s="108">
        <f>C61+C62</f>
        <v>0</v>
      </c>
      <c r="E59" s="109" t="s">
        <v>77</v>
      </c>
      <c r="F59" s="109"/>
      <c r="G59" s="29"/>
      <c r="H59" s="36"/>
    </row>
    <row r="60" spans="1:8" s="37" customFormat="1" ht="12" customHeight="1" x14ac:dyDescent="0.25">
      <c r="A60" s="31"/>
      <c r="B60" s="104" t="s">
        <v>78</v>
      </c>
      <c r="C60" s="104"/>
      <c r="D60" s="104"/>
      <c r="E60" s="104"/>
      <c r="F60" s="104"/>
      <c r="G60" s="104"/>
      <c r="H60" s="36"/>
    </row>
    <row r="61" spans="1:8" s="37" customFormat="1" ht="12" customHeight="1" x14ac:dyDescent="0.25">
      <c r="A61" s="36"/>
      <c r="B61" s="110" t="s">
        <v>79</v>
      </c>
      <c r="C61" s="111"/>
      <c r="D61" s="112" t="s">
        <v>80</v>
      </c>
      <c r="E61" s="112"/>
      <c r="F61" s="112"/>
      <c r="G61" s="113">
        <f ca="1">E17</f>
        <v>45772</v>
      </c>
      <c r="H61" s="36"/>
    </row>
    <row r="62" spans="1:8" s="37" customFormat="1" ht="12" hidden="1" customHeight="1" x14ac:dyDescent="0.25">
      <c r="A62" s="36"/>
      <c r="B62" s="110" t="s">
        <v>79</v>
      </c>
      <c r="C62" s="114"/>
      <c r="D62" s="112" t="s">
        <v>81</v>
      </c>
      <c r="E62" s="112"/>
      <c r="F62" s="112"/>
      <c r="G62" s="113">
        <f ca="1">E17+8</f>
        <v>45780</v>
      </c>
      <c r="H62" s="36"/>
    </row>
    <row r="63" spans="1:8" s="37" customFormat="1" ht="12" customHeight="1" x14ac:dyDescent="0.25">
      <c r="A63" s="17"/>
      <c r="B63" s="115" t="s">
        <v>82</v>
      </c>
      <c r="C63" s="115"/>
      <c r="D63" s="115"/>
      <c r="E63" s="115"/>
      <c r="F63" s="115"/>
      <c r="G63" s="115"/>
      <c r="H63" s="116"/>
    </row>
    <row r="64" spans="1:8" s="37" customFormat="1" ht="12" customHeight="1" x14ac:dyDescent="0.2">
      <c r="A64" s="117" t="s">
        <v>83</v>
      </c>
      <c r="B64" s="118" t="s">
        <v>84</v>
      </c>
      <c r="C64" s="118"/>
      <c r="D64" s="118"/>
      <c r="E64" s="118"/>
      <c r="F64" s="118"/>
      <c r="G64" s="118"/>
    </row>
    <row r="65" spans="2:8" ht="12" customHeight="1" x14ac:dyDescent="0.25">
      <c r="B65" s="119" t="s">
        <v>85</v>
      </c>
      <c r="C65" s="119"/>
      <c r="D65" s="119"/>
      <c r="E65" s="119"/>
      <c r="F65" s="119" t="s">
        <v>86</v>
      </c>
      <c r="G65" s="119"/>
      <c r="H65" s="119"/>
    </row>
    <row r="66" spans="2:8" ht="12" customHeight="1" x14ac:dyDescent="0.25">
      <c r="B66" s="120" t="s">
        <v>87</v>
      </c>
      <c r="C66" s="120"/>
      <c r="D66" s="120"/>
      <c r="E66" s="120"/>
      <c r="F66" s="119" t="s">
        <v>88</v>
      </c>
      <c r="G66" s="119"/>
      <c r="H66" s="119"/>
    </row>
    <row r="67" spans="2:8" ht="12" customHeight="1" x14ac:dyDescent="0.25">
      <c r="B67" s="120" t="s">
        <v>89</v>
      </c>
      <c r="C67" s="120"/>
      <c r="D67" s="120"/>
      <c r="E67" s="120"/>
      <c r="F67" s="119" t="s">
        <v>90</v>
      </c>
      <c r="G67" s="119"/>
      <c r="H67" s="119"/>
    </row>
    <row r="68" spans="2:8" ht="12" customHeight="1" x14ac:dyDescent="0.25">
      <c r="B68" s="119" t="s">
        <v>91</v>
      </c>
      <c r="C68" s="119"/>
      <c r="D68" s="119"/>
      <c r="E68" s="119"/>
      <c r="F68" s="119"/>
      <c r="G68" s="119"/>
    </row>
    <row r="69" spans="2:8" ht="12" customHeight="1" x14ac:dyDescent="0.25">
      <c r="B69" s="121"/>
      <c r="C69" s="121"/>
      <c r="D69" s="121"/>
      <c r="E69" s="121"/>
      <c r="F69" s="121"/>
      <c r="G69" s="121"/>
      <c r="H69" s="121"/>
    </row>
    <row r="72" spans="2:8" ht="15" customHeight="1" x14ac:dyDescent="0.25"/>
    <row r="73" spans="2:8" ht="15" customHeight="1" x14ac:dyDescent="0.25"/>
    <row r="74" spans="2:8" ht="15" customHeight="1" x14ac:dyDescent="0.25"/>
    <row r="75" spans="2:8" ht="15" customHeight="1" x14ac:dyDescent="0.25"/>
    <row r="76" spans="2:8" ht="15" customHeight="1" x14ac:dyDescent="0.25"/>
    <row r="77" spans="2:8" ht="15" customHeight="1" x14ac:dyDescent="0.25"/>
    <row r="78" spans="2:8" ht="15" customHeight="1" x14ac:dyDescent="0.25"/>
    <row r="79" spans="2:8" ht="15" customHeight="1" x14ac:dyDescent="0.25"/>
  </sheetData>
  <protectedRanges>
    <protectedRange algorithmName="SHA-512" hashValue="1IwEtpPovyRjspz9ti3J5udl070IPZ9gDlGmM3ZH/lFyQlLVVL2qbaMds7kHvZZkPq7VvowLV2MqpNnf8owpjQ==" saltValue="SwYyjj//I75seGLqQP0hyQ==" spinCount="100000" sqref="E32:E33 B31:D32 F31:G32" name="Rango2"/>
    <protectedRange algorithmName="SHA-512" hashValue="jRsd99E24Wg0cREusBHWfr8AogbmoKcBAiIEI/AkVrYZ6d3Zv1r365CvDnomnIuIagvCXHSwta3CL7/ZYpI/1A==" saltValue="4GoUJy3q9tod8g93O8nnng==" spinCount="100000" sqref="B17:C17 E17 G15 G16:H16 D14 B14 B13:H13 B23:D23 B21:D21 E20:G22 B25:D27 E31 B45:D45 F36:G40 F35 F33:G34 F30:G30 E34:E40" name="Rango1"/>
    <protectedRange algorithmName="SHA-512" hashValue="zUrWTGEZiJFMgzDqDTBlVt+5/9aQcTuJw4/Tg0qXKmOEBmnAPkc2PftdRKWEJAjo6Tejl/2GECle77oEWrFAIQ==" saltValue="IwcVdvVtxL7J72Vc6oLNHQ==" spinCount="100000" sqref="E47:G51" name="Rango1_6"/>
  </protectedRanges>
  <mergeCells count="88">
    <mergeCell ref="B67:E67"/>
    <mergeCell ref="F67:H67"/>
    <mergeCell ref="B68:E68"/>
    <mergeCell ref="F68:G68"/>
    <mergeCell ref="D62:F62"/>
    <mergeCell ref="B63:G63"/>
    <mergeCell ref="B64:G64"/>
    <mergeCell ref="B65:E65"/>
    <mergeCell ref="F65:H65"/>
    <mergeCell ref="B66:E66"/>
    <mergeCell ref="F66:H66"/>
    <mergeCell ref="B57:C57"/>
    <mergeCell ref="B58:G58"/>
    <mergeCell ref="B59:C59"/>
    <mergeCell ref="E59:F59"/>
    <mergeCell ref="B60:G60"/>
    <mergeCell ref="D61:F61"/>
    <mergeCell ref="B47:G47"/>
    <mergeCell ref="C52:G52"/>
    <mergeCell ref="B53:G53"/>
    <mergeCell ref="B54:G54"/>
    <mergeCell ref="B55:G55"/>
    <mergeCell ref="B56:G56"/>
    <mergeCell ref="B44:D44"/>
    <mergeCell ref="E44:G44"/>
    <mergeCell ref="B45:D45"/>
    <mergeCell ref="E45:G45"/>
    <mergeCell ref="B46:D46"/>
    <mergeCell ref="E46:G46"/>
    <mergeCell ref="B40:D40"/>
    <mergeCell ref="E40:G40"/>
    <mergeCell ref="B41:D41"/>
    <mergeCell ref="E41:G41"/>
    <mergeCell ref="B42:G42"/>
    <mergeCell ref="B43:D43"/>
    <mergeCell ref="E43:G43"/>
    <mergeCell ref="B37:D37"/>
    <mergeCell ref="E37:G37"/>
    <mergeCell ref="B38:D38"/>
    <mergeCell ref="E38:G38"/>
    <mergeCell ref="B39:D39"/>
    <mergeCell ref="E39:G39"/>
    <mergeCell ref="B32:D33"/>
    <mergeCell ref="E32:G32"/>
    <mergeCell ref="E33:G33"/>
    <mergeCell ref="B34:D34"/>
    <mergeCell ref="E34:G34"/>
    <mergeCell ref="B35:D36"/>
    <mergeCell ref="E35:G35"/>
    <mergeCell ref="E36:G36"/>
    <mergeCell ref="B28:D28"/>
    <mergeCell ref="E28:G28"/>
    <mergeCell ref="B29:G29"/>
    <mergeCell ref="B30:D30"/>
    <mergeCell ref="E30:G30"/>
    <mergeCell ref="B31:D31"/>
    <mergeCell ref="E31:G31"/>
    <mergeCell ref="B25:D25"/>
    <mergeCell ref="E25:G25"/>
    <mergeCell ref="B26:D26"/>
    <mergeCell ref="E26:G26"/>
    <mergeCell ref="B27:D27"/>
    <mergeCell ref="E27:G27"/>
    <mergeCell ref="B22:D22"/>
    <mergeCell ref="E22:G22"/>
    <mergeCell ref="B23:D23"/>
    <mergeCell ref="E23:G23"/>
    <mergeCell ref="B24:D24"/>
    <mergeCell ref="E24:G24"/>
    <mergeCell ref="B18:G18"/>
    <mergeCell ref="B19:D19"/>
    <mergeCell ref="E19:G19"/>
    <mergeCell ref="B20:D20"/>
    <mergeCell ref="E20:G20"/>
    <mergeCell ref="B21:D21"/>
    <mergeCell ref="E21:G21"/>
    <mergeCell ref="B11:E11"/>
    <mergeCell ref="B12:G12"/>
    <mergeCell ref="B13:G13"/>
    <mergeCell ref="B15:E15"/>
    <mergeCell ref="B16:E16"/>
    <mergeCell ref="B17:C17"/>
    <mergeCell ref="D4:F4"/>
    <mergeCell ref="D5:F5"/>
    <mergeCell ref="D6:F6"/>
    <mergeCell ref="D7:F7"/>
    <mergeCell ref="A8:H8"/>
    <mergeCell ref="B9:G10"/>
  </mergeCells>
  <hyperlinks>
    <hyperlink ref="D7" r:id="rId1" xr:uid="{73FDDB0D-DBF9-40C1-8CCD-80D05D051A2A}"/>
  </hyperlinks>
  <printOptions horizontalCentered="1"/>
  <pageMargins left="0.59055118110236227" right="0.59055118110236227" top="0.59055118110236227" bottom="0" header="0" footer="0"/>
  <pageSetup paperSize="9" scale="93" orientation="portrait" r:id="rId2"/>
  <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</vt:i4>
      </vt:variant>
      <vt:variant>
        <vt:lpstr>Rangos con nombre</vt:lpstr>
      </vt:variant>
      <vt:variant>
        <vt:i4>1</vt:i4>
      </vt:variant>
    </vt:vector>
  </HeadingPairs>
  <TitlesOfParts>
    <vt:vector size="2" baseType="lpstr">
      <vt:lpstr>MED-PLU</vt:lpstr>
      <vt:lpstr>'MED-PLU'!Print_Area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Lenovo Yoga 13</dc:creator>
  <cp:lastModifiedBy>Lenovo Yoga 13</cp:lastModifiedBy>
  <dcterms:created xsi:type="dcterms:W3CDTF">2025-04-25T17:38:14Z</dcterms:created>
  <dcterms:modified xsi:type="dcterms:W3CDTF">2025-04-25T17:38:20Z</dcterms:modified>
</cp:coreProperties>
</file>
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 Yoga 13\Documents\"/>
    </mc:Choice>
  </mc:AlternateContent>
  <xr:revisionPtr revIDLastSave="0" documentId="13_ncr:1_{5C7E4AAA-7080-40AD-80B0-E3485549973A}" xr6:coauthVersionLast="47" xr6:coauthVersionMax="47" xr10:uidLastSave="{00000000-0000-0000-0000-000000000000}"/>
  <bookViews>
    <workbookView xWindow="-120" yWindow="-120" windowWidth="24240" windowHeight="13140" tabRatio="816" xr2:uid="{00000000-000D-0000-FFFF-FFFF00000000}"/>
  </bookViews>
  <sheets>
    <sheet name="DEC-FAB" sheetId="20" r:id="rId1"/>
    <sheet name="DEC-SUB" sheetId="19" r:id="rId2"/>
    <sheet name="IND" sheetId="21" r:id="rId3"/>
    <sheet name="DEC-IND" sheetId="22" r:id="rId4"/>
    <sheet name="BUS-CAT" sheetId="12" r:id="rId5"/>
    <sheet name="VIS-PLA" sheetId="7" r:id="rId6"/>
    <sheet name="LIC-CON" sheetId="6" r:id="rId7"/>
    <sheet name="PLA-OBR" sheetId="4" r:id="rId8"/>
    <sheet name="LIC-FUN" sheetId="9" r:id="rId9"/>
    <sheet name="SUC-INT" sheetId="15" r:id="rId10"/>
    <sheet name="SUC-DEC" sheetId="16" r:id="rId11"/>
    <sheet name="DIV-PAR" sheetId="17" r:id="rId12"/>
    <sheet name="ANT-LEG" sheetId="18" r:id="rId13"/>
    <sheet name="CON-MUL" sheetId="29" r:id="rId14"/>
    <sheet name="FAC-ELE" sheetId="25" r:id="rId15"/>
    <sheet name="FAC-SAN" sheetId="26" r:id="rId16"/>
    <sheet name="LEV-CAR" sheetId="28" r:id="rId17"/>
    <sheet name="NOT-MUN" sheetId="37" r:id="rId18"/>
    <sheet name="LIC-DEM" sheetId="32" r:id="rId19"/>
    <sheet name="BUS-MEM" sheetId="35" r:id="rId20"/>
    <sheet name="SOL-MED" sheetId="36" r:id="rId21"/>
    <sheet name="ADE-MOD" sheetId="38" r:id="rId22"/>
    <sheet name="TAS-INM" sheetId="41" r:id="rId23"/>
    <sheet name="LEV-ARE" sheetId="42" r:id="rId24"/>
    <sheet name="COM-VEN" sheetId="43" r:id="rId25"/>
    <sheet name="DEC-CON" sheetId="44" r:id="rId26"/>
    <sheet name="DEC-DIV" sheetId="46" r:id="rId27"/>
    <sheet name="MED-PLU" sheetId="47" r:id="rId28"/>
    <sheet name="OBR-CON" sheetId="48" r:id="rId29"/>
    <sheet name="NOT-NOT" sheetId="49" r:id="rId30"/>
    <sheet name="FAC-ALC" sheetId="50" r:id="rId31"/>
    <sheet name="DEC-MIN" sheetId="51" r:id="rId32"/>
    <sheet name="EVA-EST" sheetId="52" r:id="rId33"/>
    <sheet name="TRA-DEC" sheetId="53" r:id="rId34"/>
    <sheet name="ACT-AUT" sheetId="54" r:id="rId35"/>
    <sheet name="DIV-DON" sheetId="45" r:id="rId36"/>
    <sheet name="DEC-DON" sheetId="55" r:id="rId37"/>
    <sheet name="DIS-3D" sheetId="56" r:id="rId38"/>
    <sheet name="CER-NUM" sheetId="57" r:id="rId39"/>
    <sheet name="ACT-PLA" sheetId="58" r:id="rId40"/>
    <sheet name="INF-PRE" sheetId="59" r:id="rId41"/>
    <sheet name="DON" sheetId="61" r:id="rId42"/>
    <sheet name="BUS-OTR" sheetId="60" r:id="rId43"/>
    <sheet name="PLA-NOD" sheetId="62" r:id="rId44"/>
    <sheet name="PRE-NOT" sheetId="63" r:id="rId45"/>
    <sheet name="PRE-JUD" sheetId="67" r:id="rId46"/>
    <sheet name="VIS-PRE" sheetId="68" r:id="rId47"/>
    <sheet name="HAB-URB" sheetId="69" r:id="rId48"/>
    <sheet name="PLA-ING" sheetId="70" r:id="rId49"/>
  </sheets>
  <definedNames>
    <definedName name="_xlnm.Print_Area" localSheetId="34">'ACT-AUT'!$A$1:$H$71</definedName>
    <definedName name="_xlnm.Print_Area" localSheetId="39">'ACT-PLA'!$A$1:$H$73</definedName>
    <definedName name="_xlnm.Print_Area" localSheetId="21">'ADE-MOD'!$A$1:$H$73</definedName>
    <definedName name="_xlnm.Print_Area" localSheetId="12">'ANT-LEG'!$A$1:$H$72</definedName>
    <definedName name="_xlnm.Print_Area" localSheetId="4">'BUS-CAT'!$A$1:$H$72</definedName>
    <definedName name="_xlnm.Print_Area" localSheetId="19">'BUS-MEM'!$A$1:$H$72</definedName>
    <definedName name="_xlnm.Print_Area" localSheetId="42">'BUS-OTR'!$A$1:$H$73</definedName>
    <definedName name="_xlnm.Print_Area" localSheetId="38">'CER-NUM'!$A$1:$H$72</definedName>
    <definedName name="_xlnm.Print_Area" localSheetId="24">'COM-VEN'!$A$1:$H$72</definedName>
    <definedName name="_xlnm.Print_Area" localSheetId="13">'CON-MUL'!$A$1:$H$72</definedName>
    <definedName name="_xlnm.Print_Area" localSheetId="25">'DEC-CON'!$A$1:$H$73</definedName>
    <definedName name="_xlnm.Print_Area" localSheetId="26">'DEC-DIV'!$A$1:$H$73</definedName>
    <definedName name="_xlnm.Print_Area" localSheetId="36">'DEC-DON'!$A$1:$H$74</definedName>
    <definedName name="_xlnm.Print_Area" localSheetId="0">'DEC-FAB'!$A$1:$H$73</definedName>
    <definedName name="_xlnm.Print_Area" localSheetId="3">'DEC-IND'!$A$1:$H$73</definedName>
    <definedName name="_xlnm.Print_Area" localSheetId="31">'DEC-MIN'!$A$1:$H$73</definedName>
    <definedName name="_xlnm.Print_Area" localSheetId="1">'DEC-SUB'!$A$1:$H$73</definedName>
    <definedName name="_xlnm.Print_Area" localSheetId="37">'DIS-3D'!$A$1:$H$71</definedName>
    <definedName name="_xlnm.Print_Area" localSheetId="35">'DIV-DON'!$A$1:$H$72</definedName>
    <definedName name="_xlnm.Print_Area" localSheetId="11">'DIV-PAR'!$A$1:$H$72</definedName>
    <definedName name="_xlnm.Print_Area" localSheetId="41">DON!$A$1:$H$72</definedName>
    <definedName name="_xlnm.Print_Area" localSheetId="32">'EVA-EST'!$A$1:$H$74</definedName>
    <definedName name="_xlnm.Print_Area" localSheetId="30">'FAC-ALC'!$A$1:$H$73</definedName>
    <definedName name="_xlnm.Print_Area" localSheetId="14">'FAC-ELE'!$A$1:$H$72</definedName>
    <definedName name="_xlnm.Print_Area" localSheetId="15">'FAC-SAN'!$A$1:$H$72</definedName>
    <definedName name="_xlnm.Print_Area" localSheetId="47">'HAB-URB'!$A$1:$H$74</definedName>
    <definedName name="_xlnm.Print_Area" localSheetId="2">IND!$A$1:$H$73</definedName>
    <definedName name="_xlnm.Print_Area" localSheetId="40">'INF-PRE'!$A$1:$H$72</definedName>
    <definedName name="_xlnm.Print_Area" localSheetId="23">'LEV-ARE'!$A$1:$H$72</definedName>
    <definedName name="_xlnm.Print_Area" localSheetId="16">'LEV-CAR'!$A$1:$H$72</definedName>
    <definedName name="_xlnm.Print_Area" localSheetId="6">'LIC-CON'!$A$1:$H$73</definedName>
    <definedName name="_xlnm.Print_Area" localSheetId="18">'LIC-DEM'!$A$1:$H$73</definedName>
    <definedName name="_xlnm.Print_Area" localSheetId="8">'LIC-FUN'!$A$1:$H$72</definedName>
    <definedName name="_xlnm.Print_Area" localSheetId="27">'MED-PLU'!$A$1:$H$72</definedName>
    <definedName name="_xlnm.Print_Area" localSheetId="17">'NOT-MUN'!$A$1:$H$72</definedName>
    <definedName name="_xlnm.Print_Area" localSheetId="29">'NOT-NOT'!$A$1:$H$72</definedName>
    <definedName name="_xlnm.Print_Area" localSheetId="28">'OBR-CON'!$A$1:$H$73</definedName>
    <definedName name="_xlnm.Print_Area" localSheetId="48">'PLA-ING'!$A$1:$H$72</definedName>
    <definedName name="_xlnm.Print_Area" localSheetId="43">'PLA-NOD'!$A$1:$H$72</definedName>
    <definedName name="_xlnm.Print_Area" localSheetId="7">'PLA-OBR'!$A$1:$H$72</definedName>
    <definedName name="_xlnm.Print_Area" localSheetId="45">'PRE-JUD'!$A$1:$H$72</definedName>
    <definedName name="_xlnm.Print_Area" localSheetId="44">'PRE-NOT'!$A$1:$H$73</definedName>
    <definedName name="_xlnm.Print_Area" localSheetId="20">'SOL-MED'!$A$1:$H$72</definedName>
    <definedName name="_xlnm.Print_Area" localSheetId="10">'SUC-DEC'!$A$1:$H$74</definedName>
    <definedName name="_xlnm.Print_Area" localSheetId="9">'SUC-INT'!$A$1:$H$72</definedName>
    <definedName name="_xlnm.Print_Area" localSheetId="22">'TAS-INM'!$A$1:$H$72</definedName>
    <definedName name="_xlnm.Print_Area" localSheetId="33">'TRA-DEC'!$A$1:$H$74</definedName>
    <definedName name="_xlnm.Print_Area" localSheetId="5">'VIS-PLA'!$A$1:$H$73</definedName>
    <definedName name="_xlnm.Print_Area" localSheetId="46">'VIS-PRE'!$A$1:$H$72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9" i="70" l="1"/>
  <c r="E17" i="70"/>
  <c r="G62" i="70" s="1"/>
  <c r="E17" i="69"/>
  <c r="G61" i="69" s="1"/>
  <c r="G61" i="70" l="1"/>
  <c r="G64" i="69"/>
  <c r="G63" i="69"/>
  <c r="G62" i="69"/>
  <c r="D59" i="68"/>
  <c r="E17" i="68"/>
  <c r="D59" i="15"/>
  <c r="D59" i="67"/>
  <c r="E17" i="67"/>
  <c r="G62" i="67" s="1"/>
  <c r="D59" i="63"/>
  <c r="E17" i="63"/>
  <c r="G62" i="63" s="1"/>
  <c r="D59" i="62"/>
  <c r="E17" i="62"/>
  <c r="G62" i="62" s="1"/>
  <c r="G61" i="68" l="1"/>
  <c r="G62" i="68"/>
  <c r="G61" i="67"/>
  <c r="G63" i="63"/>
  <c r="G61" i="63"/>
  <c r="G61" i="62"/>
  <c r="D59" i="60"/>
  <c r="D59" i="61"/>
  <c r="E17" i="61"/>
  <c r="G62" i="61" s="1"/>
  <c r="E17" i="60"/>
  <c r="G62" i="60" s="1"/>
  <c r="G61" i="61" l="1"/>
  <c r="G63" i="60"/>
  <c r="G61" i="60"/>
  <c r="D59" i="59"/>
  <c r="E17" i="59"/>
  <c r="G62" i="59" s="1"/>
  <c r="D59" i="58"/>
  <c r="E17" i="58"/>
  <c r="G63" i="58" s="1"/>
  <c r="D59" i="57"/>
  <c r="E17" i="57"/>
  <c r="G62" i="57" s="1"/>
  <c r="D59" i="56"/>
  <c r="E17" i="56"/>
  <c r="D59" i="55"/>
  <c r="E17" i="55"/>
  <c r="G62" i="55" s="1"/>
  <c r="D59" i="54"/>
  <c r="E17" i="54"/>
  <c r="D59" i="53"/>
  <c r="E17" i="53"/>
  <c r="G62" i="53" s="1"/>
  <c r="G64" i="53" s="1"/>
  <c r="D59" i="52"/>
  <c r="E17" i="52"/>
  <c r="G64" i="52" s="1"/>
  <c r="D59" i="51"/>
  <c r="E17" i="51"/>
  <c r="G63" i="51" s="1"/>
  <c r="D59" i="20"/>
  <c r="D59" i="50"/>
  <c r="E17" i="50"/>
  <c r="G63" i="50" s="1"/>
  <c r="D59" i="49"/>
  <c r="E17" i="49"/>
  <c r="G62" i="49" s="1"/>
  <c r="D59" i="38"/>
  <c r="D59" i="32"/>
  <c r="D59" i="48"/>
  <c r="E17" i="48"/>
  <c r="G63" i="48" s="1"/>
  <c r="D59" i="47"/>
  <c r="E17" i="47"/>
  <c r="G62" i="47" s="1"/>
  <c r="D59" i="46"/>
  <c r="E17" i="46"/>
  <c r="G61" i="46" s="1"/>
  <c r="D59" i="45"/>
  <c r="E17" i="45"/>
  <c r="G62" i="45" s="1"/>
  <c r="D59" i="44"/>
  <c r="E17" i="44"/>
  <c r="G63" i="44" s="1"/>
  <c r="D59" i="43"/>
  <c r="E17" i="43"/>
  <c r="G62" i="43" s="1"/>
  <c r="D59" i="42"/>
  <c r="E17" i="42"/>
  <c r="G62" i="42" s="1"/>
  <c r="D59" i="41"/>
  <c r="E17" i="41"/>
  <c r="G62" i="41" s="1"/>
  <c r="E17" i="38"/>
  <c r="G62" i="38" s="1"/>
  <c r="D59" i="37"/>
  <c r="E17" i="37"/>
  <c r="G61" i="37" s="1"/>
  <c r="G61" i="59" l="1"/>
  <c r="G61" i="58"/>
  <c r="G62" i="58"/>
  <c r="G61" i="57"/>
  <c r="G61" i="56"/>
  <c r="G63" i="55"/>
  <c r="G61" i="55"/>
  <c r="G64" i="55"/>
  <c r="G61" i="54"/>
  <c r="G63" i="53"/>
  <c r="G61" i="53"/>
  <c r="G63" i="52"/>
  <c r="G61" i="52"/>
  <c r="G62" i="52"/>
  <c r="G61" i="51"/>
  <c r="G62" i="51"/>
  <c r="G62" i="50"/>
  <c r="G61" i="50"/>
  <c r="G61" i="49"/>
  <c r="G61" i="48"/>
  <c r="G62" i="48" s="1"/>
  <c r="G61" i="47"/>
  <c r="G62" i="46"/>
  <c r="G63" i="46" s="1"/>
  <c r="G61" i="45"/>
  <c r="G62" i="44"/>
  <c r="G61" i="44"/>
  <c r="G61" i="43"/>
  <c r="G61" i="42"/>
  <c r="G61" i="41"/>
  <c r="G61" i="38"/>
  <c r="G63" i="38" s="1"/>
  <c r="G62" i="37"/>
  <c r="D59" i="18"/>
  <c r="D59" i="9"/>
  <c r="D59" i="36" l="1"/>
  <c r="E17" i="36"/>
  <c r="G62" i="36" s="1"/>
  <c r="D59" i="4"/>
  <c r="D59" i="35"/>
  <c r="E17" i="35"/>
  <c r="G62" i="35" s="1"/>
  <c r="G61" i="36" l="1"/>
  <c r="G61" i="35"/>
  <c r="E17" i="32" l="1"/>
  <c r="G63" i="32" s="1"/>
  <c r="D59" i="28"/>
  <c r="D59" i="21"/>
  <c r="D59" i="22"/>
  <c r="D59" i="29"/>
  <c r="E17" i="29"/>
  <c r="G62" i="29" s="1"/>
  <c r="D59" i="17"/>
  <c r="E17" i="28"/>
  <c r="G62" i="28" s="1"/>
  <c r="D59" i="26"/>
  <c r="E17" i="26"/>
  <c r="G62" i="26" s="1"/>
  <c r="D59" i="25"/>
  <c r="E17" i="25"/>
  <c r="G62" i="32" l="1"/>
  <c r="G61" i="32"/>
  <c r="G61" i="29"/>
  <c r="G61" i="28"/>
  <c r="G61" i="26"/>
  <c r="G61" i="25"/>
  <c r="G62" i="25"/>
  <c r="E17" i="22"/>
  <c r="G62" i="22" s="1"/>
  <c r="G63" i="22" s="1"/>
  <c r="G61" i="22" l="1"/>
  <c r="E17" i="21" l="1"/>
  <c r="G63" i="21" s="1"/>
  <c r="G61" i="21" l="1"/>
  <c r="G62" i="21"/>
  <c r="E17" i="20"/>
  <c r="G63" i="20" s="1"/>
  <c r="D59" i="19"/>
  <c r="E17" i="19"/>
  <c r="E17" i="18"/>
  <c r="G62" i="18" s="1"/>
  <c r="E17" i="17"/>
  <c r="G62" i="17" s="1"/>
  <c r="D59" i="16"/>
  <c r="E17" i="16"/>
  <c r="G61" i="16" s="1"/>
  <c r="G62" i="16" s="1"/>
  <c r="G63" i="16" s="1"/>
  <c r="G64" i="16" s="1"/>
  <c r="E17" i="15"/>
  <c r="G63" i="19" l="1"/>
  <c r="G62" i="19"/>
  <c r="G61" i="20"/>
  <c r="G62" i="20"/>
  <c r="G61" i="19"/>
  <c r="G61" i="18"/>
  <c r="G61" i="17"/>
  <c r="G62" i="15"/>
  <c r="G61" i="15"/>
  <c r="D59" i="12" l="1"/>
  <c r="E17" i="12"/>
  <c r="G62" i="12" s="1"/>
  <c r="D59" i="7"/>
  <c r="D59" i="6"/>
  <c r="G61" i="12" l="1"/>
  <c r="E17" i="9"/>
  <c r="E17" i="7"/>
  <c r="G63" i="7" s="1"/>
  <c r="E17" i="6"/>
  <c r="G63" i="6" s="1"/>
  <c r="G62" i="9" l="1"/>
  <c r="G62" i="6"/>
  <c r="G61" i="9"/>
  <c r="G61" i="7"/>
  <c r="G62" i="7"/>
  <c r="G61" i="6"/>
  <c r="E17" i="4"/>
  <c r="G62" i="4" s="1"/>
  <c r="G61" i="4" l="1"/>
</calcChain>
</file>

<file path=xl/sharedStrings.xml><?xml version="1.0" encoding="utf-8"?>
<sst xmlns="http://schemas.openxmlformats.org/spreadsheetml/2006/main" count="4793" uniqueCount="787">
  <si>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</si>
  <si>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</si>
  <si>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</si>
  <si>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</si>
  <si>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</si>
  <si>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</si>
  <si>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</si>
  <si>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</si>
  <si>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</si>
  <si>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FABRICA</t>
  </si>
  <si>
    <t>Proyecto:</t>
  </si>
  <si>
    <t>Expediente para declaratoria de fábrica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</si>
  <si>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</si>
  <si>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</si>
  <si>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</si>
  <si>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</si>
  <si>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</si>
  <si>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</si>
  <si>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</si>
  <si>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</si>
  <si>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</si>
  <si>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</si>
  <si>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</si>
  <si>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</si>
  <si>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</si>
  <si>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</si>
  <si>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</si>
  <si>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</si>
  <si>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</si>
  <si>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</si>
  <si>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</si>
  <si>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</si>
  <si>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</si>
  <si>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</si>
  <si>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</si>
  <si>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</si>
  <si>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</si>
  <si>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</si>
  <si>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</si>
  <si>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</si>
  <si>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Por cada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</si>
  <si>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</si>
  <si>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</si>
  <si>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</si>
  <si>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</si>
  <si>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</si>
  <si>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Memoria(s) descriptiva(s)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</si>
  <si>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</si>
  <si>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</si>
  <si>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</si>
  <si>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</si>
  <si>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</si>
  <si>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</si>
  <si>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</si>
  <si>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</si>
  <si>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</si>
  <si>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</si>
  <si>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</si>
  <si>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</si>
  <si>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</si>
  <si>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</si>
  <si>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</si>
  <si>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</si>
  <si>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</si>
  <si>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</si>
  <si>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</si>
  <si>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</si>
  <si>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</si>
  <si>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</si>
  <si>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</si>
  <si>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</si>
  <si>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</si>
  <si>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</si>
  <si>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</si>
  <si>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</si>
  <si>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</si>
  <si>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</si>
  <si>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</si>
  <si>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</si>
  <si>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</si>
  <si>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Emision de Liquidacion (aprobacion) -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</si>
  <si>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</si>
  <si>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</si>
  <si>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</si>
  <si>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</si>
  <si>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Abog.Ljubica Nada Sékula Delgado CAD 18346</t>
  </si>
  <si>
    <t>Ing. Civil Juan Manuel Leveau Guerra Nº CIP: 74155</t>
  </si>
  <si>
    <t>Abog. Rommy Alberto Granda Montes CAL.S N° 01508</t>
  </si>
  <si>
    <t>COTIZACION / CONTRATO DE ELABORACION EXPEDIENTE
DECLARATORIA DE FABRICA CON SUBDIVISION</t>
  </si>
  <si>
    <t>Expediente para declaratoria de fábrica con subdivisión - SUNARP</t>
  </si>
  <si>
    <t>COTIZACION / CONTRATO DE ELABORACIÓN EXPEDIENTE INDEPENDIZACIÓN</t>
  </si>
  <si>
    <t>COTIZACION / CONTRATO DE ELABORACION EXPEDIENTE
DECLARATORIA E INDEPENDIZACION</t>
  </si>
  <si>
    <t>Expediente para declaratoria e independización - SUNARP</t>
  </si>
  <si>
    <t>Emision de Liquidación (aprobación) - SUNARP</t>
  </si>
  <si>
    <t>COTIZACION / CONTRATO DE ELABORACION EXPEDIENTE
BUSQUEDA CATASTRAL</t>
  </si>
  <si>
    <t>Expediente para busqueda catastral - SUNARP</t>
  </si>
  <si>
    <t xml:space="preserve">1.1 Medición de Inmueble o guia de planos del cliente </t>
  </si>
  <si>
    <t>COTIZACIÓN / CONTRATO EXPEDIENTE DE VISACIÓN DE PLANOS</t>
  </si>
  <si>
    <t>-</t>
  </si>
  <si>
    <t>2.3 Busqueda en la SUNARP</t>
  </si>
  <si>
    <t>para el ingreso a Municipio</t>
  </si>
  <si>
    <t>Al ingreso de los documentos a Municipio</t>
  </si>
  <si>
    <t>NOTAS: Oferta Valida 7 Días, No incluye costo de impuesto alguno en la realización del trámite. Documento con vigencia limitada</t>
  </si>
  <si>
    <t>COTIZACIÓN / CONTRATO EXPEDIENTE DE LICENCIA DE CONSTRUCCIÓN</t>
  </si>
  <si>
    <t>Elaboración de expediente para licencia de construcción - Municipio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</si>
  <si>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</si>
  <si>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</si>
  <si>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</si>
  <si>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</si>
  <si>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</si>
  <si>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</si>
  <si>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</si>
  <si>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</si>
  <si>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</si>
  <si>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</si>
  <si>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</si>
  <si>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</si>
  <si>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 xml:space="preserve">B.8 INSTALACIONES DE GAS NATURAL: </t>
    </r>
    <r>
      <rPr>
        <sz val="9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</si>
  <si>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</si>
  <si>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</si>
  <si>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</si>
  <si>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</si>
  <si>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</si>
  <si>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</si>
  <si>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CIMENTACION:</t>
    </r>
    <r>
      <rPr>
        <sz val="9"/>
        <rFont val="Arial Narrow"/>
        <family val="2"/>
      </rPr>
      <t xml:space="preserve">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</si>
  <si>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</si>
  <si>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</si>
  <si>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</si>
  <si>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</si>
  <si>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</si>
  <si>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</si>
  <si>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</si>
  <si>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</si>
  <si>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</si>
  <si>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</si>
  <si>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</si>
  <si>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</si>
  <si>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</si>
  <si>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</si>
  <si>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</si>
  <si>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</si>
  <si>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</si>
  <si>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</si>
  <si>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</si>
  <si>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</si>
  <si>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</si>
  <si>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</si>
  <si>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</si>
  <si>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</si>
  <si>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</si>
  <si>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</si>
  <si>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Municipio (si hubiere)</t>
  </si>
  <si>
    <t>C.22 Memoria(s) descriptiva(s)</t>
  </si>
  <si>
    <t>C.12 FUE (Formulario Unico de Edifcaciones)</t>
  </si>
  <si>
    <t>C.23 Factibilidad Electrica</t>
  </si>
  <si>
    <t>2.1 Planos Completos Firmados y Sellados</t>
  </si>
  <si>
    <t>por 4 Profesionales Colegiados y</t>
  </si>
  <si>
    <t>Habilitados Vigentes</t>
  </si>
  <si>
    <t>la entidad correspondiente hasta la emision de la</t>
  </si>
  <si>
    <t>2.2 CD - Grabación Digital del Planos</t>
  </si>
  <si>
    <t>licencia municipal</t>
  </si>
  <si>
    <t>COTIZACIÓN / CONTRATO DE DESARROLLO DE PLANOS INGENIERIA
Y ARQUITECTURA - PLANOS DE OBRA</t>
  </si>
  <si>
    <t>B.11 UNA FACHADA 3D - UN MODELO</t>
  </si>
  <si>
    <t>C.11 Subsanacion de observaciones SUNARP</t>
  </si>
  <si>
    <t xml:space="preserve">2.4 Servicio de Tramitación de expediente </t>
  </si>
  <si>
    <t xml:space="preserve">Ante la entidad correspondiente, Sunarp, notaria y municipio hasta </t>
  </si>
  <si>
    <t>Su aceptacion y Aprobacion</t>
  </si>
  <si>
    <t>Contra-entrega envio de planos impresos</t>
  </si>
  <si>
    <t>NOTAS: Oferta Valida 7 Días, No  incluye costo de impuesto alguno en la realización del trámite. Documento con vigencia limitada</t>
  </si>
  <si>
    <t>COTIZACION/CONTRATO ELABORACION DE EXPEDIENTE DE
LICENCIA DE FUNCIONAMIENTO-MUNICIPIO</t>
  </si>
  <si>
    <t>Elaboracion de expediente de Licencia de Funcionamiento</t>
  </si>
  <si>
    <t>Piso:</t>
  </si>
  <si>
    <t>Cliente(a):</t>
  </si>
  <si>
    <t xml:space="preserve">1.1 Medición de Inmueble - Local o Guia de Planos </t>
  </si>
  <si>
    <t>A.8 Memoria descriptiva  de detectores de humo</t>
  </si>
  <si>
    <t xml:space="preserve">     Cliente</t>
  </si>
  <si>
    <t xml:space="preserve">A.9 Memoria descriptiva de luces de emergencia </t>
  </si>
  <si>
    <t xml:space="preserve">A.10 Evaluación Estructuras </t>
  </si>
  <si>
    <t>A.1 Plan de Contingencia / Cartilla de Seguridad</t>
  </si>
  <si>
    <t>A.12 Tasación de Inmueble</t>
  </si>
  <si>
    <t>A.2 Arquitectura: Distribución</t>
  </si>
  <si>
    <t>A.13 Certificados de Operatividad Luces de Emergencia</t>
  </si>
  <si>
    <t>A.3 Plano de Evacuacion</t>
  </si>
  <si>
    <t>A.14 Certificado Protocolo Puesta a tierra</t>
  </si>
  <si>
    <t>A.5 Plano de Señalizacion</t>
  </si>
  <si>
    <t>A.15 Certificados de Operatividad de Detector de Humo Centralizado</t>
  </si>
  <si>
    <t>A.6 Plano de ubicación</t>
  </si>
  <si>
    <t>A.16 Plan de Contingencia o Cartilla de Seguridad</t>
  </si>
  <si>
    <t>A.7 Distribucion de tableros electricos diagrama unifilares</t>
  </si>
  <si>
    <t>A.17 Plano mapa de Riesgo</t>
  </si>
  <si>
    <t>y cuadro de cargas</t>
  </si>
  <si>
    <t xml:space="preserve">B.1 Lectura Titulo Sunarp </t>
  </si>
  <si>
    <t>B.3 Solicitud y Memoria Descriptiva Sunarp</t>
  </si>
  <si>
    <t>B.4 Reglamento  Interno y Junta de Propietarios</t>
  </si>
  <si>
    <t>B.5 Formulario Registral Nº 2</t>
  </si>
  <si>
    <t>B.6 Constancia y Acta Extraordinaria</t>
  </si>
  <si>
    <t>B.16 Factibilidad Sanitaria</t>
  </si>
  <si>
    <t xml:space="preserve">B.8 Declaracion (es) Jurada (s) </t>
  </si>
  <si>
    <t>B.9 Anexo Nº 1 Sunarp</t>
  </si>
  <si>
    <t>B.10 Anexo Nº 4 Sunarp</t>
  </si>
  <si>
    <t>B.20 Certificado de habilidad de Ing electrico</t>
  </si>
  <si>
    <t>B.11 Subsanacion observaciones Municipio</t>
  </si>
  <si>
    <t>2.3 Investigacion Antecedentes de Inmueble Sunarp</t>
  </si>
  <si>
    <t>Firmados Por Ing. Electrico y Arquitecto Colegiados y</t>
  </si>
  <si>
    <t>2.4 Servicio de Tramitación de expediente</t>
  </si>
  <si>
    <t>Habilitados Vigentes.</t>
  </si>
  <si>
    <t>Ante entidad correspondiente hasta</t>
  </si>
  <si>
    <t>Su Aceptación y Aprobación</t>
  </si>
  <si>
    <t>COTIZACION / CONTRATO DE ELABORACION EXPEDIENTE
DECLARATORIA DE HEREDEROS - SUCESIÓN INTESTADA</t>
  </si>
  <si>
    <t>B.1 Solicitud y Copia de DNI de Todos los herederos.</t>
  </si>
  <si>
    <t>B.2 Trámite por Partida de Defunción.</t>
  </si>
  <si>
    <t>B.3 Declaracion(es) Jurada(s) legalizada de no existencia de otros herederos.</t>
  </si>
  <si>
    <t>B.4 Trámite por Certificado negativo de Sucesión Intestada.</t>
  </si>
  <si>
    <t>B.15 Trámite de Partida de nacimiento de todos los hijos.</t>
  </si>
  <si>
    <t>B.6 Trámite por Certificado negativo de testamentos.</t>
  </si>
  <si>
    <t>B.3 Trámite por Partida de Ncimiento de Herederos.</t>
  </si>
  <si>
    <t>B.8 Trámite por Partida de Matrimonio.</t>
  </si>
  <si>
    <t xml:space="preserve">2.1 Documentos Impresos 1 Original </t>
  </si>
  <si>
    <t>para el ingreso a Notaría</t>
  </si>
  <si>
    <t>Notaría hasta su aceptacion y Aprobacion</t>
  </si>
  <si>
    <t>COTIZACION / CONTRATO DE ELABORACION EXPEDIENTE
SUCESIÓN INTESTADA - DECLARATORIA E INDEPENDIZACION</t>
  </si>
  <si>
    <t>Expediente para Notaría y declaratoria e independización - SUNARP</t>
  </si>
  <si>
    <t>B.12 Solicitud y Copia de DNI de Todos los herederos.</t>
  </si>
  <si>
    <t>B.13 Trámite por Partida de Defunción.</t>
  </si>
  <si>
    <t>B.14 Trámite por Certificado negativo de Sucesión Intestada.</t>
  </si>
  <si>
    <t>B.15 Trámite por Certificado negativo de testamentos.</t>
  </si>
  <si>
    <t>B.5 Declaracion(es) Jurada(s) legalizada de no existencia de otros herederos.</t>
  </si>
  <si>
    <t>B.16. Trámite por Partida de Ncimiento de Herederos.</t>
  </si>
  <si>
    <t>B.17 Trámite por Partida de Matrimonio.</t>
  </si>
  <si>
    <t>Sellados y Firmados por abogado y Verificados y 2 copias</t>
  </si>
  <si>
    <t>2.4 Servicio de Tramitación de expediente ante Notaría y</t>
  </si>
  <si>
    <t>Previo ingreso de Documentos Para Firma Notarial.</t>
  </si>
  <si>
    <t>Previo ingreso de Documentos para Indep. a SUNARP</t>
  </si>
  <si>
    <t>Emision de Liquidacion de indep. (aprobacion) - SUNARP</t>
  </si>
  <si>
    <t>COTIZACIÓN / CONTRATO DESARROLLO DE EXPEDIENTES PARA DIVISIÓN Y PARTICIÓN NOTARIAL SUNARP</t>
  </si>
  <si>
    <t>Expediente tramite División y Partición Notarial - SUNARP</t>
  </si>
  <si>
    <t>B.2 Escritura pública notarial para división y partición de lote (tranferencia)</t>
  </si>
  <si>
    <t>B.4 Partida de nacimiento</t>
  </si>
  <si>
    <t>B.5 Certificado DNI</t>
  </si>
  <si>
    <t>B.6 Tramite de pago autoevaluo</t>
  </si>
  <si>
    <t>B.7 Asesoria durante el proceso</t>
  </si>
  <si>
    <t>2.3 Servicio de Tramitación de Expediente ante Notaria hasta su aceptación y Aprobación</t>
  </si>
  <si>
    <t>2.4 Servicio de Tramitación de Expediente ante Municipalidad hasta su aceptación y Aprobación</t>
  </si>
  <si>
    <t>COTIZACIÓN/CONTRATO EXPEDIENTE PARA ANTICIPO DE LEGITIMA</t>
  </si>
  <si>
    <t>Elaboración de documentos para escritura pública anticipo de legitimo</t>
  </si>
  <si>
    <t>B.2 Minuta de anticipo de legitima</t>
  </si>
  <si>
    <t>B.12 Copia de DNI vigente</t>
  </si>
  <si>
    <t>B.14 HP y PU</t>
  </si>
  <si>
    <t>B.15 Partida(s) de nacimiento(s) de los anticipado(s)</t>
  </si>
  <si>
    <t>B.17 Recibo de pago del impuesto predial</t>
  </si>
  <si>
    <t>B.18 Asesoria durante el proceso</t>
  </si>
  <si>
    <t>Expediente para Factibilidad Electrica</t>
  </si>
  <si>
    <t>A.3 Diagrama Unifilar</t>
  </si>
  <si>
    <t>A.4 Plano Distribución de Tableros</t>
  </si>
  <si>
    <t xml:space="preserve">2.4 Servicio de Tramitación de expediente para factibilidad ante </t>
  </si>
  <si>
    <t>COTIZACION / CONTRATO DE ELABORACION EXPEDIENTE FACTIBILIDAD SANITARIA</t>
  </si>
  <si>
    <t>A.2 Plano Instalación Sanitaria</t>
  </si>
  <si>
    <t>entidad hasta su aceptacion y Aprobacion</t>
  </si>
  <si>
    <t>COTIZACION / CONTRATO DE ELABORACION EXPEDIENTE
LEVANTAMIENTO DE CARGAS TECNICAS INMUEBLE</t>
  </si>
  <si>
    <t>B.15 Declaración Jurada Profesional</t>
  </si>
  <si>
    <t>Expediente para independización - SUNARP</t>
  </si>
  <si>
    <t>Expediente tramite Contestación de Multa</t>
  </si>
  <si>
    <t>B.2 Escrito de respuesta municipal</t>
  </si>
  <si>
    <t>B.3 Revisión de notificacion y normativa</t>
  </si>
  <si>
    <t>B.4 Verificación de código de multa</t>
  </si>
  <si>
    <t>B.5 Trámite municipal</t>
  </si>
  <si>
    <t>B.6 Solicitud municipal</t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</si>
  <si>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</si>
  <si>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Previo ingreso de expediente a la SUNARP</t>
  </si>
  <si>
    <t>por Profesional Colegiado y</t>
  </si>
  <si>
    <t>Habilitado Vigente</t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</si>
  <si>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</si>
  <si>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</si>
  <si>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>B.4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</si>
  <si>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B.5 ESTRUCTURAS DE CIMENTACION:</t>
    </r>
    <r>
      <rPr>
        <sz val="9"/>
        <color theme="2" tint="-0.249977111117893"/>
        <rFont val="Arial Narrow"/>
        <family val="2"/>
      </rPr>
      <t xml:space="preserve"> Cimiento Corrido</t>
    </r>
  </si>
  <si>
    <r>
      <rPr>
        <b/>
        <sz val="9"/>
        <color theme="2" tint="-0.249977111117893"/>
        <rFont val="Arial Narrow"/>
        <family val="2"/>
      </rPr>
      <t>B.6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</si>
  <si>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COTIZACIÓN / CONTRATO EXPEDIENTE DE LICENCIA DE DEMOLICIÓN</t>
  </si>
  <si>
    <t>Elaboración de expediente para licencia de demolición - Municipio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</si>
  <si>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PLANO DISTRIBUCIÓN</t>
    </r>
  </si>
  <si>
    <t xml:space="preserve"> </t>
  </si>
  <si>
    <r>
      <rPr>
        <b/>
        <sz val="9"/>
        <color theme="2" tint="-0.249977111117893"/>
        <rFont val="Arial Narrow"/>
        <family val="2"/>
      </rPr>
      <t>B.7 INSTALACIONES ELECTRICAS</t>
    </r>
    <r>
      <rPr>
        <sz val="9"/>
        <color theme="2" tint="-0.249977111117893"/>
        <rFont val="Arial Narrow"/>
        <family val="2"/>
      </rPr>
      <t>: Red de alumbrado</t>
    </r>
  </si>
  <si>
    <r>
      <rPr>
        <b/>
        <sz val="9"/>
        <color theme="2" tint="-0.249977111117893"/>
        <rFont val="Arial Narrow"/>
        <family val="2"/>
      </rPr>
      <t xml:space="preserve">B.8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</si>
  <si>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 xml:space="preserve">B.9 INSTALACIONES DE GAS NATURAL: </t>
    </r>
    <r>
      <rPr>
        <sz val="9"/>
        <color theme="2" tint="-0.249977111117893"/>
        <rFont val="Arial Narrow"/>
        <family val="2"/>
      </rPr>
      <t>Red de</t>
    </r>
  </si>
  <si>
    <r>
      <rPr>
        <b/>
        <sz val="9"/>
        <color theme="2" tint="-0.249977111117893"/>
        <rFont val="Arial Narrow"/>
        <family val="2"/>
      </rPr>
      <t>B.10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</si>
  <si>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B.11 UBICACIÓN Y LOCALIZACION</t>
  </si>
  <si>
    <t>B.13 SIMULACION DE RESISTENCIA ESTRUCTURAL 3D</t>
  </si>
  <si>
    <t>B.14 FACHADA 3D - UN MODELO</t>
  </si>
  <si>
    <t xml:space="preserve">   </t>
  </si>
  <si>
    <t xml:space="preserve">A.13 Plano Perimetrico - Subdivisión </t>
  </si>
  <si>
    <t>B.8 Declaracion Jurada</t>
  </si>
  <si>
    <t>Aprox.</t>
  </si>
  <si>
    <t xml:space="preserve">B.8 Declaracion Jurada </t>
  </si>
  <si>
    <t>B.13 Memoria descriptiva</t>
  </si>
  <si>
    <t>A.2 Plano perimetrico coordenadas PSAAD56 o WGS84</t>
  </si>
  <si>
    <t>Elaboración de planos visación Municipal</t>
  </si>
  <si>
    <t>A,11 Ubicación Coordenadas PSAD56 ó WGS84</t>
  </si>
  <si>
    <t>A.4 Plano Perimetrico Coordenadas PSAD56 ó WGS84</t>
  </si>
  <si>
    <t>B.8 Declaracion Jurada del Profesional</t>
  </si>
  <si>
    <t>C.8 Declaracion Jurada</t>
  </si>
  <si>
    <t>C.22 Memoria descriptiva</t>
  </si>
  <si>
    <t>Previo al ingreso de los documentos a Municipio</t>
  </si>
  <si>
    <t>Previa Aprobacion de la licencia Municipal</t>
  </si>
  <si>
    <t xml:space="preserve">COTIZACIÓN / CONTRATO DESARROLLO DE EXPEDIENTES Y/O ESCRITO DE RESPUESTA A MULTA MUNICIPAL </t>
  </si>
  <si>
    <t>A.2 Cuadro de Cargas Electricas</t>
  </si>
  <si>
    <t xml:space="preserve">B.9 Boleta de Habilidad del profesional </t>
  </si>
  <si>
    <t>2.4 Servicio de Tramitación de expediente para factibilidad ante</t>
  </si>
  <si>
    <t>A.4 Detalle de red de Desagüe</t>
  </si>
  <si>
    <t>A.5 Detalle de redes de Agua Fria y Caliente</t>
  </si>
  <si>
    <t>A.10 Plano de Ubicación y Localización</t>
  </si>
  <si>
    <t>B.8 Declaracion Jurada del profesional</t>
  </si>
  <si>
    <t xml:space="preserve">B.18 Escritura publica notarial </t>
  </si>
  <si>
    <t xml:space="preserve">B.12 Minuta para sucesion intestada </t>
  </si>
  <si>
    <t>habilitados</t>
  </si>
  <si>
    <t xml:space="preserve">Sellados y Firmados por profesionales colegiados y </t>
  </si>
  <si>
    <t xml:space="preserve">A la Contra entrega del documento y plano final </t>
  </si>
  <si>
    <t>COTIZACION / CONTRATO DE ELABORACION EXPEDIENTE
BUSQUEDA CATASTRAL Y MEMORIA DESCRIPTIVA</t>
  </si>
  <si>
    <t>Elaboracion de planos y memoria descriptiva</t>
  </si>
  <si>
    <t>B.  Elaboración de Documentos del Expediente Solicitado</t>
  </si>
  <si>
    <t>B.  Elaboración de Documentos del  Expediente Solicitado</t>
  </si>
  <si>
    <t>Previo al Ingreso del Expediente Final Aprobado</t>
  </si>
  <si>
    <t>C.20 Memoria descriptiva y de  Calculo de las Especialidades</t>
  </si>
  <si>
    <t>2.1 Planos Completos Firmados y Sellados 3 originales</t>
  </si>
  <si>
    <t>C.  Elaboración de Documentos: del Expediente Solicitado</t>
  </si>
  <si>
    <t>B.  Elaboración de Documentos: del Expediente Solicitado</t>
  </si>
  <si>
    <t>B.  Elaboración de Documentos: del  Expediente Solicitado</t>
  </si>
  <si>
    <t>2.1 Planos Completos Firmados y Sellados 2 originales</t>
  </si>
  <si>
    <t xml:space="preserve">2.1 Planos y Documentos Impresos 1 Original + 2 copias Sellados y </t>
  </si>
  <si>
    <t>Previo a la Contraentrega de los documentos y Planos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</si>
  <si>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</si>
  <si>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Expediente de sucesión Intestada-Notarial</t>
  </si>
  <si>
    <t>B.9 Copia literal Certificada - SUNARP</t>
  </si>
  <si>
    <t xml:space="preserve">Sellados y Firmados por Abogado colegiado </t>
  </si>
  <si>
    <t>Previo Ingreso  de Documentos -SUNARP.</t>
  </si>
  <si>
    <t>Previo al Ingreso a la SUNARP</t>
  </si>
  <si>
    <t>B.  Elaboración de Documentos: del Expediente Solicitado y Tramite documentario</t>
  </si>
  <si>
    <t>Previo a la firma de la minuta en Notaria</t>
  </si>
  <si>
    <t>B.8 Declaracion Jurada del profesional ó</t>
  </si>
  <si>
    <t>copias,por Profesional Colegiado y Habilitado Vigente</t>
  </si>
  <si>
    <t>2.1 Planos Completos Firmados y Sellados 1 original 2</t>
  </si>
  <si>
    <t>B.13 Memoria descriptiva y calculo</t>
  </si>
  <si>
    <t>Previo Ingreso del Expediente de Factibilidad Electrica</t>
  </si>
  <si>
    <t>B.2 Solicitud firmada por el profesional</t>
  </si>
  <si>
    <t>B.13 Memoria  descriptiva y de calculo</t>
  </si>
  <si>
    <t>copias) por Profesional Colegiado y Habilitado Vigente</t>
  </si>
  <si>
    <t xml:space="preserve">2.1 Planos Completos Firmados y Sellados (1 original 2 </t>
  </si>
  <si>
    <t xml:space="preserve">Previo al ingreso de la factibilidad sanitaria </t>
  </si>
  <si>
    <t>COTIZACION / CONTRATO DE ELABORACION EXPEDIENTE SOLICITUD MEDIDOR SEDAPAL</t>
  </si>
  <si>
    <t>Expediente para Solicitud - Medidor  -SEDAPAL</t>
  </si>
  <si>
    <t>Previo al ingreso de la solicitud de medidor</t>
  </si>
  <si>
    <t>Expediente para levantamiento de cargas tecnicas del predio</t>
  </si>
  <si>
    <t>Plano de obra para construcción</t>
  </si>
  <si>
    <t>COTIZACION / CONTRATO DE ELABORACIÓN EXPEDIENTE DE
RESPUESTA A NOTIFICACIÓN MUNICIPAL</t>
  </si>
  <si>
    <t>Expediente para Respuesta a Notificación Municipal</t>
  </si>
  <si>
    <t>B.1 Escrito de respuesta inmediata</t>
  </si>
  <si>
    <t>B.2 Ingreso de escrito en municipio</t>
  </si>
  <si>
    <t>B.3 Gestión en registros públicos</t>
  </si>
  <si>
    <t>B.4 Escrito de 2da notificación (si hubiere)</t>
  </si>
  <si>
    <t>Previo al ingreso del escrito al municipio</t>
  </si>
  <si>
    <t>COTIZACION / CONTRATO DE ELABORACION EXPEDIENTE
ACUMULACIÓN - ADECUACIÓN Y MODIFICACIÓN REGLAMENTO INTERNO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</si>
  <si>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</si>
  <si>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</si>
  <si>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B.4 ESTRUCTURAS DE CIMENTACION:</t>
    </r>
    <r>
      <rPr>
        <sz val="9"/>
        <color theme="2" tint="-0.249977111117893"/>
        <rFont val="Arial Narrow"/>
        <family val="2"/>
      </rPr>
      <t xml:space="preserve"> Cimiento Corrido</t>
    </r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</si>
  <si>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</si>
  <si>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</si>
  <si>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</si>
  <si>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t>B.9 Planos de Ubicación</t>
  </si>
  <si>
    <t>B.10 Reporte fotográfico del predio</t>
  </si>
  <si>
    <t>B.11 Plano de Distribución Referencial</t>
  </si>
  <si>
    <t>A.1 Inspeccion ocular para verificación estructural</t>
  </si>
  <si>
    <t>2.1 Informe "Tecnico de tasación sellado y firmado por</t>
  </si>
  <si>
    <t>Profesional Colegiado Habilitado Vigente</t>
  </si>
  <si>
    <t>2.3 Verificación de antigüedad del predio</t>
  </si>
  <si>
    <t>COTIZACIÓN / CONTRATO EXPEDIENTE DE TASACIÓN INMOBILIARIA</t>
  </si>
  <si>
    <t>Elaboración de Informe Técnico de Tasación Inmobiliaria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</si>
  <si>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</si>
  <si>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Levantamiento de Area</t>
  </si>
  <si>
    <t>COTIZACIÓN / CONTRATO DE LEVANTAMIENTO DE AREA</t>
  </si>
  <si>
    <t>COTIZACIÓN/CONTRATO EXPEDIENTE PARA COMPRA Y VENTA DE UN INMUEBLE</t>
  </si>
  <si>
    <t>Elaboración de documentos para escritura pública compra y venta - Inmueble</t>
  </si>
  <si>
    <t>B.1 Minuta de la Compra y Venta de la Unidad Inmobiliaria</t>
  </si>
  <si>
    <t>B.2 Escritura Pública notarial para compra y venta del inmueble registrado en SUNARP</t>
  </si>
  <si>
    <t>B.4 Tramite de pago de impuesta predial actualizado</t>
  </si>
  <si>
    <t>B.5 Trámite constancia de no adeudo en la Municipalidad actualizado a la fecha</t>
  </si>
  <si>
    <t>B.12 Certificado de DNI de ambas partes del comprador y vendedor</t>
  </si>
  <si>
    <t>B.13 Tramite de Solicitud de copia literal actualizado del predio</t>
  </si>
  <si>
    <t>B.14 Tramite de actualización HP y PU</t>
  </si>
  <si>
    <t>B.16 Carta poder legalizado</t>
  </si>
  <si>
    <t>B.19 Tramite translado de dominio de partidas (costo paga cliente)</t>
  </si>
  <si>
    <t>2.3 Servicio de Tramitación de expediente ante Municipalidad hasta su aceptación y Aprobación</t>
  </si>
  <si>
    <t>2.4 Servicio de Tramitación de expediente ante Notaria hasta su aceptación y Aprobación</t>
  </si>
  <si>
    <t>COTIZACIÓN / CONTRATO EXPEDIENTE DE DECLARATORIA E INDEPENDIZACIÓN Y EXPEDIENTE DE LICENCIA DE CONSTRUCCION</t>
  </si>
  <si>
    <t>Elaboración de expediente SUNARP - Municipio</t>
  </si>
  <si>
    <t>Previo al ingreso de los documentos a firma notarial</t>
  </si>
  <si>
    <t>A la Emisión de Liquidación (aprobación) - SUNARP</t>
  </si>
  <si>
    <t>C.15 Constancia y Acta Extraordinaria (si fuera el caso)</t>
  </si>
  <si>
    <t>C.16 Subsanación de observaciones SUNARP (si fuera el caso)</t>
  </si>
  <si>
    <t>C.20 Memoria de cálculo</t>
  </si>
  <si>
    <t>2.4 Servicio de Tramitación de expediente ante entidad Municipal</t>
  </si>
  <si>
    <t>2.5 Servicio de Tramitación de expediente ante entidad SUNARP</t>
  </si>
  <si>
    <t>hasta su aceptación y Aprobación</t>
  </si>
  <si>
    <t>2.2 CD - Grabación Digital del Planos (tramite Municipal)</t>
  </si>
  <si>
    <t>2.1 Documentos y Planos Completos Firmados y Sellados</t>
  </si>
  <si>
    <t>por Profesionales Colegiados y Habilitados Vigentes</t>
  </si>
  <si>
    <t>según tramite ante SUNARP y Municipal</t>
  </si>
  <si>
    <t>COTIZACIÓN / CONTRATO DESARROLLO DE EXPEDIENTES PARA DIVISIÓN Y PARTICIÓN NOTARIAL
Y DONACIÓN DE UNA UNIDAD INMOBILIARIA</t>
  </si>
  <si>
    <t>Expediente tramite División - Partición y Donación - Notarial</t>
  </si>
  <si>
    <t>B.3 Actualización de autovaluo independiente por UI</t>
  </si>
  <si>
    <t>B.6 Tramite de pago autoevaluos a la fecha (HR - PU)</t>
  </si>
  <si>
    <t>B.7 Constancia de no adeudo</t>
  </si>
  <si>
    <t>B.1 Minuta Transferencia de las unidades independizadas</t>
  </si>
  <si>
    <t>B.4 Solicitud copia literal de la matriz y unidades independizadas</t>
  </si>
  <si>
    <t>B.8 Inscripción de la independización en Municipio</t>
  </si>
  <si>
    <t>B.9 Elevación expediente a SUNARP para su inscripción</t>
  </si>
  <si>
    <t>B.10 Carta poder legalizado notaria</t>
  </si>
  <si>
    <t>B.11 Asesoria durante el Proceso</t>
  </si>
  <si>
    <t>B.12 Minuta para Transferencia de las unidades independizadas</t>
  </si>
  <si>
    <t>B.13 Escritura pública notarial para Donación de una (1) unidad independizado</t>
  </si>
  <si>
    <t>B.14 Certificado DNI del propietario y el heredero</t>
  </si>
  <si>
    <t>B.15 Actualización de autovaluo de la UI a donar (HR-PU)</t>
  </si>
  <si>
    <t>B.16 Partidad de nacimiento del heredero</t>
  </si>
  <si>
    <t>B.17 Escrito notarial si fuese requerido</t>
  </si>
  <si>
    <t>B.18 Constancia de no adeudo</t>
  </si>
  <si>
    <t>B.19 Solicitud copia literal de la matriz y de la unidad Independizada a heredar</t>
  </si>
  <si>
    <t>B.20 Tramite de pago autoevaluos a la fecha</t>
  </si>
  <si>
    <t>B.21 Elevación y expediente a sunarp para su inscripción</t>
  </si>
  <si>
    <t>B.22 Escrito de respuesta municipal</t>
  </si>
  <si>
    <t>B.23 Revisión de notificacion y normativa</t>
  </si>
  <si>
    <t>B.24 Verificación de código de multa</t>
  </si>
  <si>
    <t>B.25 Trámite municipal</t>
  </si>
  <si>
    <t>B.26 Solicitud municipal</t>
  </si>
  <si>
    <t>B.16 Escrito notarial si fuese requerido</t>
  </si>
  <si>
    <t>B.14 Memoria de Calculo</t>
  </si>
  <si>
    <t xml:space="preserve">Arq. Rodolfo Wilber Mogrovejo Huamani CAP N° 24431 </t>
  </si>
  <si>
    <t>COTIZACION / CONTRATO DE ELABORACION EXPEDIENTE
DECLARATORIA, INDEPENDIZACION, DIVISIÓN Y PARTICIÓN</t>
  </si>
  <si>
    <t>B.15 Escritura pública notarial para división y partición de lote (tranferencia)</t>
  </si>
  <si>
    <t>B.16 Actualización de autovaluo independiente por lote</t>
  </si>
  <si>
    <t>B.17 Partida de nacimiento</t>
  </si>
  <si>
    <t>B.18 Certificado DNI</t>
  </si>
  <si>
    <t>B.19 Tramite de pago autoevaluo</t>
  </si>
  <si>
    <t>B.20 Copia  literal  certificada de la matriz</t>
  </si>
  <si>
    <t>B.21 Asesoria dura nte el proceso</t>
  </si>
  <si>
    <t>2.2 Investigacion Antecedentes de Inmueble SUNARP</t>
  </si>
  <si>
    <t>2.4 Servicio de Tramitación de expediente ante entidad Sunarp hasta su aceptacion y Aprobacion</t>
  </si>
  <si>
    <t>Expediente para declaratoria, independización, división y partición - SUNARP</t>
  </si>
  <si>
    <t>COTIZACION / CONTRATO DE ELABORACION EXPEDIENTE FACTIBILIDAD ELECTRICA</t>
  </si>
  <si>
    <t>A.5 Plano de Instalación Electrica</t>
  </si>
  <si>
    <t>B.4 Ingreso expediente a entidad</t>
  </si>
  <si>
    <t>B.5 Foto de medidor o caja electrica con N° de suministro</t>
  </si>
  <si>
    <t>B.6 Copia Literal actualizado de la fábrica</t>
  </si>
  <si>
    <t>B.11 Subsanacion de observaciones ENEL (si fuera el caso)</t>
  </si>
  <si>
    <t>entidad hasta su aceptacion y aprobacion</t>
  </si>
  <si>
    <t>Expediente para Solicitud - Medidor - Pluz</t>
  </si>
  <si>
    <t>A.4 Plano de Distribución de Tableros</t>
  </si>
  <si>
    <t>B.2 Copia Literal actualizado del predio a Instalar medidor</t>
  </si>
  <si>
    <t>B.4 Foto de caja electrica con N° Suministro</t>
  </si>
  <si>
    <t>B.13 Memoria descriptiva y de calculo</t>
  </si>
  <si>
    <t>B.11 Subsanacion de observaciones Pluz (si fuera el caso)</t>
  </si>
  <si>
    <t>COTIZACION / CONTRATO DE ELABORACION EXPEDIENTE SOLICITUD MEDIDOR - PLUZ</t>
  </si>
  <si>
    <t>NO ESTA INCLUIDO servicio de tramitación de expediente, de requerir es costo adicional al servicio</t>
  </si>
  <si>
    <t>B.4 Formulario Registral Nº 1</t>
  </si>
  <si>
    <t>Previo al envio de Documentos Para Firma Notarial.</t>
  </si>
  <si>
    <t>Previo al envio de documentos para firma Notarial</t>
  </si>
  <si>
    <t>COTIZACIÓN / CONTRATO DE EXPEDIENTE DE PLANO DE OBRA Y LICENCIA DE CONSTRUCCIÓN MUNICIPAL PARA UNA VIVIENDA MULTIFAMILIAR</t>
  </si>
  <si>
    <t>Previo al ingreso Expediente al Municipio para Licencia</t>
  </si>
  <si>
    <t>Previo al la Contraentrega de Planos de Obra finalizados</t>
  </si>
  <si>
    <t>C.20 Memoria descriptiva de Calculo de Especialidades</t>
  </si>
  <si>
    <t>la entidad correspondiente hasta la emisión de la</t>
  </si>
  <si>
    <t>Previo al Envio de Documentos para Firma Notarial.</t>
  </si>
  <si>
    <t>Emision de Liquidacion (aprobación) - SUNARP</t>
  </si>
  <si>
    <t>B.11 Subsanacion de observaciones Sedapal (si fuera el caso)</t>
  </si>
  <si>
    <t>Expediente para Factibilidad Sanitaria - SEDAPAL</t>
  </si>
  <si>
    <t>B.4 Copia literal de la Fábrica Actualizado</t>
  </si>
  <si>
    <t>B.6 Copia Recibo de Agua - Suministro Vigente</t>
  </si>
  <si>
    <t>B.14 Calculo Hidráulico</t>
  </si>
  <si>
    <t>B.15 Copia DNI de los Propietarios</t>
  </si>
  <si>
    <t>B.17 Certificado Habilidad del profesional</t>
  </si>
  <si>
    <t>B.13 Memoria Descriptiva</t>
  </si>
  <si>
    <t>Previo a Entrega de Documentos Para Firma Notarial.</t>
  </si>
  <si>
    <t>A la Emision de Liquidacion (aprobacion) - SUNARP</t>
  </si>
  <si>
    <t>C.2 Solicitud de Licencia Demolición</t>
  </si>
  <si>
    <t>C.3 Tramite Solicitud Copias Certificadas de Planos de Fábrica - SUNARP</t>
  </si>
  <si>
    <t>B.12 PLANO DE CERRAMIENTO ( si fuese el caso)</t>
  </si>
  <si>
    <t>C.8 Declaracion Jurada de los Porfesionales</t>
  </si>
  <si>
    <t>C.9 Declaración Jurada (Administrado si fuera el caso)</t>
  </si>
  <si>
    <t>C.10 Copia Reglamento Interno (si fuera el caso)</t>
  </si>
  <si>
    <t>C.14 Carta de Seguridad de Obra firmada por un Ingeniero</t>
  </si>
  <si>
    <t>Previo a la emisión de Licencia de Demolición</t>
  </si>
  <si>
    <t>B.4 Copia Literal Actualizado de la Fábrica</t>
  </si>
  <si>
    <t>C.5 Informe Tecnico de Verificación</t>
  </si>
  <si>
    <t>C.12 FUE (Formulario Unico de Edifcaciones) Anexo N° 2</t>
  </si>
  <si>
    <t>Previo al envio de Documentos para Firma en Notaria</t>
  </si>
  <si>
    <t>B.6 Escritura publica para anticipo de legitima de la unidad independizada</t>
  </si>
  <si>
    <t>B.13 Copias literal actualizado de la matriz y unidades independizadas</t>
  </si>
  <si>
    <t>B.16 Recibo de pago del impuesto predial</t>
  </si>
  <si>
    <t>B.17 Asesoria durante el proceso</t>
  </si>
  <si>
    <t>B.19 Carta Poder Legalizado de los titulares del predio</t>
  </si>
  <si>
    <t>B.20 Actualización Autovaluo (si fuese el caso) Municipio</t>
  </si>
  <si>
    <t>B.21 Solicitud de constancia de no adeudo - Municipio</t>
  </si>
  <si>
    <t xml:space="preserve"> su aceptacion y Aprobacion</t>
  </si>
  <si>
    <t>2.4 Servicio de Tramitación de expediente ante Notaria</t>
  </si>
  <si>
    <t>2.1 Documentos Impresos 1 Original Sellado y Firmado por Abogado Colegiado para Ingreso a Notaria</t>
  </si>
  <si>
    <t>Previo al Ingreso del expediente a SUNARP</t>
  </si>
  <si>
    <t>2.1 Planos y/o Documentos Impresos 1 Original Sellados y Firmados por Profesional colegiado y habilitado para ingreso a Sunarp</t>
  </si>
  <si>
    <t>B.3 Tramite de solicitud de Actualización de autovaluo de la unidad independizada que se realizará la compra y venta</t>
  </si>
  <si>
    <t>2.1 Documentos Impresos 1 Original Sellados y
Firmados por Abogado colegiado para el ingreso a Notaria</t>
  </si>
  <si>
    <t>Previo al Ingreso del Municipio Contestación Multa</t>
  </si>
  <si>
    <t>B.1 Lectura Titulo SUNARP ( si fuera el caso)</t>
  </si>
  <si>
    <t>2.3 Servicio de Tramitación de Expediente ante Notaria y Municipalidad hasta su aceptación y Aprobación</t>
  </si>
  <si>
    <t>B.22 HR - PU - Municipal</t>
  </si>
  <si>
    <t>B.23 Carta poder actualizado (entrega los propietarios)</t>
  </si>
  <si>
    <t>B.24 Constancia de no adeudo - Municipal</t>
  </si>
  <si>
    <t>B.25 Copia Literal de los sublotes inscriptos en Sunarp</t>
  </si>
  <si>
    <t>B.3 Actualización de autovaluo independiente por lote en municipio</t>
  </si>
  <si>
    <t>B.14 HR y PU Municipal</t>
  </si>
  <si>
    <t>B.16 Carta poder legalizado (entrega los propietarios)</t>
  </si>
  <si>
    <t>B.17 Constancia de no adeudo - Municipal</t>
  </si>
  <si>
    <t>B.18 Copia literal certificada de los sub lotes inscriptos - Sunarp</t>
  </si>
  <si>
    <t>Previo al Ingreso de documentos a Notaria</t>
  </si>
  <si>
    <t>B.12 Copia literal certificada de la matriz</t>
  </si>
  <si>
    <t>B.15 Tramite de pago de autovaluo desde fecha adquirido del predio a la fecha actualizado</t>
  </si>
  <si>
    <t>COTIZACIÓN/CONTRATO EXPEDIENTE PARA GESTIÓN DE NOTIFICACIÓN NOTARIAL
Y TRAMITES RENIEC</t>
  </si>
  <si>
    <t>Elaboración de Escrito Notarial para Notificación Notarial</t>
  </si>
  <si>
    <t>B.2 Escrito para Notificación Notarial</t>
  </si>
  <si>
    <t>B.14 C5</t>
  </si>
  <si>
    <t>B.15 Certificado de Inscripcion</t>
  </si>
  <si>
    <t>B.16 Vigencia de poder</t>
  </si>
  <si>
    <t>Ingreso de expediente en Notaria</t>
  </si>
  <si>
    <t>1.1 Medición de Inmueble - Topografia</t>
  </si>
  <si>
    <t>1.2 Levantamiento Pozo Topográfico</t>
  </si>
  <si>
    <t>A.2 Plano Instalación Desagüe</t>
  </si>
  <si>
    <t>A.4 Red de Desagüe tuberias y buzones</t>
  </si>
  <si>
    <t>B.2 Solicitud y Memoria Descriptiva</t>
  </si>
  <si>
    <t>B.8 Declaracion(es) Jurada(s)</t>
  </si>
  <si>
    <t>B.9 Boleta de Habilidad</t>
  </si>
  <si>
    <t>B.13 Memoria de cálculo</t>
  </si>
  <si>
    <t>2.4 Servicio de Tramitación de expediente ante entidad</t>
  </si>
  <si>
    <t>Sedapal</t>
  </si>
  <si>
    <t>2.1 Planos Completos Firmados y Sellados por Profesional Colegiado y Habilitado Vigente</t>
  </si>
  <si>
    <t>Al termino de la medición topografica</t>
  </si>
  <si>
    <t>Al ingreso expediente a SEDAPAL</t>
  </si>
  <si>
    <t>COTIZACION / CONTRATO DE ELABORACION EXPEDIENTE FACTIBILIDAD PROYECTO DE INSTALACIÓN DE RED COMPLEMENTARIA DE ALCANTARILLADO</t>
  </si>
  <si>
    <t>COTIZACION / CONTRATO DE ELABORACION EXPEDIENTE DECLARATORIA DE FABRICA Y EXPEDIENTE DE REGULARIZACIÓN ANTE MINISTERIO DE CULTURA</t>
  </si>
  <si>
    <t>B.3 Solicitud y elaboración de expediente de regularización ante Ministerio de Cultura</t>
  </si>
  <si>
    <t>2.4 Servicicio de Tramitación de expediente ante entidad Sunarp hasta su aceptación y Aprobación</t>
  </si>
  <si>
    <t>2.5 Servicio de Tramitación de expediente ante entidad Ministerio Cultura y hasta su aceptación y Aprobación</t>
  </si>
  <si>
    <t>Previo al ingreso Expediente ante Ministerio de Cultura</t>
  </si>
  <si>
    <t>Entrega de Documentos para Firma Notarial</t>
  </si>
  <si>
    <t>2.1 Planos y/o Documentos Impresos 1 Original Sellados y Firmados Verificador y 2 copias para el ingreso a SUNARP y Expediente para Ministerio de Cultrua firmado por Ingeniero Colegiado Certificado Habilitado Vigente</t>
  </si>
  <si>
    <t>COTIZACIÓN / CONTRATO DE EVALUACIÓN ESTRUCTURAL</t>
  </si>
  <si>
    <t>Levantamiento Estructural de los Edificios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</si>
  <si>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ESTUDIO DESTRUCTIVO DE 45 PUNTOS</t>
    </r>
  </si>
  <si>
    <t>B.6 ESTUDIO CON DIAMANTINA DE 45 PUNTOS</t>
  </si>
  <si>
    <t>B.10 MODELADO ESCTRUCTURAL SISMICA (ETABS, SAP2000, LIBRE)</t>
  </si>
  <si>
    <t>B.6 ESTUDIO DESTRUCTIVO DE LOS PUNTOS</t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</si>
  <si>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</si>
  <si>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A.1 Inspección Ocular</t>
  </si>
  <si>
    <t>A.2 Verificación del Inmueble</t>
  </si>
  <si>
    <t>C.16 Informe técnico de conclusiones y recomendaciones</t>
  </si>
  <si>
    <t>C.20 Memoria de Calculo de ETABS</t>
  </si>
  <si>
    <t>2.1 Planos y Documentos Firmados y Sellados por Profesional Colegiado y Habilitado Vigente</t>
  </si>
  <si>
    <t>Al diagnostico de los Puntos a Evaluar</t>
  </si>
  <si>
    <t>Al termino de Evaluación de los 90 Puntos</t>
  </si>
  <si>
    <t>A la contra-entrega de Planos y Documentos Finalizados</t>
  </si>
  <si>
    <t>B.4 PLANOS ESTRUCTURALES</t>
  </si>
  <si>
    <t>COTIZACION / CONTRATO DE ELABORACION EXPEDIENTE DE DEMANDA JUDICIAL RECTIFICACIÓN DE PARTIDAS DE NACIMIENTO, SUCESIÓN INTESTADA Y DECLARATORIA E INDEPENDIZACIÓN</t>
  </si>
  <si>
    <t>Expediente para tramite judicial y declaratoria con independización</t>
  </si>
  <si>
    <t>B.11 Tramite de Partida defunción</t>
  </si>
  <si>
    <t>B.12 DJ legalizada de no existencia otros herederos</t>
  </si>
  <si>
    <t>B.15 Subsanación de observaciones SUNARP (si fuera el caso)</t>
  </si>
  <si>
    <t>B.16. Redacción escrito de la demanda rectificación partidas</t>
  </si>
  <si>
    <t>B.17 Presentación de la demanda ante el Juzgado</t>
  </si>
  <si>
    <t>B.18 Notificación y citación a audiencia</t>
  </si>
  <si>
    <t>B.19 Emisión de la sentencia</t>
  </si>
  <si>
    <t>B.20 Notificación al registro civil</t>
  </si>
  <si>
    <t>B.21 Actualización del Acta</t>
  </si>
  <si>
    <t>B.22 Tramite certificado negativo de testamentos</t>
  </si>
  <si>
    <t>B.23 Tramite partidas nacimiento de herederos</t>
  </si>
  <si>
    <t>B.23 Tramite Actas de Matrimonio</t>
  </si>
  <si>
    <t>B.24 Minuta de sucesión intestada</t>
  </si>
  <si>
    <t>B.25 Escritura Publica sucesión intestada</t>
  </si>
  <si>
    <t>B.26 Asesoria durante el proceso</t>
  </si>
  <si>
    <t>2.1 Planos y/o Documentos Impresos 1 Original Sellados y Firmados Verificador  y 2 copias para el ingreso a SUNARP</t>
  </si>
  <si>
    <t>2.2 Documentos Impresos 1 original ingreso demanda via judicial a la entidad correspondiente</t>
  </si>
  <si>
    <t>2.4 Servicio de Tramitación de expediente rectificación partidas nacimiento ante entidad Poder Judicial hasta su aceptación y Aprobación</t>
  </si>
  <si>
    <t>2.3 Investigación Antecedentes de Inmueble Sunarp</t>
  </si>
  <si>
    <t>2.4 Servicio de Tramitación de expediente ante Notaria y Sunarp hasta su aceptacion y Aprobacion</t>
  </si>
  <si>
    <t>2.4 Servicio de Tramitación de expediente declaratoria e independización ante Sunarp hasta su aceptacion y Aprobacion</t>
  </si>
  <si>
    <t>Previo al ingreso de demanda ante el Juzgado</t>
  </si>
  <si>
    <t>COTIZACION / CONTRATO DE TRAMITACIÓN DE ACTUALIZACIÓN DE TITULARIDAD DE AUTOVALUO - MUNICIPALIDAD</t>
  </si>
  <si>
    <t>Actualización de titularidad de Autovaluo - Municipal</t>
  </si>
  <si>
    <t>B.3 Tramite de solicitud de Copia Literal actualizado de la Sucesión Intestada - SUNARP</t>
  </si>
  <si>
    <t>B.6 Trámite de solicitud de Copia literal del Inmueble - Sunarp.</t>
  </si>
  <si>
    <t>B.3 Solicitud de recibo de agua o luz</t>
  </si>
  <si>
    <t>B.8 Trámite de Actualización de titularidad de Autovaluo de la sucesión intestada - Agripino</t>
  </si>
  <si>
    <t>B.15 Carta de Poder legalizado (por los herederos).</t>
  </si>
  <si>
    <t>2.1 Documentos Impresos 1 Original Sellados con las firmas respectivas de los herederos en la carta poder legalizado para el tramite en la Municipalidad</t>
  </si>
  <si>
    <t>B.21 Carta poder legalizado en notaria</t>
  </si>
  <si>
    <t>B.22 Tramite de pago de impuestos en la entidad que corresponde</t>
  </si>
  <si>
    <t>Expediente para declaratoria, independización y donación - SUNARP</t>
  </si>
  <si>
    <t>B.15 Escritura pública notarial para Donación de la unidad independizado</t>
  </si>
  <si>
    <t>B.16 Minuta para Donación de la unidad independizada</t>
  </si>
  <si>
    <t>B.17 Certificado DNI del propietario y del heredero</t>
  </si>
  <si>
    <t>B.18 Actualización de autovaluo de las UI a donar (HR - PU)</t>
  </si>
  <si>
    <t>B.21 Partida de nacimiento del heredero</t>
  </si>
  <si>
    <t>B.22 Constancia de no adeudo</t>
  </si>
  <si>
    <t>B.23 Tramite de pago autovaluos a la fecha</t>
  </si>
  <si>
    <t>B.24 Elevación expediente a Sunarp para su inscripción</t>
  </si>
  <si>
    <t>B.25 Solicitud copia literal de la matriz y de la unidad independizada a heredar</t>
  </si>
  <si>
    <t>B.26 Tramite de pago de impuestos ALCABALA - SAT</t>
  </si>
  <si>
    <t>B.14 Asesoria durante el proceso</t>
  </si>
  <si>
    <t>2.3 Servicio de investigación Antecedentes de Inmueble SUNARP</t>
  </si>
  <si>
    <t>2.4 Servicio de Tramitación de expediente ante Municipalidad, Notaria Sunarp hasta su aceptacion y Aprobacion</t>
  </si>
  <si>
    <t>Entrega de documentos para firma Notarial Dec. Ind.</t>
  </si>
  <si>
    <t>Emision de Liquidación (aprobación) Dec. Ind. - SUNARP</t>
  </si>
  <si>
    <t>Previo a la firma de la Minuta de Donación en Notaria</t>
  </si>
  <si>
    <t>COTIZACION / CONTRATO DE ELABORACION EXPEDIENTE
DECLARATORIA, INDEPENDIZACION Y DONACIÓN INMUEBLE</t>
  </si>
  <si>
    <t>A.2 Medicion de area de un inmueble del cliente</t>
  </si>
  <si>
    <t>B.11 DISEÑO 3D</t>
  </si>
  <si>
    <t>2.1 Diseño 3D de un juego en A3 se entregará al cliente solo en físico</t>
  </si>
  <si>
    <t>COTIZACIÓN / CONTRATO DE DESARROLLO DE DISEÑO 3D DE UN INMUEBLE</t>
  </si>
  <si>
    <t>Elaboración diseño 3D para una cocina de un inmueble</t>
  </si>
  <si>
    <t>COTIZACION / CONTRATO DE ELABORACION EXPEDIENTE PARA CERTIFICADO DE NUMERACIÓN DE UNA PUERTA DE UN INMUEBLE</t>
  </si>
  <si>
    <t>Expediente para Numeración de una puerta de un inmueble</t>
  </si>
  <si>
    <t>A.2 Arquitectura - Distribución</t>
  </si>
  <si>
    <t>2.1 Planos Completos Firmados y Sellados (1 original 2 copias) por Profesional colegiado y Habilitado Vigente para ingreso al Municipio</t>
  </si>
  <si>
    <t>2.4 Servicio de Tramitación de expediente para obtención de Certificado de Numeración ante entidad hasta su aceptación y Aprobación</t>
  </si>
  <si>
    <t>Previo al Ingreso del Expediente al Municipio</t>
  </si>
  <si>
    <t>COTIZACIÓN / CONTRATO ACTUALIZACIÓN DE PLANOS DE ARQUITECTURA</t>
  </si>
  <si>
    <t>Elaboración de planos de Arquitectura</t>
  </si>
  <si>
    <r>
      <t xml:space="preserve">A.2 </t>
    </r>
    <r>
      <rPr>
        <b/>
        <sz val="9"/>
        <rFont val="Arial Narrow"/>
        <family val="2"/>
      </rPr>
      <t>Arquitectura-Distribución:</t>
    </r>
    <r>
      <rPr>
        <sz val="9"/>
        <rFont val="Arial Narrow"/>
        <family val="2"/>
      </rPr>
      <t xml:space="preserve">
area de almacenes, oficinas servicios higienicos, depositos, area comunes, area de procesos, escaleras, patios</t>
    </r>
  </si>
  <si>
    <t>2.1 Planos Impresos 1 Original firmado por un profesional Colegiado Habilitado Vigente</t>
  </si>
  <si>
    <t xml:space="preserve">COTIZACION / CONTRATO DE ELABORACION EXPEDIENTE
 INFORME TECNICO DE DIAGNÓSTICO SITUACIONAL DE LOS INMUEBLES </t>
  </si>
  <si>
    <t>Expediente para Elaboración Expediente Informe Técnico</t>
  </si>
  <si>
    <t>B.7 Informe Técnico de Diagnóstico situacional de los 10</t>
  </si>
  <si>
    <t xml:space="preserve"> predios y sus planos de sobre posiciones según referenc.</t>
  </si>
  <si>
    <t xml:space="preserve">B.17  Predio Chacupe Bajo </t>
  </si>
  <si>
    <t>B.18 Predio Huaca Blanca Zona 5</t>
  </si>
  <si>
    <t>B.19 Predio Faicalito</t>
  </si>
  <si>
    <t>B.20 Predio La Garita</t>
  </si>
  <si>
    <t>B.21 Predio Las Delicias</t>
  </si>
  <si>
    <t>B.22 Predio San Nicolas</t>
  </si>
  <si>
    <t>B.23 Predio Tupac Amaru Rafan</t>
  </si>
  <si>
    <t>B.24 Predio Cayalti-F</t>
  </si>
  <si>
    <t>B.25 Predio La Ramada</t>
  </si>
  <si>
    <t>B.26 Predio San Jose</t>
  </si>
  <si>
    <t xml:space="preserve">2.1  Informes Técnicos de los 10 predios en PDF 1 Original  </t>
  </si>
  <si>
    <t>y los Planos en PDF y CAD 1 original</t>
  </si>
  <si>
    <t>Previo al envio de documentos y planos en digital al cliente</t>
  </si>
  <si>
    <t>COTIZACION / CONTRATO DE ELABORACION EXPEDIENTE
BUSQUEDA CATASTRAL Y OTROS TRÁMITES</t>
  </si>
  <si>
    <t>Expediente para busqueda catastral (SUNARP) y Otros Trámites</t>
  </si>
  <si>
    <t>A,11 Ubicación Coordenadas PSAD56</t>
  </si>
  <si>
    <t>A.12 Ubicación Coordenadas WGS84</t>
  </si>
  <si>
    <t>A.13 Plano Perimetrico Coordenadas PSAD56</t>
  </si>
  <si>
    <t>A.14 Plano Perimetrico Coordenadas WGS84</t>
  </si>
  <si>
    <t>B.3 Informe de Diagnostico Tecnico del inmueble Ica</t>
  </si>
  <si>
    <t>B.13 CT ICA (Ica)  A.T 1138.00 m2</t>
  </si>
  <si>
    <t>B.14 CT Ica</t>
  </si>
  <si>
    <t xml:space="preserve">B.4 Tramite Certificado de Parámetro Urbanístico </t>
  </si>
  <si>
    <t>B.15 CT Tarma</t>
  </si>
  <si>
    <t>B.5 Tramite solicitud de titulos archivados de la Fabrica en SUNARP</t>
  </si>
  <si>
    <t>B.16 CT Cajamarca</t>
  </si>
  <si>
    <t>B.17 CT Puno</t>
  </si>
  <si>
    <t>B.18 CT Juliaca</t>
  </si>
  <si>
    <t>B.19 CT Chincha</t>
  </si>
  <si>
    <t>B.20 CT Trujillo</t>
  </si>
  <si>
    <t>B.9 Memoria descriptiva</t>
  </si>
  <si>
    <t xml:space="preserve">2.1 Planos y/o Documentos e Informe Tecnico de Diagnostico Impresos 1 Original </t>
  </si>
  <si>
    <t>Diagnostico Sellado y Firmado por Profesional Colegiado</t>
  </si>
  <si>
    <t xml:space="preserve"> vigente </t>
  </si>
  <si>
    <t>Al envio digital de cargos del tramite ( Sunarp, Municipal)</t>
  </si>
  <si>
    <t>Envio Informe tecn.-Emision CBC (aprobacion) - SUNARP</t>
  </si>
  <si>
    <t>2.1 Documentos Impreso 1 Original Sellado y Firmado por el Abogado Colegiado Habilitado Certificado para el ingreso a Notaria y Sunarp</t>
  </si>
  <si>
    <t>Expediente para Donación de UI</t>
  </si>
  <si>
    <t>COTIZACION / CONTRATO DE ELABORACION EXPEDIENTE PARA TRAMITE DE
DONACIÓN DE UNA UNIDAD INMOBILIARIA DE UN INMUEBLE</t>
  </si>
  <si>
    <t>COTIZACION / CONTRATO DE ELABORACIÓN PLANOS Y EN FORMATO DWG DE 12 NODOS DEL GRUPO B DEL PREDIO</t>
  </si>
  <si>
    <t>Elaboracion de Planos de los 12 NODOS</t>
  </si>
  <si>
    <t xml:space="preserve">1.2 Guia de documentos tecnicos y sistema satelital </t>
  </si>
  <si>
    <t>A.11 Ubicación Coordenadas PSAD56</t>
  </si>
  <si>
    <t>A.2 Ubicación Coordenadas WGS84</t>
  </si>
  <si>
    <t>B.16. Predio Collique Bajo - 83.93 m2</t>
  </si>
  <si>
    <t>B.3 Grupo B ( 12 NODOS)</t>
  </si>
  <si>
    <t>B.17 Predio Culpon - 81.10 m2</t>
  </si>
  <si>
    <t>B.18 Predio Espinal - 85.69 m2</t>
  </si>
  <si>
    <t>B.4 Grupo C ( 14 NODOS)</t>
  </si>
  <si>
    <t>B.19 Predio Guayaquil - 60.52 m2</t>
  </si>
  <si>
    <t>B.5 Grupo D ( 16 NODOS)</t>
  </si>
  <si>
    <t>B.20 Predio Huaca Rajada - 81.65 m2</t>
  </si>
  <si>
    <t>B.21 Predio La Aviacion - 85.68 m2</t>
  </si>
  <si>
    <t>B.6 Grupo E ( 10 NODOS)</t>
  </si>
  <si>
    <t>B.22 Predio La compuerta - 67.70 m2</t>
  </si>
  <si>
    <t>B.23 Predio La Curva - 67.80 m2</t>
  </si>
  <si>
    <t>B.24 Predio La Estancia - 84.58 m2</t>
  </si>
  <si>
    <t>B.25 Predio La Otra Banda - 67.80 m2</t>
  </si>
  <si>
    <t>B.26 Predio La Viña Zona 7 - 73.13 m2</t>
  </si>
  <si>
    <t>B.27 Predio Macuaco  - 85.49 m2</t>
  </si>
  <si>
    <t>2.1 Planos en CAD y pdf  1 Original, firmado por el Profesional</t>
  </si>
  <si>
    <t xml:space="preserve">Profesional Habilitado Certificado Vigente y </t>
  </si>
  <si>
    <t>en formato DWG</t>
  </si>
  <si>
    <t>Al envio de planos en pdf y en formato DWG al cliente</t>
  </si>
  <si>
    <t>COTIZACIÓN/CONTRATO EXPEDIENTE PARA PRESCRIPCIÓN ADQUISITIVA DE DOMINIO VIA NOTARIAL</t>
  </si>
  <si>
    <t>Elaboración de documentos para prescripción adquisitva de dominio</t>
  </si>
  <si>
    <t>B.1 Escrito para demanda dirigida al juez</t>
  </si>
  <si>
    <t>B.4 Constancia de posesión (minimo 3 años)</t>
  </si>
  <si>
    <t>B.5 Declaración Jurada de vecinos que acrediten la posesión del inmueble</t>
  </si>
  <si>
    <t>2.1 Planos y/o Docuemtnos Impresos 1 Original con la firma del profesional certificado para el ingreso a NOTARIA</t>
  </si>
  <si>
    <t>2.4 Servicio de Tramitación de expediente ante Notaria y SUNARP hasta su aceptación y Aprobación</t>
  </si>
  <si>
    <t>B.2 Constancia de posesión (minimo 10 años)</t>
  </si>
  <si>
    <t>B.6 Planos y memoria firmados por Ing. Civil y visados por la municipalidad donde se encuntre el predio</t>
  </si>
  <si>
    <t>B.7 Fotografia de la propiedad materia de la prescripción</t>
  </si>
  <si>
    <t>B.4 Recibo de pago de servicios públicos (agua, luz, etc)</t>
  </si>
  <si>
    <t>B.8 Anexo Nº 1 SUNARP</t>
  </si>
  <si>
    <t>B.9 Copia literal actualizada de la partida registral del inmueble</t>
  </si>
  <si>
    <t>B.10 Subsanacion de observaciones SUNARP (si fuera el caso)</t>
  </si>
  <si>
    <t>B.11 Copia de DNI vigente de los interesados</t>
  </si>
  <si>
    <t>B.12 Copias literal actualizado de la matriz y unidades independizadas</t>
  </si>
  <si>
    <t>B.13 Autovaluo (minimo 10 años anteriores)</t>
  </si>
  <si>
    <t>B.14 Recibo de HR - PU de los ultimos 10 años</t>
  </si>
  <si>
    <t>B.16 Recibo de Arbitrios</t>
  </si>
  <si>
    <t>B.19 Copia de DNI vigente de minimo 3 y maximo 6 testigos mayores de 25 años que sean vecinos (obligatorio)</t>
  </si>
  <si>
    <t>Al Ingreso de documentos a notaria</t>
  </si>
  <si>
    <t xml:space="preserve">Planos y/o Documentos </t>
  </si>
  <si>
    <t>o Proceso en Notaria</t>
  </si>
  <si>
    <t>COTIZACION / CONTRATO DE ELABORACION EXPEDIENTE
DE PRESCRIPCIÓN ADQUISITIVA DE DOMINIO VIA JUDICIAL</t>
  </si>
  <si>
    <t>Expediente de Prescripción Adquisitva de dominio via judicial</t>
  </si>
  <si>
    <t>2.4 Servicio de Tramitación de expediente ante Juzgado Civil hasta que apruebe o rechace la prescripción. Si el cliente incumple con algunos requisitos solicitados</t>
  </si>
  <si>
    <t>2.1 Documentos Impresos 1 Original Sellados y Firmados por Abogado colegiado para el ingreso al Juzgado Civil</t>
  </si>
  <si>
    <t>B.1 Escrito para demanda dirigida a juez</t>
  </si>
  <si>
    <t>B.8 Recibo de pago de servicios básicos (agua, luz, etc)</t>
  </si>
  <si>
    <t>B.9 Constancia de inscripción en registros municipales (si fuera el caso)</t>
  </si>
  <si>
    <t>B.11 Certificado registral del inmueble</t>
  </si>
  <si>
    <t>DEL PRESENTE CONTRATO</t>
  </si>
  <si>
    <t>De no contar con el certificado de busqueda catastral, la empresa hará la tramitación pero será con un costo adicional que debe</t>
  </si>
  <si>
    <t>pagar el cliente.</t>
  </si>
  <si>
    <t>EL TRAMITE DEL PROCESO JUDICIAL TENDRA UNA DURACIÓN DE APROXIMADO DE 3 AÑOS DESDE LA APROBACIÓN</t>
  </si>
  <si>
    <t>no cumplir el contrato para continuidad del proceso.</t>
  </si>
  <si>
    <t>Emisión de sentencia de la prescrión adquisitiva</t>
  </si>
  <si>
    <t>B.15 Plano y memoria descriptiva visados por la municipalidad</t>
  </si>
  <si>
    <t>B.17 Certificado de busqueda catastral</t>
  </si>
  <si>
    <t>B.18 Fotografias</t>
  </si>
  <si>
    <t>B.24 Copia de DNI del demandante</t>
  </si>
  <si>
    <t>En el caso de que el cliente no cumpla con los requisitos solicitados, el interesado será quien se haga</t>
  </si>
  <si>
    <t xml:space="preserve">A partir del segundo pago se le brindará facilidades de pago de 500 soles mensuales, y el cliente se hará responsable de </t>
  </si>
  <si>
    <t>responsable de facilitar lo solicitado para continuidad de tramite, asi mismo los pagos de derecho estan incluidos en esta proforma.</t>
  </si>
  <si>
    <t>COTIZACIÓN / CONTRATO EXPEDIENTE DE VISACIÓN DE PLANOS PARA PRESCRIPCIÓN ADQUISITIVA DE DOMINIO DE UN INMUEBLE</t>
  </si>
  <si>
    <t>A,11 Ubicación Coordenadas WGS84</t>
  </si>
  <si>
    <t>2.1 Planos y/o Documentos Impresos 1 Original Sellados y Firmados por el Profesional Colegiado Certificado Habilitado para el ingreso a Municipio</t>
  </si>
  <si>
    <t>Previo a la Contraentrega de los planos impresos</t>
  </si>
  <si>
    <t>B.3 Reglamento interno y junta de Propietarios</t>
  </si>
  <si>
    <t>Al avance del 50% de Planos y Documentos</t>
  </si>
  <si>
    <t>2.4 Servicio de Tramitación de expediente ante la entidad correspondiente hasta la emisión de la licencia habilitación municipal</t>
  </si>
  <si>
    <t>2.1 Planos Completos Firmados y Sellados por Profesionales Colegiados y Habilitados Vigentes</t>
  </si>
  <si>
    <t>C.22 Asesoria durante el proceso</t>
  </si>
  <si>
    <t>C.21 Si es representante persona juridica vigencia de poder</t>
  </si>
  <si>
    <t>C.8 Anexo H del FUHU (Formulario único de habilitación urbana)</t>
  </si>
  <si>
    <t>C.19 Copia Literal emitido por Registro de Predios y/o escritura que acredite el derecho a habilitar</t>
  </si>
  <si>
    <t>C.7 Declaracion (es) Jurada (s) de los Profesionales</t>
  </si>
  <si>
    <t>C.6 Estudio de Impacto Vial Aprobado segun modalidad</t>
  </si>
  <si>
    <t>B.5 Informe Técnico de Revisores Urbanos (RRU)</t>
  </si>
  <si>
    <t>C.4 Estudio Mecánica de Suelos con fines de Pavimentación</t>
  </si>
  <si>
    <t>C.15 Certificado de Inexistencia de Restos Arqueológicos de ser el caso que el predio esta comprendido en biens muebles (SBN) y ambientes considerados como patrimonio cultural monumental y arqueológico</t>
  </si>
  <si>
    <t>C.3 Memoria(s) descriptiva(s)</t>
  </si>
  <si>
    <t>C.14 Estudio de Impacto Ambiental Aprobado</t>
  </si>
  <si>
    <t>C.2 Subsanación de observaciones Municipio (si hubiere)</t>
  </si>
  <si>
    <t>C.13 Copia del Planeamiento Integral Aprobado</t>
  </si>
  <si>
    <t>C.1 Certificado de Zonificación y Vias</t>
  </si>
  <si>
    <t>B.10 UBICACIÓN Y LOCALIZACIÓN con coordenadas UTM</t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</si>
  <si>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PLANO PERIMÉTRICO Y TOPOGRÁFICO</t>
    </r>
  </si>
  <si>
    <t>nivel cada metro.</t>
  </si>
  <si>
    <r>
      <rPr>
        <b/>
        <sz val="9"/>
        <rFont val="Arial Narrow"/>
        <family val="2"/>
      </rPr>
      <t>Y/O PLANO DE PAVIMENTOS:</t>
    </r>
    <r>
      <rPr>
        <sz val="9"/>
        <rFont val="Arial Narrow"/>
        <family val="2"/>
      </rPr>
      <t xml:space="preserve"> Con idicación de curvas de</t>
    </r>
  </si>
  <si>
    <t>vias, ejes de trazo y habilitaciónes colindantes</t>
  </si>
  <si>
    <r>
      <rPr>
        <b/>
        <sz val="9"/>
        <rFont val="Arial Narrow"/>
        <family val="2"/>
      </rPr>
      <t xml:space="preserve">B.7 PLANO DE TRAZADO Y LOTIZACIÓN: </t>
    </r>
    <r>
      <rPr>
        <sz val="9"/>
        <rFont val="Arial Narrow"/>
        <family val="2"/>
      </rPr>
      <t xml:space="preserve">Con indicación </t>
    </r>
  </si>
  <si>
    <t>pública de ser el caso.</t>
  </si>
  <si>
    <t>al Diseño, ornamentación y equipamiento de las areas de recreación</t>
  </si>
  <si>
    <t>A.1 Visita Tecnica en el Inmueble de los Profesionales</t>
  </si>
  <si>
    <t>CZ-HAB-URB-2025-0304-JOR</t>
  </si>
  <si>
    <t>documentos para , según normativa vigente.</t>
  </si>
  <si>
    <t xml:space="preserve">Se elaborará planos y </t>
  </si>
  <si>
    <t>Elaboración de expediente para Habilitación Urbana - Municipio</t>
  </si>
  <si>
    <t>COTIZACIÓN / CONTRATO EXPEDIENTE DE HABILITACIÓN URBANA - MUNICIPALIDAD</t>
  </si>
  <si>
    <t>Aprobación de la licencia Habilitación Urbana Muncipal</t>
  </si>
  <si>
    <r>
      <rPr>
        <b/>
        <sz val="9"/>
        <rFont val="Arial Narrow"/>
        <family val="2"/>
      </rPr>
      <t>B.6 PLANOS DE ORNAMENTACIÓN DE PARQUES</t>
    </r>
    <r>
      <rPr>
        <sz val="9"/>
        <rFont val="Arial Narrow"/>
        <family val="2"/>
      </rPr>
      <t>: Referentes</t>
    </r>
  </si>
  <si>
    <t>COTIZACIÓN / CONTRATO DE DESARROLLO DE PLANOS INGENIERIA - ESTRUCTURAS
Y ARQUITECTURAS</t>
  </si>
  <si>
    <t>Plano de Ingenieria - Estructuras y Arquitectura</t>
  </si>
  <si>
    <t>2.1 Planos Completos Firmados y Sellados 2 originales por Profesional Colegiado y Habilitado Vigente</t>
  </si>
  <si>
    <t>Ing. Sanitario José Francisco Javier Zela Steban CIP: 130333</t>
  </si>
  <si>
    <t>Ing. Eléctrico Daniel Adolfo Quispe Yupa CIP: 59744</t>
  </si>
  <si>
    <t>Ing. Santillan Quiroz Julio  Nº CIP:56827  CIV: 022023VCZRIX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</si>
</sst>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7" x14ac:knownFonts="1">
    <font>
      <sz val="11"/>
      <color theme="1"/>
      <name val="Calibri"/>
      <family val="2"/>
      <scheme val="minor"/>
    </font>
    <font>
      <sz val="8"/>
      <color theme="1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sz val="10"/>
      <name val="Arial Narrow"/>
      <family val="2"/>
    </font>
    <font>
      <b/>
      <sz val="10"/>
      <color theme="1"/>
      <name val="Arial Narrow"/>
      <family val="2"/>
    </font>
    <font>
      <b/>
      <u/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8" tint="-0.249977111117893"/>
      <name val="Arial Narrow"/>
      <family val="2"/>
    </font>
    <font>
      <u/>
      <sz val="11"/>
      <color theme="10"/>
      <name val="Calibri"/>
      <family val="2"/>
      <scheme val="minor"/>
    </font>
    <font>
      <b/>
      <sz val="9"/>
      <name val="Arial Narrow"/>
      <family val="2"/>
    </font>
    <font>
      <sz val="9"/>
      <color theme="2" tint="-9.9978637043366805E-2"/>
      <name val="Arial Narrow"/>
      <family val="2"/>
    </font>
    <font>
      <sz val="9"/>
      <color theme="2" tint="-9.9978637043366805E-2"/>
      <name val="Calibri"/>
      <family val="2"/>
      <scheme val="minor"/>
    </font>
    <font>
      <sz val="9"/>
      <color theme="2" tint="-0.249977111117893"/>
      <name val="Arial Narrow"/>
      <family val="2"/>
    </font>
    <font>
      <sz val="10"/>
      <color theme="4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u/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0" tint="-0.249977111117893"/>
      <name val="Arial Narrow"/>
      <family val="2"/>
    </font>
    <font>
      <u/>
      <sz val="10"/>
      <name val="Arial Narrow"/>
      <family val="2"/>
    </font>
    <font>
      <u/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44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3" fillId="0" borderId="0" xfId="0" applyFont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2" fillId="0" borderId="0" xfId="0" applyFont="1"/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textRotation="90"/>
    </xf>
    <xf numFmtId="0" fontId="6" fillId="0" borderId="0" xfId="0" applyFont="1" applyAlignment="1" applyProtection="1">
      <alignment vertical="center"/>
      <protection locked="0"/>
    </xf>
    <xf numFmtId="0" fontId="3" fillId="0" borderId="0" xfId="0" applyFont="1" applyAlignment="1">
      <alignment vertical="center"/>
    </xf>
    <xf numFmtId="0" fontId="9" fillId="2" borderId="6" xfId="0" applyFont="1" applyFill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1" fontId="8" fillId="3" borderId="2" xfId="0" applyNumberFormat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2" fillId="0" borderId="0" xfId="0" applyFo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center"/>
      <protection locked="0"/>
    </xf>
    <xf numFmtId="0" fontId="4" fillId="0" borderId="6" xfId="0" applyFont="1" applyBorder="1" applyAlignment="1">
      <alignment textRotation="90"/>
    </xf>
    <xf numFmtId="0" fontId="2" fillId="0" borderId="6" xfId="0" applyFont="1" applyBorder="1" applyAlignment="1">
      <alignment textRotation="90"/>
    </xf>
    <xf numFmtId="0" fontId="2" fillId="0" borderId="0" xfId="0" applyFont="1" applyAlignment="1">
      <alignment textRotation="90"/>
    </xf>
    <xf numFmtId="0" fontId="1" fillId="2" borderId="0" xfId="0" applyFont="1" applyFill="1" applyAlignment="1">
      <alignment vertical="center"/>
    </xf>
    <xf numFmtId="164" fontId="8" fillId="3" borderId="1" xfId="0" applyNumberFormat="1" applyFont="1" applyFill="1" applyBorder="1" applyAlignment="1">
      <alignment horizontal="left" vertical="center"/>
    </xf>
    <xf numFmtId="164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 applyProtection="1">
      <alignment horizontal="center" vertical="center"/>
      <protection locked="0"/>
    </xf>
    <xf numFmtId="2" fontId="4" fillId="3" borderId="2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2" fontId="4" fillId="3" borderId="1" xfId="0" applyNumberFormat="1" applyFont="1" applyFill="1" applyBorder="1" applyAlignment="1">
      <alignment horizontal="center" vertical="center"/>
    </xf>
    <xf numFmtId="2" fontId="4" fillId="3" borderId="0" xfId="0" applyNumberFormat="1" applyFont="1" applyFill="1" applyAlignment="1" applyProtection="1">
      <alignment horizontal="center" vertical="center"/>
      <protection locked="0"/>
    </xf>
    <xf numFmtId="15" fontId="0" fillId="0" borderId="0" xfId="0" applyNumberFormat="1"/>
    <xf numFmtId="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5" borderId="7" xfId="0" applyFont="1" applyFill="1" applyBorder="1" applyAlignment="1" applyProtection="1">
      <alignment vertical="center"/>
      <protection hidden="1"/>
    </xf>
    <xf numFmtId="0" fontId="19" fillId="5" borderId="0" xfId="0" applyFont="1" applyFill="1" applyAlignment="1" applyProtection="1">
      <alignment vertical="center"/>
      <protection hidden="1"/>
    </xf>
    <xf numFmtId="0" fontId="19" fillId="5" borderId="6" xfId="0" applyFont="1" applyFill="1" applyBorder="1" applyAlignment="1" applyProtection="1">
      <alignment vertical="center"/>
      <protection hidden="1"/>
    </xf>
    <xf numFmtId="0" fontId="25" fillId="3" borderId="1" xfId="0" applyFont="1" applyFill="1" applyBorder="1" applyAlignment="1" applyProtection="1">
      <alignment vertical="center"/>
      <protection locked="0"/>
    </xf>
    <xf numFmtId="0" fontId="5" fillId="3" borderId="7" xfId="0" applyFont="1" applyFill="1" applyBorder="1" applyAlignment="1" applyProtection="1">
      <alignment vertical="center"/>
      <protection hidden="1"/>
    </xf>
    <xf numFmtId="0" fontId="5" fillId="3" borderId="6" xfId="0" applyFont="1" applyFill="1" applyBorder="1" applyAlignment="1" applyProtection="1">
      <alignment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5" fillId="3" borderId="7" xfId="0" applyFont="1" applyFill="1" applyBorder="1"/>
    <xf numFmtId="0" fontId="5" fillId="3" borderId="0" xfId="0" applyFont="1" applyFill="1"/>
    <xf numFmtId="0" fontId="5" fillId="3" borderId="6" xfId="0" applyFont="1" applyFill="1" applyBorder="1"/>
    <xf numFmtId="0" fontId="17" fillId="0" borderId="7" xfId="0" applyFont="1" applyBorder="1" applyAlignment="1" applyProtection="1">
      <alignment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7" fillId="0" borderId="6" xfId="0" applyFont="1" applyBorder="1" applyAlignment="1" applyProtection="1">
      <alignment vertical="center"/>
      <protection hidden="1"/>
    </xf>
    <xf numFmtId="0" fontId="21" fillId="0" borderId="5" xfId="0" applyFont="1" applyBorder="1"/>
    <xf numFmtId="0" fontId="21" fillId="0" borderId="4" xfId="0" applyFont="1" applyBorder="1"/>
    <xf numFmtId="0" fontId="21" fillId="0" borderId="3" xfId="0" applyFont="1" applyBorder="1"/>
    <xf numFmtId="0" fontId="5" fillId="3" borderId="10" xfId="0" applyFont="1" applyFill="1" applyBorder="1" applyAlignment="1" applyProtection="1">
      <alignment vertical="center"/>
      <protection hidden="1"/>
    </xf>
    <xf numFmtId="0" fontId="5" fillId="3" borderId="9" xfId="0" applyFont="1" applyFill="1" applyBorder="1" applyAlignment="1" applyProtection="1">
      <alignment vertical="center"/>
      <protection hidden="1"/>
    </xf>
    <xf numFmtId="0" fontId="5" fillId="3" borderId="8" xfId="0" applyFont="1" applyFill="1" applyBorder="1" applyAlignment="1" applyProtection="1">
      <alignment vertical="center"/>
      <protection hidden="1"/>
    </xf>
    <xf numFmtId="0" fontId="17" fillId="0" borderId="7" xfId="0" applyFont="1" applyBorder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0" fontId="17" fillId="0" borderId="6" xfId="0" applyFont="1" applyBorder="1" applyAlignment="1" applyProtection="1">
      <alignment horizontal="left" vertical="center"/>
      <protection hidden="1"/>
    </xf>
    <xf numFmtId="0" fontId="17" fillId="0" borderId="10" xfId="0" applyFont="1" applyBorder="1" applyAlignment="1" applyProtection="1">
      <alignment vertical="center"/>
      <protection hidden="1"/>
    </xf>
    <xf numFmtId="0" fontId="17" fillId="0" borderId="9" xfId="0" applyFont="1" applyBorder="1" applyAlignment="1" applyProtection="1">
      <alignment vertical="center"/>
      <protection hidden="1"/>
    </xf>
    <xf numFmtId="0" fontId="17" fillId="0" borderId="8" xfId="0" applyFont="1" applyBorder="1" applyAlignment="1" applyProtection="1">
      <alignment vertical="center"/>
      <protection hidden="1"/>
    </xf>
    <xf numFmtId="0" fontId="17" fillId="2" borderId="7" xfId="0" applyFont="1" applyFill="1" applyBorder="1" applyAlignment="1" applyProtection="1">
      <alignment horizontal="left" vertical="center"/>
      <protection hidden="1"/>
    </xf>
    <xf numFmtId="0" fontId="17" fillId="2" borderId="0" xfId="0" applyFont="1" applyFill="1" applyAlignment="1" applyProtection="1">
      <alignment horizontal="left" vertical="center"/>
      <protection hidden="1"/>
    </xf>
    <xf numFmtId="0" fontId="17" fillId="2" borderId="6" xfId="0" applyFont="1" applyFill="1" applyBorder="1" applyAlignment="1" applyProtection="1">
      <alignment horizontal="left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6" fillId="0" borderId="0" xfId="0" applyFont="1"/>
    <xf numFmtId="0" fontId="3" fillId="0" borderId="5" xfId="0" applyFont="1" applyBorder="1"/>
    <xf numFmtId="0" fontId="3" fillId="0" borderId="4" xfId="0" applyFont="1" applyBorder="1"/>
    <xf numFmtId="0" fontId="3" fillId="0" borderId="3" xfId="0" applyFont="1" applyBorder="1"/>
    <xf numFmtId="0" fontId="17" fillId="2" borderId="7" xfId="0" applyFont="1" applyFill="1" applyBorder="1" applyAlignment="1" applyProtection="1">
      <alignment vertical="center"/>
      <protection hidden="1"/>
    </xf>
    <xf numFmtId="0" fontId="17" fillId="2" borderId="4" xfId="0" applyFont="1" applyFill="1" applyBorder="1" applyAlignment="1" applyProtection="1">
      <alignment vertical="center"/>
      <protection hidden="1"/>
    </xf>
    <xf numFmtId="0" fontId="17" fillId="2" borderId="3" xfId="0" applyFont="1" applyFill="1" applyBorder="1" applyAlignment="1" applyProtection="1">
      <alignment vertical="center"/>
      <protection hidden="1"/>
    </xf>
    <xf numFmtId="0" fontId="17" fillId="2" borderId="7" xfId="0" applyFont="1" applyFill="1" applyBorder="1" applyAlignment="1" applyProtection="1">
      <alignment vertical="center" wrapText="1"/>
      <protection hidden="1"/>
    </xf>
    <xf numFmtId="0" fontId="17" fillId="2" borderId="0" xfId="0" applyFont="1" applyFill="1" applyAlignment="1" applyProtection="1">
      <alignment vertical="center" wrapText="1"/>
      <protection hidden="1"/>
    </xf>
    <xf numFmtId="0" fontId="17" fillId="2" borderId="6" xfId="0" applyFont="1" applyFill="1" applyBorder="1" applyAlignment="1" applyProtection="1">
      <alignment vertical="center" wrapText="1"/>
      <protection hidden="1"/>
    </xf>
    <xf numFmtId="0" fontId="2" fillId="3" borderId="7" xfId="0" applyFont="1" applyFill="1" applyBorder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17" fillId="2" borderId="7" xfId="0" applyFont="1" applyFill="1" applyBorder="1" applyAlignment="1" applyProtection="1">
      <alignment horizontal="left" vertical="center" wrapText="1"/>
      <protection hidden="1"/>
    </xf>
    <xf numFmtId="0" fontId="17" fillId="2" borderId="0" xfId="0" applyFont="1" applyFill="1" applyAlignment="1" applyProtection="1">
      <alignment horizontal="left" vertical="center" wrapText="1"/>
      <protection hidden="1"/>
    </xf>
    <xf numFmtId="0" fontId="17" fillId="2" borderId="6" xfId="0" applyFont="1" applyFill="1" applyBorder="1" applyAlignment="1" applyProtection="1">
      <alignment horizontal="left" vertical="center" wrapText="1"/>
      <protection hidden="1"/>
    </xf>
    <xf numFmtId="0" fontId="17" fillId="2" borderId="7" xfId="0" applyFont="1" applyFill="1" applyBorder="1"/>
    <xf numFmtId="0" fontId="17" fillId="2" borderId="0" xfId="0" applyFont="1" applyFill="1"/>
    <xf numFmtId="0" fontId="17" fillId="2" borderId="6" xfId="0" applyFont="1" applyFill="1" applyBorder="1"/>
    <xf numFmtId="0" fontId="17" fillId="2" borderId="7" xfId="0" applyFont="1" applyFill="1" applyBorder="1" applyAlignment="1" applyProtection="1">
      <alignment vertical="center"/>
      <protection hidden="1"/>
    </xf>
    <xf numFmtId="0" fontId="17" fillId="2" borderId="0" xfId="0" applyFont="1" applyFill="1" applyAlignment="1" applyProtection="1">
      <alignment vertical="center"/>
      <protection hidden="1"/>
    </xf>
    <xf numFmtId="0" fontId="17" fillId="2" borderId="6" xfId="0" applyFont="1" applyFill="1" applyBorder="1" applyAlignment="1" applyProtection="1">
      <alignment vertical="center"/>
      <protection hidden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20" fillId="0" borderId="9" xfId="0" applyFont="1" applyBorder="1" applyAlignment="1" applyProtection="1">
      <alignment horizontal="center" vertical="center"/>
      <protection hidden="1"/>
    </xf>
    <xf numFmtId="0" fontId="5" fillId="3" borderId="1" xfId="0" applyFont="1" applyFill="1" applyBorder="1" applyAlignment="1" applyProtection="1">
      <alignment vertical="center"/>
      <protection hidden="1"/>
    </xf>
    <xf numFmtId="0" fontId="5" fillId="3" borderId="2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4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5" fillId="2" borderId="0" xfId="0" applyFont="1" applyFill="1" applyAlignment="1">
      <alignment vertical="center"/>
    </xf>
    <xf numFmtId="0" fontId="4" fillId="0" borderId="0" xfId="0" applyFont="1" applyAlignment="1">
      <alignment horizontal="left" vertical="center"/>
    </xf>
    <xf numFmtId="0" fontId="19" fillId="5" borderId="7" xfId="0" applyFont="1" applyFill="1" applyBorder="1" applyAlignment="1" applyProtection="1">
      <alignment horizontal="left" vertical="center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15" fillId="2" borderId="6" xfId="0" applyFont="1" applyFill="1" applyBorder="1" applyAlignment="1" applyProtection="1">
      <alignment horizontal="left" vertical="center"/>
      <protection hidden="1"/>
    </xf>
    <xf numFmtId="0" fontId="19" fillId="5" borderId="7" xfId="0" applyFont="1" applyFill="1" applyBorder="1" applyAlignment="1" applyProtection="1">
      <alignment vertical="center"/>
      <protection hidden="1"/>
    </xf>
    <xf numFmtId="0" fontId="15" fillId="2" borderId="0" xfId="0" applyFont="1" applyFill="1" applyAlignment="1" applyProtection="1">
      <alignment vertical="center"/>
      <protection hidden="1"/>
    </xf>
    <xf numFmtId="0" fontId="15" fillId="2" borderId="6" xfId="0" applyFont="1" applyFill="1" applyBorder="1" applyAlignment="1" applyProtection="1">
      <alignment vertical="center"/>
      <protection hidden="1"/>
    </xf>
    <xf numFmtId="0" fontId="17" fillId="2" borderId="5" xfId="0" applyFont="1" applyFill="1" applyBorder="1" applyAlignment="1" applyProtection="1">
      <alignment horizontal="left" vertical="center"/>
      <protection hidden="1"/>
    </xf>
    <xf numFmtId="0" fontId="17" fillId="2" borderId="4" xfId="0" applyFont="1" applyFill="1" applyBorder="1" applyAlignment="1" applyProtection="1">
      <alignment horizontal="left" vertical="center"/>
      <protection hidden="1"/>
    </xf>
    <xf numFmtId="0" fontId="17" fillId="2" borderId="3" xfId="0" applyFont="1" applyFill="1" applyBorder="1" applyAlignment="1" applyProtection="1">
      <alignment horizontal="left" vertical="center"/>
      <protection hidden="1"/>
    </xf>
    <xf numFmtId="0" fontId="19" fillId="5" borderId="5" xfId="0" applyFont="1" applyFill="1" applyBorder="1" applyAlignment="1" applyProtection="1">
      <alignment vertical="center"/>
      <protection hidden="1"/>
    </xf>
    <xf numFmtId="0" fontId="15" fillId="2" borderId="4" xfId="0" applyFont="1" applyFill="1" applyBorder="1" applyAlignment="1" applyProtection="1">
      <alignment vertical="center"/>
      <protection hidden="1"/>
    </xf>
    <xf numFmtId="0" fontId="15" fillId="2" borderId="3" xfId="0" applyFont="1" applyFill="1" applyBorder="1" applyAlignment="1" applyProtection="1">
      <alignment vertical="center"/>
      <protection hidden="1"/>
    </xf>
    <xf numFmtId="0" fontId="19" fillId="5" borderId="10" xfId="0" applyFont="1" applyFill="1" applyBorder="1" applyAlignment="1" applyProtection="1">
      <alignment horizontal="left" vertical="center" wrapText="1"/>
      <protection hidden="1"/>
    </xf>
    <xf numFmtId="0" fontId="15" fillId="2" borderId="9" xfId="0" applyFont="1" applyFill="1" applyBorder="1" applyAlignment="1" applyProtection="1">
      <alignment horizontal="left" vertical="center" wrapText="1"/>
      <protection hidden="1"/>
    </xf>
    <xf numFmtId="0" fontId="15" fillId="2" borderId="8" xfId="0" applyFont="1" applyFill="1" applyBorder="1" applyAlignment="1" applyProtection="1">
      <alignment horizontal="left" vertical="center" wrapText="1"/>
      <protection hidden="1"/>
    </xf>
    <xf numFmtId="0" fontId="5" fillId="3" borderId="7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5" fillId="3" borderId="6" xfId="0" applyFont="1" applyFill="1" applyBorder="1" applyAlignment="1" applyProtection="1">
      <alignment horizontal="left" vertical="center"/>
      <protection hidden="1"/>
    </xf>
    <xf numFmtId="0" fontId="17" fillId="0" borderId="7" xfId="0" applyFont="1" applyBorder="1"/>
    <xf numFmtId="0" fontId="17" fillId="0" borderId="0" xfId="0" applyFont="1"/>
    <xf numFmtId="0" fontId="17" fillId="0" borderId="6" xfId="0" applyFont="1" applyBorder="1"/>
    <xf numFmtId="0" fontId="5" fillId="3" borderId="7" xfId="0" applyFont="1" applyFill="1" applyBorder="1" applyAlignment="1" applyProtection="1">
      <alignment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5" fillId="3" borderId="6" xfId="0" applyFont="1" applyFill="1" applyBorder="1" applyAlignment="1" applyProtection="1">
      <alignment vertical="center"/>
      <protection hidden="1"/>
    </xf>
    <xf numFmtId="0" fontId="17" fillId="2" borderId="7" xfId="0" applyFont="1" applyFill="1" applyBorder="1" applyAlignment="1" applyProtection="1">
      <alignment horizontal="left" vertical="top" wrapText="1"/>
      <protection hidden="1"/>
    </xf>
    <xf numFmtId="0" fontId="17" fillId="2" borderId="0" xfId="0" applyFont="1" applyFill="1" applyAlignment="1" applyProtection="1">
      <alignment horizontal="left" vertical="top" wrapText="1"/>
      <protection hidden="1"/>
    </xf>
    <xf numFmtId="0" fontId="17" fillId="2" borderId="6" xfId="0" applyFont="1" applyFill="1" applyBorder="1" applyAlignment="1" applyProtection="1">
      <alignment horizontal="left" vertical="top" wrapText="1"/>
      <protection hidden="1"/>
    </xf>
    <xf numFmtId="0" fontId="17" fillId="2" borderId="7" xfId="0" applyFont="1" applyFill="1" applyBorder="1" applyAlignment="1" applyProtection="1">
      <alignment vertical="top"/>
      <protection hidden="1"/>
    </xf>
    <xf numFmtId="0" fontId="17" fillId="2" borderId="0" xfId="0" applyFont="1" applyFill="1" applyAlignment="1" applyProtection="1">
      <alignment vertical="top"/>
      <protection hidden="1"/>
    </xf>
    <xf numFmtId="0" fontId="17" fillId="2" borderId="6" xfId="0" applyFont="1" applyFill="1" applyBorder="1" applyAlignment="1" applyProtection="1">
      <alignment vertical="top"/>
      <protection hidden="1"/>
    </xf>
    <xf numFmtId="0" fontId="17" fillId="0" borderId="7" xfId="0" applyFont="1" applyBorder="1" applyAlignment="1" applyProtection="1">
      <alignment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7" fillId="0" borderId="6" xfId="0" applyFont="1" applyBorder="1" applyAlignment="1" applyProtection="1">
      <alignment vertical="center"/>
      <protection hidden="1"/>
    </xf>
    <xf numFmtId="0" fontId="21" fillId="2" borderId="5" xfId="0" applyFont="1" applyFill="1" applyBorder="1"/>
    <xf numFmtId="0" fontId="21" fillId="2" borderId="4" xfId="0" applyFont="1" applyFill="1" applyBorder="1"/>
    <xf numFmtId="0" fontId="21" fillId="2" borderId="3" xfId="0" applyFont="1" applyFill="1" applyBorder="1"/>
    <xf numFmtId="0" fontId="14" fillId="0" borderId="13" xfId="0" applyFont="1" applyBorder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7" fillId="0" borderId="7" xfId="0" applyFont="1" applyBorder="1" applyAlignment="1" applyProtection="1">
      <alignment horizontal="left" vertical="center" wrapText="1"/>
      <protection hidden="1"/>
    </xf>
    <xf numFmtId="0" fontId="17" fillId="0" borderId="0" xfId="0" applyFont="1" applyAlignment="1" applyProtection="1">
      <alignment horizontal="left" vertical="center" wrapText="1"/>
      <protection hidden="1"/>
    </xf>
    <xf numFmtId="0" fontId="17" fillId="0" borderId="6" xfId="0" applyFont="1" applyBorder="1" applyAlignment="1" applyProtection="1">
      <alignment horizontal="left" vertical="center" wrapText="1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7" fillId="0" borderId="4" xfId="0" applyFont="1" applyBorder="1" applyAlignment="1" applyProtection="1">
      <alignment horizontal="left"/>
      <protection hidden="1"/>
    </xf>
    <xf numFmtId="0" fontId="17" fillId="0" borderId="3" xfId="0" applyFont="1" applyBorder="1" applyAlignment="1" applyProtection="1">
      <alignment horizontal="left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17" fillId="0" borderId="7" xfId="0" applyFont="1" applyBorder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0" fontId="17" fillId="0" borderId="6" xfId="0" applyFont="1" applyBorder="1" applyAlignment="1" applyProtection="1">
      <alignment horizontal="left" vertical="center"/>
      <protection hidden="1"/>
    </xf>
    <xf numFmtId="0" fontId="5" fillId="0" borderId="12" xfId="0" applyFont="1" applyBorder="1" applyAlignment="1" applyProtection="1">
      <alignment horizontal="left" vertical="center"/>
      <protection hidden="1"/>
    </xf>
    <xf numFmtId="0" fontId="5" fillId="0" borderId="11" xfId="0" applyFont="1" applyBorder="1" applyAlignment="1" applyProtection="1">
      <alignment horizontal="left" vertical="center"/>
      <protection hidden="1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4" fillId="0" borderId="13" xfId="0" applyFont="1" applyBorder="1" applyAlignment="1" applyProtection="1">
      <alignment horizontal="left" vertical="center"/>
      <protection locked="0"/>
    </xf>
    <xf numFmtId="0" fontId="4" fillId="0" borderId="12" xfId="0" applyFont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left" vertical="center"/>
      <protection locked="0"/>
    </xf>
    <xf numFmtId="0" fontId="6" fillId="0" borderId="14" xfId="0" applyFont="1" applyBorder="1" applyAlignment="1" applyProtection="1">
      <alignment vertical="center"/>
      <protection locked="0"/>
    </xf>
    <xf numFmtId="0" fontId="5" fillId="3" borderId="7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6" xfId="0" applyFont="1" applyFill="1" applyBorder="1" applyAlignment="1">
      <alignment vertical="center"/>
    </xf>
    <xf numFmtId="0" fontId="17" fillId="0" borderId="9" xfId="0" applyFont="1" applyBorder="1" applyAlignment="1" applyProtection="1">
      <alignment horizontal="left" vertical="center"/>
      <protection hidden="1"/>
    </xf>
    <xf numFmtId="0" fontId="17" fillId="0" borderId="8" xfId="0" applyFont="1" applyBorder="1" applyAlignment="1" applyProtection="1">
      <alignment horizontal="left" vertical="center"/>
      <protection hidden="1"/>
    </xf>
    <xf numFmtId="0" fontId="11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quotePrefix="1" applyFont="1" applyAlignment="1">
      <alignment horizontal="left"/>
    </xf>
    <xf numFmtId="0" fontId="6" fillId="0" borderId="0" xfId="1" applyFont="1" applyAlignment="1"/>
    <xf numFmtId="0" fontId="0" fillId="4" borderId="0" xfId="0" applyFill="1"/>
    <xf numFmtId="0" fontId="17" fillId="0" borderId="5" xfId="0" applyFont="1" applyBorder="1" applyAlignment="1" applyProtection="1">
      <alignment vertical="center"/>
      <protection hidden="1"/>
    </xf>
    <xf numFmtId="0" fontId="17" fillId="0" borderId="4" xfId="0" applyFont="1" applyBorder="1" applyAlignment="1" applyProtection="1">
      <alignment vertical="center"/>
      <protection hidden="1"/>
    </xf>
    <xf numFmtId="0" fontId="17" fillId="0" borderId="3" xfId="0" applyFont="1" applyBorder="1" applyAlignment="1" applyProtection="1">
      <alignment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5" fillId="3" borderId="5" xfId="0" applyFont="1" applyFill="1" applyBorder="1" applyAlignment="1" applyProtection="1">
      <alignment vertical="center"/>
      <protection hidden="1"/>
    </xf>
    <xf numFmtId="0" fontId="5" fillId="3" borderId="4" xfId="0" applyFont="1" applyFill="1" applyBorder="1" applyAlignment="1" applyProtection="1">
      <alignment vertical="center"/>
      <protection hidden="1"/>
    </xf>
    <xf numFmtId="0" fontId="5" fillId="3" borderId="3" xfId="0" applyFont="1" applyFill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horizontal="left" vertical="center"/>
      <protection hidden="1"/>
    </xf>
    <xf numFmtId="0" fontId="14" fillId="0" borderId="8" xfId="0" applyFont="1" applyBorder="1" applyAlignment="1" applyProtection="1">
      <alignment horizontal="left" vertical="center"/>
      <protection hidden="1"/>
    </xf>
    <xf numFmtId="0" fontId="5" fillId="3" borderId="10" xfId="0" applyFont="1" applyFill="1" applyBorder="1" applyAlignment="1" applyProtection="1">
      <alignment vertical="center"/>
      <protection hidden="1"/>
    </xf>
    <xf numFmtId="0" fontId="5" fillId="3" borderId="9" xfId="0" applyFont="1" applyFill="1" applyBorder="1" applyAlignment="1" applyProtection="1">
      <alignment vertical="center"/>
      <protection hidden="1"/>
    </xf>
    <xf numFmtId="0" fontId="5" fillId="3" borderId="8" xfId="0" applyFont="1" applyFill="1" applyBorder="1" applyAlignment="1" applyProtection="1">
      <alignment vertical="center"/>
      <protection hidden="1"/>
    </xf>
    <xf numFmtId="0" fontId="5" fillId="3" borderId="7" xfId="0" applyFont="1" applyFill="1" applyBorder="1" applyAlignment="1" applyProtection="1">
      <alignment horizontal="left" vertical="center" wrapText="1"/>
      <protection hidden="1"/>
    </xf>
    <xf numFmtId="0" fontId="5" fillId="3" borderId="0" xfId="0" applyFont="1" applyFill="1" applyAlignment="1" applyProtection="1">
      <alignment horizontal="left" vertical="center" wrapText="1"/>
      <protection hidden="1"/>
    </xf>
    <xf numFmtId="0" fontId="5" fillId="3" borderId="6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vertical="center"/>
      <protection hidden="1"/>
    </xf>
    <xf numFmtId="0" fontId="17" fillId="0" borderId="9" xfId="0" applyFont="1" applyBorder="1" applyAlignment="1" applyProtection="1">
      <alignment vertical="center"/>
      <protection hidden="1"/>
    </xf>
    <xf numFmtId="0" fontId="17" fillId="0" borderId="8" xfId="0" applyFont="1" applyBorder="1" applyAlignment="1" applyProtection="1">
      <alignment vertical="center"/>
      <protection hidden="1"/>
    </xf>
    <xf numFmtId="0" fontId="21" fillId="0" borderId="5" xfId="0" applyFont="1" applyBorder="1"/>
    <xf numFmtId="0" fontId="21" fillId="0" borderId="4" xfId="0" applyFont="1" applyBorder="1"/>
    <xf numFmtId="0" fontId="21" fillId="0" borderId="3" xfId="0" applyFont="1" applyBorder="1"/>
    <xf numFmtId="0" fontId="19" fillId="5" borderId="9" xfId="0" applyFont="1" applyFill="1" applyBorder="1" applyAlignment="1" applyProtection="1">
      <alignment horizontal="left" vertical="center" wrapText="1"/>
      <protection hidden="1"/>
    </xf>
    <xf numFmtId="0" fontId="19" fillId="5" borderId="8" xfId="0" applyFont="1" applyFill="1" applyBorder="1" applyAlignment="1" applyProtection="1">
      <alignment horizontal="left" vertical="center" wrapText="1"/>
      <protection hidden="1"/>
    </xf>
    <xf numFmtId="0" fontId="19" fillId="5" borderId="7" xfId="0" applyFont="1" applyFill="1" applyBorder="1" applyAlignment="1" applyProtection="1">
      <alignment horizontal="left" vertical="center" wrapText="1"/>
      <protection hidden="1"/>
    </xf>
    <xf numFmtId="0" fontId="19" fillId="5" borderId="0" xfId="0" applyFont="1" applyFill="1" applyAlignment="1" applyProtection="1">
      <alignment horizontal="left" vertical="center" wrapText="1"/>
      <protection hidden="1"/>
    </xf>
    <xf numFmtId="0" fontId="19" fillId="5" borderId="6" xfId="0" applyFont="1" applyFill="1" applyBorder="1" applyAlignment="1" applyProtection="1">
      <alignment horizontal="left" vertical="center" wrapText="1"/>
      <protection hidden="1"/>
    </xf>
    <xf numFmtId="0" fontId="21" fillId="0" borderId="5" xfId="0" applyFont="1" applyBorder="1" applyAlignment="1" applyProtection="1">
      <alignment horizontal="center"/>
      <protection hidden="1"/>
    </xf>
    <xf numFmtId="0" fontId="21" fillId="0" borderId="4" xfId="0" applyFont="1" applyBorder="1" applyAlignment="1" applyProtection="1">
      <alignment horizontal="center"/>
      <protection hidden="1"/>
    </xf>
    <xf numFmtId="0" fontId="21" fillId="0" borderId="3" xfId="0" applyFont="1" applyBorder="1" applyAlignment="1" applyProtection="1">
      <alignment horizontal="center"/>
      <protection hidden="1"/>
    </xf>
    <xf numFmtId="0" fontId="16" fillId="0" borderId="5" xfId="0" applyFont="1" applyBorder="1"/>
    <xf numFmtId="0" fontId="16" fillId="0" borderId="4" xfId="0" applyFont="1" applyBorder="1"/>
    <xf numFmtId="0" fontId="16" fillId="0" borderId="3" xfId="0" applyFont="1" applyBorder="1"/>
    <xf numFmtId="0" fontId="5" fillId="3" borderId="5" xfId="0" applyFont="1" applyFill="1" applyBorder="1" applyAlignment="1" applyProtection="1">
      <alignment horizontal="left" vertical="center"/>
      <protection hidden="1"/>
    </xf>
    <xf numFmtId="0" fontId="5" fillId="3" borderId="4" xfId="0" applyFont="1" applyFill="1" applyBorder="1" applyAlignment="1" applyProtection="1">
      <alignment horizontal="left" vertical="center"/>
      <protection hidden="1"/>
    </xf>
    <xf numFmtId="0" fontId="5" fillId="3" borderId="3" xfId="0" applyFont="1" applyFill="1" applyBorder="1" applyAlignment="1" applyProtection="1">
      <alignment horizontal="left" vertical="center"/>
      <protection hidden="1"/>
    </xf>
    <xf numFmtId="0" fontId="19" fillId="5" borderId="4" xfId="0" applyFont="1" applyFill="1" applyBorder="1" applyAlignment="1" applyProtection="1">
      <alignment vertical="center"/>
      <protection hidden="1"/>
    </xf>
    <xf numFmtId="0" fontId="19" fillId="5" borderId="3" xfId="0" applyFont="1" applyFill="1" applyBorder="1" applyAlignment="1" applyProtection="1">
      <alignment vertical="center"/>
      <protection hidden="1"/>
    </xf>
    <xf numFmtId="0" fontId="2" fillId="3" borderId="10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8" fillId="0" borderId="15" xfId="0" applyFont="1" applyBorder="1" applyAlignment="1" applyProtection="1">
      <alignment horizontal="left" vertical="center" wrapText="1"/>
      <protection locked="0"/>
    </xf>
    <xf numFmtId="0" fontId="18" fillId="0" borderId="0" xfId="0" applyFont="1" applyAlignment="1" applyProtection="1">
      <alignment horizontal="left" vertical="center" wrapText="1"/>
      <protection locked="0"/>
    </xf>
    <xf numFmtId="0" fontId="5" fillId="3" borderId="1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2" fillId="3" borderId="5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0" borderId="13" xfId="0" applyFont="1" applyBorder="1" applyAlignment="1" applyProtection="1">
      <alignment horizontal="left" vertical="center"/>
      <protection hidden="1"/>
    </xf>
    <xf numFmtId="0" fontId="4" fillId="0" borderId="12" xfId="0" applyFont="1" applyBorder="1" applyAlignment="1" applyProtection="1">
      <alignment horizontal="left" vertical="center"/>
      <protection hidden="1"/>
    </xf>
    <xf numFmtId="0" fontId="17" fillId="0" borderId="7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6" xfId="0" applyFont="1" applyBorder="1" applyAlignment="1">
      <alignment vertical="center"/>
    </xf>
    <xf numFmtId="0" fontId="5" fillId="3" borderId="7" xfId="0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7" fillId="2" borderId="7" xfId="0" applyFont="1" applyFill="1" applyBorder="1" applyAlignment="1" applyProtection="1">
      <alignment horizontal="left" vertical="center"/>
      <protection hidden="1"/>
    </xf>
    <xf numFmtId="0" fontId="17" fillId="2" borderId="0" xfId="0" applyFont="1" applyFill="1" applyAlignment="1" applyProtection="1">
      <alignment horizontal="left" vertical="center"/>
      <protection hidden="1"/>
    </xf>
    <xf numFmtId="0" fontId="17" fillId="2" borderId="6" xfId="0" applyFont="1" applyFill="1" applyBorder="1" applyAlignment="1" applyProtection="1">
      <alignment horizontal="left" vertical="center"/>
      <protection hidden="1"/>
    </xf>
    <xf numFmtId="0" fontId="23" fillId="0" borderId="7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6" xfId="0" applyFont="1" applyBorder="1" applyAlignment="1">
      <alignment horizontal="left" vertical="center"/>
    </xf>
    <xf numFmtId="0" fontId="5" fillId="3" borderId="5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23" fillId="0" borderId="5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0" borderId="3" xfId="0" applyFont="1" applyBorder="1" applyAlignment="1" applyProtection="1">
      <alignment horizontal="left" vertical="center"/>
      <protection hidden="1"/>
    </xf>
    <xf numFmtId="0" fontId="5" fillId="3" borderId="10" xfId="0" applyFont="1" applyFill="1" applyBorder="1" applyAlignment="1" applyProtection="1">
      <alignment horizontal="left" vertical="center"/>
      <protection hidden="1"/>
    </xf>
    <xf numFmtId="0" fontId="5" fillId="3" borderId="9" xfId="0" applyFont="1" applyFill="1" applyBorder="1" applyAlignment="1" applyProtection="1">
      <alignment horizontal="left" vertical="center"/>
      <protection hidden="1"/>
    </xf>
    <xf numFmtId="0" fontId="5" fillId="3" borderId="8" xfId="0" applyFont="1" applyFill="1" applyBorder="1" applyAlignment="1" applyProtection="1">
      <alignment horizontal="left" vertical="center"/>
      <protection hidden="1"/>
    </xf>
    <xf numFmtId="0" fontId="5" fillId="3" borderId="10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6" xfId="0" applyFont="1" applyBorder="1" applyAlignment="1">
      <alignment horizontal="left" vertical="center"/>
    </xf>
    <xf numFmtId="0" fontId="17" fillId="2" borderId="5" xfId="0" applyFont="1" applyFill="1" applyBorder="1" applyAlignment="1" applyProtection="1">
      <alignment vertical="center"/>
      <protection hidden="1"/>
    </xf>
    <xf numFmtId="0" fontId="17" fillId="2" borderId="4" xfId="0" applyFont="1" applyFill="1" applyBorder="1" applyAlignment="1" applyProtection="1">
      <alignment vertical="center"/>
      <protection hidden="1"/>
    </xf>
    <xf numFmtId="0" fontId="17" fillId="2" borderId="3" xfId="0" applyFont="1" applyFill="1" applyBorder="1" applyAlignment="1" applyProtection="1">
      <alignment vertical="center"/>
      <protection hidden="1"/>
    </xf>
    <xf numFmtId="0" fontId="4" fillId="0" borderId="11" xfId="0" applyFont="1" applyBorder="1" applyAlignment="1" applyProtection="1">
      <alignment horizontal="left" vertical="center"/>
      <protection hidden="1"/>
    </xf>
    <xf numFmtId="0" fontId="5" fillId="3" borderId="5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 wrapText="1"/>
    </xf>
    <xf numFmtId="0" fontId="17" fillId="0" borderId="10" xfId="0" applyFont="1" applyBorder="1" applyAlignment="1" applyProtection="1">
      <alignment horizontal="left" vertical="center"/>
      <protection hidden="1"/>
    </xf>
    <xf numFmtId="0" fontId="17" fillId="0" borderId="5" xfId="0" applyFont="1" applyBorder="1" applyAlignment="1" applyProtection="1">
      <alignment horizontal="left" vertical="center"/>
      <protection hidden="1"/>
    </xf>
    <xf numFmtId="0" fontId="17" fillId="0" borderId="4" xfId="0" applyFont="1" applyBorder="1" applyAlignment="1" applyProtection="1">
      <alignment horizontal="left" vertical="center"/>
      <protection hidden="1"/>
    </xf>
    <xf numFmtId="0" fontId="17" fillId="0" borderId="3" xfId="0" applyFont="1" applyBorder="1" applyAlignment="1" applyProtection="1">
      <alignment horizontal="left" vertical="center"/>
      <protection hidden="1"/>
    </xf>
    <xf numFmtId="0" fontId="17" fillId="2" borderId="10" xfId="0" applyFont="1" applyFill="1" applyBorder="1" applyAlignment="1" applyProtection="1">
      <alignment horizontal="left" vertical="center"/>
      <protection hidden="1"/>
    </xf>
    <xf numFmtId="0" fontId="17" fillId="2" borderId="9" xfId="0" applyFont="1" applyFill="1" applyBorder="1" applyAlignment="1" applyProtection="1">
      <alignment horizontal="left" vertical="center"/>
      <protection hidden="1"/>
    </xf>
    <xf numFmtId="0" fontId="17" fillId="2" borderId="8" xfId="0" applyFont="1" applyFill="1" applyBorder="1" applyAlignment="1" applyProtection="1">
      <alignment horizontal="left" vertical="center"/>
      <protection hidden="1"/>
    </xf>
    <xf numFmtId="0" fontId="14" fillId="3" borderId="7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6" xfId="0" applyFont="1" applyFill="1" applyBorder="1" applyAlignment="1">
      <alignment horizontal="left" vertical="center"/>
    </xf>
    <xf numFmtId="0" fontId="3" fillId="0" borderId="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6" xfId="0" applyFont="1" applyBorder="1" applyAlignment="1">
      <alignment vertical="center"/>
    </xf>
    <xf numFmtId="0" fontId="4" fillId="3" borderId="5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17" fillId="0" borderId="5" xfId="0" applyFont="1" applyBorder="1" applyAlignment="1" applyProtection="1">
      <alignment horizontal="left" vertical="center" wrapText="1"/>
      <protection hidden="1"/>
    </xf>
    <xf numFmtId="0" fontId="17" fillId="0" borderId="4" xfId="0" applyFont="1" applyBorder="1" applyAlignment="1" applyProtection="1">
      <alignment horizontal="left" vertical="center" wrapText="1"/>
      <protection hidden="1"/>
    </xf>
    <xf numFmtId="0" fontId="17" fillId="0" borderId="3" xfId="0" applyFont="1" applyBorder="1" applyAlignment="1" applyProtection="1">
      <alignment horizontal="left" vertical="center" wrapText="1"/>
      <protection hidden="1"/>
    </xf>
    <xf numFmtId="0" fontId="2" fillId="3" borderId="7" xfId="0" applyFont="1" applyFill="1" applyBorder="1"/>
    <xf numFmtId="0" fontId="2" fillId="3" borderId="0" xfId="0" applyFont="1" applyFill="1"/>
    <xf numFmtId="0" fontId="5" fillId="3" borderId="10" xfId="0" applyFont="1" applyFill="1" applyBorder="1" applyAlignment="1" applyProtection="1">
      <alignment horizontal="left" vertical="center" wrapText="1"/>
      <protection hidden="1"/>
    </xf>
    <xf numFmtId="0" fontId="5" fillId="3" borderId="9" xfId="0" applyFont="1" applyFill="1" applyBorder="1" applyAlignment="1" applyProtection="1">
      <alignment horizontal="left" vertical="center" wrapText="1"/>
      <protection hidden="1"/>
    </xf>
    <xf numFmtId="0" fontId="5" fillId="2" borderId="7" xfId="0" applyFont="1" applyFill="1" applyBorder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5" fillId="2" borderId="6" xfId="0" applyFont="1" applyFill="1" applyBorder="1" applyAlignment="1" applyProtection="1">
      <alignment horizontal="left" vertical="center"/>
      <protection hidden="1"/>
    </xf>
    <xf numFmtId="0" fontId="6" fillId="0" borderId="13" xfId="0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13" fillId="0" borderId="0" xfId="1" applyAlignment="1"/>
    <xf numFmtId="0" fontId="5" fillId="3" borderId="7" xfId="0" applyFont="1" applyFill="1" applyBorder="1"/>
    <xf numFmtId="0" fontId="5" fillId="3" borderId="0" xfId="0" applyFont="1" applyFill="1"/>
    <xf numFmtId="0" fontId="5" fillId="3" borderId="6" xfId="0" applyFont="1" applyFill="1" applyBorder="1"/>
    <xf numFmtId="0" fontId="24" fillId="0" borderId="7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6" xfId="0" applyFont="1" applyBorder="1" applyAlignment="1">
      <alignment vertical="center"/>
    </xf>
    <xf numFmtId="0" fontId="19" fillId="5" borderId="10" xfId="0" applyFont="1" applyFill="1" applyBorder="1" applyAlignment="1" applyProtection="1">
      <alignment vertical="center"/>
      <protection hidden="1"/>
    </xf>
    <xf numFmtId="0" fontId="19" fillId="5" borderId="7" xfId="0" applyFont="1" applyFill="1" applyBorder="1"/>
    <xf numFmtId="0" fontId="6" fillId="3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 applyProtection="1">
      <alignment horizontal="left" vertical="top" wrapText="1"/>
      <protection hidden="1"/>
    </xf>
    <xf numFmtId="0" fontId="5" fillId="3" borderId="0" xfId="0" applyFont="1" applyFill="1" applyAlignment="1" applyProtection="1">
      <alignment horizontal="left" vertical="top" wrapText="1"/>
      <protection hidden="1"/>
    </xf>
    <xf numFmtId="0" fontId="5" fillId="3" borderId="6" xfId="0" applyFont="1" applyFill="1" applyBorder="1" applyAlignment="1" applyProtection="1">
      <alignment horizontal="left" vertical="top" wrapText="1"/>
      <protection hidden="1"/>
    </xf>
    <xf numFmtId="0" fontId="5" fillId="3" borderId="7" xfId="0" applyFont="1" applyFill="1" applyBorder="1" applyAlignment="1" applyProtection="1">
      <alignment vertical="center" wrapText="1"/>
      <protection hidden="1"/>
    </xf>
    <xf numFmtId="0" fontId="5" fillId="3" borderId="0" xfId="0" applyFont="1" applyFill="1" applyAlignment="1" applyProtection="1">
      <alignment vertical="center" wrapText="1"/>
      <protection hidden="1"/>
    </xf>
    <xf numFmtId="0" fontId="5" fillId="3" borderId="6" xfId="0" applyFont="1" applyFill="1" applyBorder="1" applyAlignment="1" applyProtection="1">
      <alignment vertical="center" wrapText="1"/>
      <protection hidden="1"/>
    </xf>
    <xf numFmtId="0" fontId="5" fillId="3" borderId="7" xfId="0" applyFont="1" applyFill="1" applyBorder="1" applyAlignment="1" applyProtection="1">
      <alignment vertical="top"/>
      <protection hidden="1"/>
    </xf>
    <xf numFmtId="0" fontId="5" fillId="3" borderId="0" xfId="0" applyFont="1" applyFill="1" applyAlignment="1" applyProtection="1">
      <alignment vertical="top"/>
      <protection hidden="1"/>
    </xf>
    <xf numFmtId="0" fontId="5" fillId="3" borderId="6" xfId="0" applyFont="1" applyFill="1" applyBorder="1" applyAlignment="1" applyProtection="1">
      <alignment vertical="top"/>
      <protection hidden="1"/>
    </xf>
    <xf numFmtId="0" fontId="5" fillId="3" borderId="8" xfId="0" applyFont="1" applyFill="1" applyBorder="1" applyAlignment="1" applyProtection="1">
      <alignment horizontal="left" vertical="center" wrapText="1"/>
      <protection hidden="1"/>
    </xf>
    <xf numFmtId="0" fontId="19" fillId="5" borderId="5" xfId="0" applyFont="1" applyFill="1" applyBorder="1" applyAlignment="1" applyProtection="1">
      <alignment horizontal="left" vertical="center" wrapText="1"/>
      <protection hidden="1"/>
    </xf>
    <xf numFmtId="0" fontId="19" fillId="5" borderId="4" xfId="0" applyFont="1" applyFill="1" applyBorder="1" applyAlignment="1" applyProtection="1">
      <alignment horizontal="left" vertical="center" wrapText="1"/>
      <protection hidden="1"/>
    </xf>
    <xf numFmtId="0" fontId="19" fillId="5" borderId="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left" vertical="center" wrapText="1"/>
      <protection hidden="1"/>
    </xf>
    <xf numFmtId="0" fontId="17" fillId="0" borderId="9" xfId="0" applyFont="1" applyBorder="1" applyAlignment="1" applyProtection="1">
      <alignment horizontal="left" vertical="center" wrapText="1"/>
      <protection hidden="1"/>
    </xf>
    <xf numFmtId="0" fontId="17" fillId="0" borderId="8" xfId="0" applyFont="1" applyBorder="1" applyAlignment="1" applyProtection="1">
      <alignment horizontal="left" vertical="center" wrapText="1"/>
      <protection hidden="1"/>
    </xf>
    <xf numFmtId="0" fontId="19" fillId="0" borderId="5" xfId="0" applyFont="1" applyBorder="1" applyAlignment="1" applyProtection="1">
      <alignment vertical="center"/>
      <protection hidden="1"/>
    </xf>
    <xf numFmtId="0" fontId="15" fillId="0" borderId="4" xfId="0" applyFont="1" applyBorder="1" applyAlignment="1" applyProtection="1">
      <alignment vertical="center"/>
      <protection hidden="1"/>
    </xf>
    <xf numFmtId="0" fontId="15" fillId="0" borderId="3" xfId="0" applyFont="1" applyBorder="1" applyAlignment="1" applyProtection="1">
      <alignment vertical="center"/>
      <protection hidden="1"/>
    </xf>
    <xf numFmtId="0" fontId="6" fillId="0" borderId="0" xfId="1" applyFont="1"/>
    <xf numFmtId="0" fontId="19" fillId="5" borderId="0" xfId="0" applyFont="1" applyFill="1" applyAlignment="1" applyProtection="1">
      <alignment horizontal="left" vertical="center"/>
      <protection hidden="1"/>
    </xf>
    <xf numFmtId="0" fontId="19" fillId="5" borderId="6" xfId="0" applyFont="1" applyFill="1" applyBorder="1" applyAlignment="1" applyProtection="1">
      <alignment horizontal="left" vertical="center"/>
      <protection hidden="1"/>
    </xf>
    <xf numFmtId="0" fontId="19" fillId="5" borderId="5" xfId="0" applyFont="1" applyFill="1" applyBorder="1" applyAlignment="1" applyProtection="1">
      <alignment horizontal="left" vertical="center"/>
      <protection hidden="1"/>
    </xf>
    <xf numFmtId="0" fontId="19" fillId="5" borderId="4" xfId="0" applyFont="1" applyFill="1" applyBorder="1" applyAlignment="1" applyProtection="1">
      <alignment horizontal="left" vertical="center"/>
      <protection hidden="1"/>
    </xf>
    <xf numFmtId="0" fontId="19" fillId="5" borderId="3" xfId="0" applyFont="1" applyFill="1" applyBorder="1" applyAlignment="1" applyProtection="1">
      <alignment horizontal="left" vertical="center"/>
      <protection hidden="1"/>
    </xf>
    <xf numFmtId="0" fontId="17" fillId="0" borderId="10" xfId="0" applyFont="1" applyBorder="1" applyAlignment="1">
      <alignment vertical="center"/>
    </xf>
    <xf numFmtId="0" fontId="17" fillId="0" borderId="9" xfId="0" applyFont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3" borderId="6" xfId="0" applyFont="1" applyFill="1" applyBorder="1" applyAlignment="1">
      <alignment vertical="center"/>
    </xf>
    <xf numFmtId="0" fontId="22" fillId="0" borderId="7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17" fillId="0" borderId="5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vertical="center"/>
    </xf>
    <xf numFmtId="0" fontId="17" fillId="2" borderId="0" xfId="0" applyFont="1" applyFill="1" applyAlignment="1">
      <alignment vertical="center"/>
    </xf>
    <xf numFmtId="0" fontId="17" fillId="2" borderId="6" xfId="0" applyFont="1" applyFill="1" applyBorder="1" applyAlignment="1">
      <alignment vertical="center"/>
    </xf>
    <xf numFmtId="0" fontId="17" fillId="2" borderId="10" xfId="0" applyFont="1" applyFill="1" applyBorder="1" applyAlignment="1">
      <alignment vertical="center"/>
    </xf>
    <xf numFmtId="0" fontId="17" fillId="2" borderId="9" xfId="0" applyFont="1" applyFill="1" applyBorder="1" applyAlignment="1">
      <alignment vertical="center"/>
    </xf>
    <xf numFmtId="0" fontId="17" fillId="2" borderId="8" xfId="0" applyFont="1" applyFill="1" applyBorder="1" applyAlignment="1">
      <alignment vertical="center"/>
    </xf>
    <xf numFmtId="0" fontId="5" fillId="3" borderId="7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vertical="center"/>
    </xf>
    <xf numFmtId="0" fontId="1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17" fillId="2" borderId="6" xfId="0" applyFont="1" applyFill="1" applyBorder="1" applyAlignment="1">
      <alignment horizontal="left" vertical="center"/>
    </xf>
    <xf numFmtId="0" fontId="17" fillId="2" borderId="5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horizontal="left" vertical="center"/>
    </xf>
    <xf numFmtId="0" fontId="21" fillId="0" borderId="7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6" xfId="0" applyFont="1" applyBorder="1" applyAlignment="1">
      <alignment vertical="center"/>
    </xf>
    <xf numFmtId="0" fontId="17" fillId="0" borderId="10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2" fillId="3" borderId="10" xfId="0" applyFont="1" applyFill="1" applyBorder="1" applyAlignment="1" applyProtection="1">
      <alignment horizontal="left" vertical="center" wrapText="1"/>
      <protection hidden="1"/>
    </xf>
    <xf numFmtId="0" fontId="2" fillId="3" borderId="9" xfId="0" applyFont="1" applyFill="1" applyBorder="1" applyAlignment="1" applyProtection="1">
      <alignment horizontal="left" vertical="center" wrapText="1"/>
      <protection hidden="1"/>
    </xf>
    <xf numFmtId="0" fontId="2" fillId="3" borderId="8" xfId="0" applyFont="1" applyFill="1" applyBorder="1" applyAlignment="1" applyProtection="1">
      <alignment horizontal="left" vertical="center" wrapText="1"/>
      <protection hidden="1"/>
    </xf>
    <xf numFmtId="0" fontId="2" fillId="3" borderId="7" xfId="0" applyFont="1" applyFill="1" applyBorder="1" applyAlignment="1" applyProtection="1">
      <alignment horizontal="left" vertical="center" wrapText="1"/>
      <protection hidden="1"/>
    </xf>
    <xf numFmtId="0" fontId="2" fillId="3" borderId="0" xfId="0" applyFont="1" applyFill="1" applyAlignment="1" applyProtection="1">
      <alignment horizontal="left" vertical="center" wrapText="1"/>
      <protection hidden="1"/>
    </xf>
    <xf numFmtId="0" fontId="2" fillId="3" borderId="6" xfId="0" applyFont="1" applyFill="1" applyBorder="1" applyAlignment="1" applyProtection="1">
      <alignment horizontal="left" vertical="center" wrapText="1"/>
      <protection hidden="1"/>
    </xf>
    <xf numFmtId="0" fontId="14" fillId="3" borderId="5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2" fillId="3" borderId="7" xfId="0" applyFont="1" applyFill="1" applyBorder="1" applyAlignment="1" applyProtection="1">
      <alignment vertical="center" wrapText="1"/>
      <protection hidden="1"/>
    </xf>
    <xf numFmtId="0" fontId="2" fillId="3" borderId="0" xfId="0" applyFont="1" applyFill="1" applyAlignment="1" applyProtection="1">
      <alignment vertical="center" wrapText="1"/>
      <protection hidden="1"/>
    </xf>
    <xf numFmtId="0" fontId="2" fillId="3" borderId="6" xfId="0" applyFont="1" applyFill="1" applyBorder="1" applyAlignment="1" applyProtection="1">
      <alignment vertical="center" wrapText="1"/>
      <protection hidden="1"/>
    </xf>
    <xf numFmtId="0" fontId="17" fillId="2" borderId="7" xfId="0" applyFont="1" applyFill="1" applyBorder="1" applyAlignment="1" applyProtection="1">
      <alignment vertical="center" wrapText="1"/>
      <protection hidden="1"/>
    </xf>
    <xf numFmtId="0" fontId="17" fillId="2" borderId="0" xfId="0" applyFont="1" applyFill="1" applyAlignment="1" applyProtection="1">
      <alignment vertical="center" wrapText="1"/>
      <protection hidden="1"/>
    </xf>
    <xf numFmtId="0" fontId="17" fillId="2" borderId="6" xfId="0" applyFont="1" applyFill="1" applyBorder="1" applyAlignment="1" applyProtection="1">
      <alignment vertical="center" wrapText="1"/>
      <protection hidden="1"/>
    </xf>
    <xf numFmtId="0" fontId="17" fillId="2" borderId="5" xfId="0" applyFont="1" applyFill="1" applyBorder="1"/>
    <xf numFmtId="0" fontId="17" fillId="2" borderId="4" xfId="0" applyFont="1" applyFill="1" applyBorder="1"/>
    <xf numFmtId="0" fontId="17" fillId="2" borderId="3" xfId="0" applyFont="1" applyFill="1" applyBorder="1"/>
    <xf numFmtId="0" fontId="2" fillId="3" borderId="7" xfId="0" applyFont="1" applyFill="1" applyBorder="1" applyAlignment="1" applyProtection="1">
      <alignment vertical="top" wrapText="1"/>
      <protection hidden="1"/>
    </xf>
    <xf numFmtId="0" fontId="2" fillId="3" borderId="0" xfId="0" applyFont="1" applyFill="1" applyAlignment="1" applyProtection="1">
      <alignment vertical="top" wrapText="1"/>
      <protection hidden="1"/>
    </xf>
    <xf numFmtId="0" fontId="2" fillId="3" borderId="6" xfId="0" applyFont="1" applyFill="1" applyBorder="1" applyAlignment="1" applyProtection="1">
      <alignment vertical="top" wrapText="1"/>
      <protection hidden="1"/>
    </xf>
    <xf numFmtId="0" fontId="2" fillId="3" borderId="7" xfId="0" applyFont="1" applyFill="1" applyBorder="1" applyAlignment="1" applyProtection="1">
      <alignment vertical="top"/>
      <protection hidden="1"/>
    </xf>
    <xf numFmtId="0" fontId="2" fillId="3" borderId="0" xfId="0" applyFont="1" applyFill="1" applyAlignment="1" applyProtection="1">
      <alignment vertical="top"/>
      <protection hidden="1"/>
    </xf>
    <xf numFmtId="0" fontId="2" fillId="3" borderId="6" xfId="0" applyFont="1" applyFill="1" applyBorder="1" applyAlignment="1" applyProtection="1">
      <alignment vertical="top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8" xfId="0" applyFont="1" applyFill="1" applyBorder="1" applyAlignment="1" applyProtection="1">
      <alignment horizontal="left" vertical="center" wrapText="1"/>
      <protection hidden="1"/>
    </xf>
    <xf numFmtId="0" fontId="14" fillId="3" borderId="7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6" xfId="0" applyFont="1" applyFill="1" applyBorder="1" applyAlignment="1" applyProtection="1">
      <alignment horizontal="left" vertical="center" wrapText="1"/>
      <protection hidden="1"/>
    </xf>
    <xf numFmtId="0" fontId="17" fillId="2" borderId="5" xfId="0" applyFont="1" applyFill="1" applyBorder="1" applyAlignment="1" applyProtection="1">
      <alignment horizontal="left" vertical="center" wrapText="1"/>
      <protection hidden="1"/>
    </xf>
    <xf numFmtId="0" fontId="17" fillId="2" borderId="4" xfId="0" applyFont="1" applyFill="1" applyBorder="1" applyAlignment="1" applyProtection="1">
      <alignment horizontal="left" vertical="center" wrapText="1"/>
      <protection hidden="1"/>
    </xf>
    <xf numFmtId="0" fontId="17" fillId="2" borderId="3" xfId="0" applyFont="1" applyFill="1" applyBorder="1" applyAlignment="1" applyProtection="1">
      <alignment horizontal="left" vertical="center" wrapText="1"/>
      <protection hidden="1"/>
    </xf>
    <xf numFmtId="0" fontId="8" fillId="3" borderId="2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5" fillId="3" borderId="8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 wrapText="1"/>
    </xf>
    <xf numFmtId="0" fontId="5" fillId="3" borderId="6" xfId="0" applyFont="1" applyFill="1" applyBorder="1" applyAlignment="1">
      <alignment horizontal="left" vertical="center" wrapText="1"/>
    </xf>
    <xf numFmtId="0" fontId="14" fillId="3" borderId="5" xfId="0" applyFont="1" applyFill="1" applyBorder="1" applyAlignment="1">
      <alignment vertical="center"/>
    </xf>
    <xf numFmtId="0" fontId="14" fillId="3" borderId="4" xfId="0" applyFont="1" applyFill="1" applyBorder="1" applyAlignment="1">
      <alignment vertical="center"/>
    </xf>
    <xf numFmtId="0" fontId="14" fillId="3" borderId="7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14" fillId="3" borderId="6" xfId="0" applyFont="1" applyFill="1" applyBorder="1" applyAlignment="1">
      <alignment horizontal="left" vertical="center" wrapText="1"/>
    </xf>
    <xf numFmtId="0" fontId="14" fillId="3" borderId="5" xfId="0" applyFont="1" applyFill="1" applyBorder="1" applyAlignment="1">
      <alignment horizontal="left" vertical="center" wrapText="1"/>
    </xf>
    <xf numFmtId="0" fontId="14" fillId="3" borderId="4" xfId="0" applyFont="1" applyFill="1" applyBorder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23" fillId="0" borderId="7" xfId="0" applyFont="1" applyBorder="1" applyAlignment="1">
      <alignment vertical="center"/>
    </xf>
    <xf numFmtId="0" fontId="14" fillId="3" borderId="10" xfId="0" applyFont="1" applyFill="1" applyBorder="1" applyAlignment="1">
      <alignment vertical="center"/>
    </xf>
    <xf numFmtId="0" fontId="5" fillId="3" borderId="7" xfId="0" applyFont="1" applyFill="1" applyBorder="1" applyAlignment="1" applyProtection="1">
      <alignment vertical="top" wrapText="1"/>
      <protection hidden="1"/>
    </xf>
    <xf numFmtId="0" fontId="5" fillId="3" borderId="0" xfId="0" applyFont="1" applyFill="1" applyAlignment="1" applyProtection="1">
      <alignment vertical="top" wrapText="1"/>
      <protection hidden="1"/>
    </xf>
    <xf numFmtId="0" fontId="5" fillId="3" borderId="6" xfId="0" applyFont="1" applyFill="1" applyBorder="1" applyAlignment="1" applyProtection="1">
      <alignment vertical="top" wrapText="1"/>
      <protection hidden="1"/>
    </xf>
    <xf numFmtId="0" fontId="5" fillId="3" borderId="5" xfId="0" applyFont="1" applyFill="1" applyBorder="1"/>
    <xf numFmtId="0" fontId="5" fillId="3" borderId="4" xfId="0" applyFont="1" applyFill="1" applyBorder="1"/>
    <xf numFmtId="0" fontId="5" fillId="3" borderId="3" xfId="0" applyFont="1" applyFill="1" applyBorder="1"/>
    <xf numFmtId="0" fontId="17" fillId="0" borderId="5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7" xfId="0" applyFont="1" applyBorder="1" applyAlignment="1" applyProtection="1">
      <alignment horizontal="left" vertical="top" wrapText="1"/>
      <protection hidden="1"/>
    </xf>
    <xf numFmtId="0" fontId="17" fillId="0" borderId="0" xfId="0" applyFont="1" applyAlignment="1" applyProtection="1">
      <alignment horizontal="left" vertical="top" wrapText="1"/>
      <protection hidden="1"/>
    </xf>
    <xf numFmtId="0" fontId="17" fillId="0" borderId="6" xfId="0" applyFont="1" applyBorder="1" applyAlignment="1" applyProtection="1">
      <alignment horizontal="left" vertical="top" wrapText="1"/>
      <protection hidden="1"/>
    </xf>
    <xf numFmtId="0" fontId="2" fillId="3" borderId="7" xfId="0" applyFont="1" applyFill="1" applyBorder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7" xfId="0" applyFont="1" applyFill="1" applyBorder="1" applyAlignment="1" applyProtection="1">
      <alignment horizontal="left" vertical="center"/>
      <protection hidden="1"/>
    </xf>
    <xf numFmtId="0" fontId="2" fillId="3" borderId="0" xfId="0" applyFont="1" applyFill="1" applyAlignment="1" applyProtection="1">
      <alignment horizontal="left" vertical="center"/>
      <protection hidden="1"/>
    </xf>
    <xf numFmtId="0" fontId="2" fillId="3" borderId="6" xfId="0" applyFont="1" applyFill="1" applyBorder="1" applyAlignment="1" applyProtection="1">
      <alignment horizontal="left" vertical="center"/>
      <protection hidden="1"/>
    </xf>
    <xf numFmtId="0" fontId="2" fillId="3" borderId="6" xfId="0" applyFont="1" applyFill="1" applyBorder="1"/>
    <xf numFmtId="0" fontId="2" fillId="3" borderId="7" xfId="0" applyFont="1" applyFill="1" applyBorder="1" applyAlignment="1" applyProtection="1">
      <alignment horizontal="left" vertical="top" wrapText="1"/>
      <protection hidden="1"/>
    </xf>
    <xf numFmtId="0" fontId="2" fillId="3" borderId="0" xfId="0" applyFont="1" applyFill="1" applyAlignment="1" applyProtection="1">
      <alignment horizontal="left" vertical="top" wrapText="1"/>
      <protection hidden="1"/>
    </xf>
    <xf numFmtId="0" fontId="2" fillId="3" borderId="6" xfId="0" applyFont="1" applyFill="1" applyBorder="1" applyAlignment="1" applyProtection="1">
      <alignment horizontal="left" vertical="top" wrapText="1"/>
      <protection hidden="1"/>
    </xf>
    <xf numFmtId="0" fontId="19" fillId="5" borderId="10" xfId="0" applyFont="1" applyFill="1" applyBorder="1" applyAlignment="1" applyProtection="1">
      <alignment vertical="center" wrapText="1"/>
      <protection hidden="1"/>
    </xf>
    <xf numFmtId="0" fontId="19" fillId="5" borderId="9" xfId="0" applyFont="1" applyFill="1" applyBorder="1" applyAlignment="1" applyProtection="1">
      <alignment vertical="center" wrapText="1"/>
      <protection hidden="1"/>
    </xf>
    <xf numFmtId="0" fontId="19" fillId="5" borderId="8" xfId="0" applyFont="1" applyFill="1" applyBorder="1" applyAlignment="1" applyProtection="1">
      <alignment vertical="center" wrapText="1"/>
      <protection hidden="1"/>
    </xf>
    <xf numFmtId="0" fontId="19" fillId="5" borderId="7" xfId="0" applyFont="1" applyFill="1" applyBorder="1" applyAlignment="1" applyProtection="1">
      <alignment vertical="center" wrapText="1"/>
      <protection hidden="1"/>
    </xf>
    <xf numFmtId="0" fontId="19" fillId="5" borderId="0" xfId="0" applyFont="1" applyFill="1" applyAlignment="1" applyProtection="1">
      <alignment vertical="center" wrapText="1"/>
      <protection hidden="1"/>
    </xf>
    <xf numFmtId="0" fontId="19" fillId="5" borderId="6" xfId="0" applyFont="1" applyFill="1" applyBorder="1" applyAlignment="1" applyProtection="1">
      <alignment vertical="center" wrapText="1"/>
      <protection hidden="1"/>
    </xf>
    <xf numFmtId="0" fontId="14" fillId="3" borderId="2" xfId="0" applyFont="1" applyFill="1" applyBorder="1" applyAlignment="1">
      <alignment horizontal="left" vertical="center"/>
    </xf>
    <xf numFmtId="0" fontId="5" fillId="3" borderId="5" xfId="0" applyFont="1" applyFill="1" applyBorder="1" applyAlignment="1" applyProtection="1">
      <alignment horizontal="left" vertical="center" wrapText="1"/>
      <protection hidden="1"/>
    </xf>
    <xf numFmtId="0" fontId="5" fillId="3" borderId="4" xfId="0" applyFont="1" applyFill="1" applyBorder="1" applyAlignment="1" applyProtection="1">
      <alignment horizontal="left" vertical="center" wrapText="1"/>
      <protection hidden="1"/>
    </xf>
    <xf numFmtId="0" fontId="5" fillId="3" borderId="3" xfId="0" applyFont="1" applyFill="1" applyBorder="1" applyAlignment="1" applyProtection="1">
      <alignment horizontal="left" vertical="center" wrapText="1"/>
      <protection hidden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4EE4B69-110D-4948-B1B9-99D3B3DC845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32D8959-77BA-407A-83E3-8D5FECF71F3C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1CD766A-D783-4304-B8D3-A663633909E7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E7729F13-98FB-4941-A19C-E550871AF39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3A87F464-7272-427F-9A5D-AC50DF689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416D92B-EFD0-4448-8DAA-32FB1387F088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ABB2E2A-6859-4516-9B5F-B4F818C40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5E2BB7E8-4674-4595-A46B-C43B692EA6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E19384D-2181-4326-8977-EE0BA333343C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182EA88-DEED-47E0-804F-BCA0474CF29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EC61D8B-6453-4F6B-8A8B-EA3A436C1D32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EC55F96-288C-4B60-8B23-7ECF584AABC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5864C54-AA7B-451A-8E22-B40BA1D11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DA2ABD1-E0EC-4929-B61F-76AEA3B76398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9E8C932-A210-4877-84FF-5E987B517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3D404A7-7777-4EFE-9B53-E35CA9B7EE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4362829-2CC5-47DE-8586-1236E58878F3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7F344F0-2531-49DD-90CB-631F927404D9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1CF9C47-A654-428A-953B-69F7F7C79CD0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C8FC8A77-75BA-41C5-8AE6-E1C6465FF1F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450B7FE-1814-407B-8C26-54AECD297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2A8DB0B-8AEA-4E2A-A723-BF2EC8611E0D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52EE9B1-EDAB-4A76-B2AB-2913D7F49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A64C969-2E9F-4860-89E3-1E2BDCEDA9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316EA8B-DBFD-48E0-993F-2689827CF61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A574A4F-7D8B-4834-ABC0-969ED255403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863BB48E-C259-451F-8133-A5F355B96BD6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3449263E-58D8-4BAD-8D59-5C03467DA9F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52BE8AD4-7A6E-4313-B752-D7FBCADE0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D85F4DF-9599-4042-AC42-4BDFCD4D4B6A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8FF86D5-88D4-4615-9B1A-7E0D2C1ED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D419703-E13A-46D9-B452-5F010E2428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E4DBE12-DA0D-4AAC-B5CA-339F44163436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433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82FB964B-56DA-4DFB-BAD3-4FE36CD246F6}"/>
            </a:ext>
          </a:extLst>
        </xdr:cNvPr>
        <xdr:cNvSpPr/>
      </xdr:nvSpPr>
      <xdr:spPr>
        <a:xfrm>
          <a:off x="5156533" y="2682875"/>
          <a:ext cx="14379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EBF61B6-DBA2-4ED3-8860-913CB531E9A5}"/>
            </a:ext>
          </a:extLst>
        </xdr:cNvPr>
        <xdr:cNvSpPr>
          <a:spLocks noChangeArrowheads="1"/>
        </xdr:cNvSpPr>
      </xdr:nvSpPr>
      <xdr:spPr bwMode="auto">
        <a:xfrm>
          <a:off x="4121149" y="8099353"/>
          <a:ext cx="22098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6EBE2217-9DF7-4424-909C-F78292B9789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819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8D0B25B0-7225-45D1-8168-769BC2D4A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21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4F48F455-50BD-4C39-A2DA-BF2CFD892C79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3963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C71802B-4021-48AD-A417-65F63F21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5CFE95B-6E98-4A10-9AF0-A7908A71D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086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4689A95-6C9E-4591-9E6D-69232C901D4B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814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B40B1D0-DCD8-47EB-B5B9-256D12E3852B}"/>
            </a:ext>
          </a:extLst>
        </xdr:cNvPr>
        <xdr:cNvSpPr/>
      </xdr:nvSpPr>
      <xdr:spPr>
        <a:xfrm>
          <a:off x="5194633" y="2682875"/>
          <a:ext cx="144746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63E2A3E-EFF6-44B5-A9EC-24E7041BCC59}"/>
            </a:ext>
          </a:extLst>
        </xdr:cNvPr>
        <xdr:cNvSpPr>
          <a:spLocks noChangeArrowheads="1"/>
        </xdr:cNvSpPr>
      </xdr:nvSpPr>
      <xdr:spPr bwMode="auto">
        <a:xfrm>
          <a:off x="4140199" y="7337353"/>
          <a:ext cx="2238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E98CB6D-7417-4006-BD2E-131B1075BAD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91502" y="73215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A12B98B-E95C-46DA-97FD-4891DFE9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913EBD8-4AFA-4842-8581-38CE3A54EFBA}"/>
            </a:ext>
          </a:extLst>
        </xdr:cNvPr>
        <xdr:cNvSpPr>
          <a:spLocks noChangeArrowheads="1"/>
        </xdr:cNvSpPr>
      </xdr:nvSpPr>
      <xdr:spPr bwMode="auto">
        <a:xfrm>
          <a:off x="204493" y="9411433"/>
          <a:ext cx="64439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3C219FB-FE38-4C26-B6D9-8886460CF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4D0F162-BAAB-4796-AB7C-23CC57F40A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467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575B03CD-7C49-4588-9DEC-867C09FD70DF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814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3159524-B75C-4ED0-B6B9-BF9916781E7A}"/>
            </a:ext>
          </a:extLst>
        </xdr:cNvPr>
        <xdr:cNvSpPr/>
      </xdr:nvSpPr>
      <xdr:spPr>
        <a:xfrm>
          <a:off x="5194633" y="2682875"/>
          <a:ext cx="144746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C0E0362-A302-4DCE-B0CA-BC102C3D57B8}"/>
            </a:ext>
          </a:extLst>
        </xdr:cNvPr>
        <xdr:cNvSpPr>
          <a:spLocks noChangeArrowheads="1"/>
        </xdr:cNvSpPr>
      </xdr:nvSpPr>
      <xdr:spPr bwMode="auto">
        <a:xfrm>
          <a:off x="4140199" y="7946953"/>
          <a:ext cx="2238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AA9B934-D622-4A7C-A846-12E40CF6BA4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057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E514455-99FB-4ABA-B1F2-1E2611380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1FD63D2-6DCA-40F5-9CFE-E8214EE2BE94}"/>
            </a:ext>
          </a:extLst>
        </xdr:cNvPr>
        <xdr:cNvSpPr>
          <a:spLocks noChangeArrowheads="1"/>
        </xdr:cNvSpPr>
      </xdr:nvSpPr>
      <xdr:spPr bwMode="auto">
        <a:xfrm>
          <a:off x="204493" y="9868633"/>
          <a:ext cx="644395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8581963-C46F-40AB-A9B0-5B0B5EC0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E97ABB9-7061-4825-8876-DEDBB42057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467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962D5FD-FD4D-49CF-BFE1-DF341A24D58E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814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3E635A5-11E9-40E4-AC3F-2F6200E536E8}"/>
            </a:ext>
          </a:extLst>
        </xdr:cNvPr>
        <xdr:cNvSpPr/>
      </xdr:nvSpPr>
      <xdr:spPr>
        <a:xfrm>
          <a:off x="5194633" y="2682875"/>
          <a:ext cx="144746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42993F2-8C7B-4495-8F8C-695218151287}"/>
            </a:ext>
          </a:extLst>
        </xdr:cNvPr>
        <xdr:cNvSpPr>
          <a:spLocks noChangeArrowheads="1"/>
        </xdr:cNvSpPr>
      </xdr:nvSpPr>
      <xdr:spPr bwMode="auto">
        <a:xfrm>
          <a:off x="4140199" y="7337353"/>
          <a:ext cx="2238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B62FCB5-84EA-4461-99FB-D84FBEB75AB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105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A2A7985-97DA-4A4F-9624-FEB3B11D9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9D18502-8AB3-4FD0-9F39-C15210C672D2}"/>
            </a:ext>
          </a:extLst>
        </xdr:cNvPr>
        <xdr:cNvSpPr>
          <a:spLocks noChangeArrowheads="1"/>
        </xdr:cNvSpPr>
      </xdr:nvSpPr>
      <xdr:spPr bwMode="auto">
        <a:xfrm>
          <a:off x="204493" y="9868633"/>
          <a:ext cx="644395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78104E0-BF01-40DB-8430-FC4ABFEED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B3C2F56-03AC-459C-A6EF-855589BC64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467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092496F-0868-4391-BF51-E9F1AC652F0A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814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889D3C8-C491-41AE-BDB9-113DE20C6B4D}"/>
            </a:ext>
          </a:extLst>
        </xdr:cNvPr>
        <xdr:cNvSpPr/>
      </xdr:nvSpPr>
      <xdr:spPr>
        <a:xfrm>
          <a:off x="5194633" y="2682875"/>
          <a:ext cx="144746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B5F3EDC-8573-4503-95C7-DF52F6CB0E66}"/>
            </a:ext>
          </a:extLst>
        </xdr:cNvPr>
        <xdr:cNvSpPr>
          <a:spLocks noChangeArrowheads="1"/>
        </xdr:cNvSpPr>
      </xdr:nvSpPr>
      <xdr:spPr bwMode="auto">
        <a:xfrm>
          <a:off x="4140199" y="7946953"/>
          <a:ext cx="2238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523670</xdr:colOff>
      <xdr:row>50</xdr:row>
      <xdr:rowOff>19631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769F7D6-D5D6-4AC0-A09E-79A91C38611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47192" y="6952174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BFEA5E1-0792-4439-89C6-CEAB62535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FD3498C-8985-44C3-A872-44F53182DB20}"/>
            </a:ext>
          </a:extLst>
        </xdr:cNvPr>
        <xdr:cNvSpPr>
          <a:spLocks noChangeArrowheads="1"/>
        </xdr:cNvSpPr>
      </xdr:nvSpPr>
      <xdr:spPr bwMode="auto">
        <a:xfrm>
          <a:off x="204493" y="9868633"/>
          <a:ext cx="644395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B6758DA-01C7-427E-9E31-2C4734ED4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CD49883-561F-4A80-A10E-E5DF41553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467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36BC68A-AC00-460A-94C6-F7A01325205E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814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70FCEDE-80F1-449C-90BE-EE3B18C6CF3B}"/>
            </a:ext>
          </a:extLst>
        </xdr:cNvPr>
        <xdr:cNvSpPr/>
      </xdr:nvSpPr>
      <xdr:spPr>
        <a:xfrm>
          <a:off x="5194633" y="2682875"/>
          <a:ext cx="144746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5449379-F932-4F8E-BDAB-C9CFC68185B5}"/>
            </a:ext>
          </a:extLst>
        </xdr:cNvPr>
        <xdr:cNvSpPr>
          <a:spLocks noChangeArrowheads="1"/>
        </xdr:cNvSpPr>
      </xdr:nvSpPr>
      <xdr:spPr bwMode="auto">
        <a:xfrm>
          <a:off x="4140199" y="8099353"/>
          <a:ext cx="2238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609E08C9-4AC9-470A-AD52-A0A021B3AD9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10554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87C4C5D1-B0F3-43BC-BB28-E8C348095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EA72121-35EA-48E6-8A4A-96B9A5E24D5A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4439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8E135967-DB2A-4174-9673-9F3C4D048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652CA5D-AAD5-487D-813E-79B6583D50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467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801718D-3C75-4DAD-9780-E9E7690C509A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814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099D421-85E0-4779-B944-6FA2F49A2C81}"/>
            </a:ext>
          </a:extLst>
        </xdr:cNvPr>
        <xdr:cNvSpPr/>
      </xdr:nvSpPr>
      <xdr:spPr>
        <a:xfrm>
          <a:off x="5194633" y="2682875"/>
          <a:ext cx="144746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AF511B2-0DD0-4F56-9051-002FAE1BAC9C}"/>
            </a:ext>
          </a:extLst>
        </xdr:cNvPr>
        <xdr:cNvSpPr>
          <a:spLocks noChangeArrowheads="1"/>
        </xdr:cNvSpPr>
      </xdr:nvSpPr>
      <xdr:spPr bwMode="auto">
        <a:xfrm>
          <a:off x="4140199" y="8099353"/>
          <a:ext cx="2238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B36C8365-CD72-48A8-9D15-270C45BEB48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10554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6D918832-DB2A-4E73-8EE6-4EEBDA769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44B3B1F-2C4C-41F3-96F2-C748EDBA951F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4439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42A248C-7D82-4CE6-BF54-9A1934A52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C5AA6AD-7966-446A-A7A8-6626D15F5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467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DFBD1C0-F09F-41DA-A6A4-F904A68CE251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433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BE5A9E1-D243-4D85-9215-718BCD7D1ADC}"/>
            </a:ext>
          </a:extLst>
        </xdr:cNvPr>
        <xdr:cNvSpPr/>
      </xdr:nvSpPr>
      <xdr:spPr>
        <a:xfrm>
          <a:off x="5156533" y="2682875"/>
          <a:ext cx="14379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B9DE27A-2A95-4793-BCD2-1A44A6F88C38}"/>
            </a:ext>
          </a:extLst>
        </xdr:cNvPr>
        <xdr:cNvSpPr>
          <a:spLocks noChangeArrowheads="1"/>
        </xdr:cNvSpPr>
      </xdr:nvSpPr>
      <xdr:spPr bwMode="auto">
        <a:xfrm>
          <a:off x="4121149" y="8099353"/>
          <a:ext cx="22098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05AD496-3DEC-40B7-ABB3-7F619DAB030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819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E01CBAD-D02B-4630-95C7-8F0373A2C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21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45EC893-0C42-4BC8-A940-726C5075ACDB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3963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3C87738-6467-4B93-B425-420BEE38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7917D5D-1ADF-419F-BCF3-6AF0804FEF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086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2B446F8-CC8C-46DF-87F6-8CE8696FBBBD}"/>
            </a:ext>
          </a:extLst>
        </xdr:cNvPr>
        <xdr:cNvSpPr>
          <a:spLocks noChangeArrowheads="1"/>
        </xdr:cNvSpPr>
      </xdr:nvSpPr>
      <xdr:spPr bwMode="auto">
        <a:xfrm>
          <a:off x="1418958" y="28340"/>
          <a:ext cx="41433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7664145-67F8-442B-82F2-A31D09747C9F}"/>
            </a:ext>
          </a:extLst>
        </xdr:cNvPr>
        <xdr:cNvSpPr/>
      </xdr:nvSpPr>
      <xdr:spPr>
        <a:xfrm>
          <a:off x="5156533" y="2682875"/>
          <a:ext cx="14379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0737C299-7D55-4636-919B-C6007C9FCC4B}"/>
            </a:ext>
          </a:extLst>
        </xdr:cNvPr>
        <xdr:cNvSpPr>
          <a:spLocks noChangeArrowheads="1"/>
        </xdr:cNvSpPr>
      </xdr:nvSpPr>
      <xdr:spPr bwMode="auto">
        <a:xfrm>
          <a:off x="4121149" y="8099353"/>
          <a:ext cx="22098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7EF789D-EEE3-45A1-AAC8-76B4A930266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819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26D4D35F-A17F-4665-B21C-93170D583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21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F48DED5-2624-4184-ABC1-3D39D50468D3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3963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A9B6BA0-8DF7-4958-B034-BE1983E2C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5C756E36-BDA4-4913-9A8C-F9EDD10AD4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80866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ADA28C2-B37F-4E69-891A-E4F38C694F4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997A423-D9AD-4444-9709-96BF228FB102}"/>
            </a:ext>
          </a:extLst>
        </xdr:cNvPr>
        <xdr:cNvSpPr/>
      </xdr:nvSpPr>
      <xdr:spPr>
        <a:xfrm>
          <a:off x="54327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7A5B10D-4D79-43D6-BA7D-9A039065DF3E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4765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6BF961B-0FB3-43B9-B9E7-99E7F161821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581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E54D0A1-AC7D-4082-A079-AA130E073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92D7406-3038-40AB-BA62-7D5141F1688D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5963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8EBACA6-261A-42A3-A418-472E067DC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7F93490-7600-42E9-8D35-0462478CB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92F162E-A06D-4D33-B3F3-D55FC642D57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FE94BE9-501D-477A-8EBC-CE2F75E722D9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848E21F-6D4A-4F1B-9442-EF6B77F5D600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FF7950F3-1DB2-43C9-8B14-E9541B24F5B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8422" y="7290376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19697548-E6E8-447F-8A15-D39EC7A52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31C9999-2514-4F3B-B96E-8364C8088FC5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47D050A-28A3-47CD-A1CB-B927EED1D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5AE87260-198C-4459-8127-EB9525C06F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261C416-9D94-40F2-AFA3-6F08A9B7609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4A067E1-A771-4E0D-A1A6-25CE449A964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D5E463A-41DD-4516-8F99-2033E7600092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4F95BADE-17B6-47AB-9189-A6211101711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119EEBC-FF96-45A9-AF66-9020C26CD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5A51CE3-CA49-4367-8B40-D5985D56FF92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8471EEC5-B863-4903-A076-2B0B6871A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441AC76-8344-4445-9FAF-8753C81CCD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465B941-F361-40B6-BBDA-B3A077B5066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5E1B1A0-8C1A-4382-8B22-132A4F716FE7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9B3CDA8-D311-4457-9A4E-77DF17E049E6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FC429FC-7E6B-44AE-A655-0E3DA1C2E98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AEB30DA-EB07-4D66-9072-315119825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43C05F4-69E7-4DDB-B678-03CEC8F5C63F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5896690-01AC-4CD9-ADE2-1B95217B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19F4D1F-D19D-436F-840D-F2BF0FA8F4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7D2E101-FCCD-4C5D-84E3-DA86C5F0E8F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EDD9BC0-A6CC-4041-BAE5-17CDD66795D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40BEAA6-9176-4F88-9E82-67342C0AA035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E421F472-AB0E-4CB0-862C-36C451DCA6D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3F1FA3B-ACEC-4267-B1A1-4614C4509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00EFA2D-29A4-4FEB-8868-10D48E7AFE37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23ABC9B3-3CDD-46A6-B0C7-A50ED4C65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103E975-D477-492F-8DF7-F39F921AE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27CE105-7DF9-4969-ACE4-A366A09079D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B095ECB-AFF5-4DDC-8FBD-2D3667D14E5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BE56521-7624-4972-BBD6-8202819C4733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A83A23D0-8365-45FB-8C6C-0F08E7BCF2F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F01DE87-7B3E-4742-BFBB-765F38CD7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B03ECA9-D160-4970-87CE-91315B1E38B1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C953B35-BC75-4737-847C-99D38A3D8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D2BECB3E-B2FE-48F1-ACF7-8BF6849FD0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5C2EAC6-35FF-4C7E-8CFA-BCDDD03ED134}"/>
            </a:ext>
          </a:extLst>
        </xdr:cNvPr>
        <xdr:cNvSpPr>
          <a:spLocks noChangeArrowheads="1"/>
        </xdr:cNvSpPr>
      </xdr:nvSpPr>
      <xdr:spPr bwMode="auto">
        <a:xfrm>
          <a:off x="1390383" y="28340"/>
          <a:ext cx="3998593" cy="533316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67873E5-598B-47E0-BDED-29A346F690FF}"/>
            </a:ext>
          </a:extLst>
        </xdr:cNvPr>
        <xdr:cNvSpPr/>
      </xdr:nvSpPr>
      <xdr:spPr>
        <a:xfrm>
          <a:off x="4983178" y="2642870"/>
          <a:ext cx="139222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3DFE954-2C03-4AB6-B3E4-0E44BB1BA3D7}"/>
            </a:ext>
          </a:extLst>
        </xdr:cNvPr>
        <xdr:cNvSpPr>
          <a:spLocks noChangeArrowheads="1"/>
        </xdr:cNvSpPr>
      </xdr:nvSpPr>
      <xdr:spPr bwMode="auto">
        <a:xfrm>
          <a:off x="4006849" y="8059348"/>
          <a:ext cx="21050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450B0B04-2D68-4651-8F7C-F3ABBF0EE82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733389" y="7300624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AEBC7FCD-FC55-4971-A4E1-4B0263DBE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8807" y="726170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35F872BD-20DE-48DB-8112-300F96A68F29}"/>
            </a:ext>
          </a:extLst>
        </xdr:cNvPr>
        <xdr:cNvSpPr>
          <a:spLocks noChangeArrowheads="1"/>
        </xdr:cNvSpPr>
      </xdr:nvSpPr>
      <xdr:spPr bwMode="auto">
        <a:xfrm>
          <a:off x="204493" y="9981028"/>
          <a:ext cx="6177257" cy="50790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F8C7859-9F71-4011-89E7-8EA49076E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2B695DB-2C3C-493D-9014-B7EDABF7C9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63530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700C7F1-E84B-4BDD-A2DF-93284E0D8FCC}"/>
            </a:ext>
          </a:extLst>
        </xdr:cNvPr>
        <xdr:cNvSpPr>
          <a:spLocks noChangeArrowheads="1"/>
        </xdr:cNvSpPr>
      </xdr:nvSpPr>
      <xdr:spPr bwMode="auto">
        <a:xfrm>
          <a:off x="1390383" y="28340"/>
          <a:ext cx="3998593" cy="533316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987D4B7-4F19-4FD4-9DA4-FC9D21051B67}"/>
            </a:ext>
          </a:extLst>
        </xdr:cNvPr>
        <xdr:cNvSpPr/>
      </xdr:nvSpPr>
      <xdr:spPr>
        <a:xfrm>
          <a:off x="4983178" y="2642870"/>
          <a:ext cx="139222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42A9F56-1C81-44FF-B43A-74562581AE1D}"/>
            </a:ext>
          </a:extLst>
        </xdr:cNvPr>
        <xdr:cNvSpPr>
          <a:spLocks noChangeArrowheads="1"/>
        </xdr:cNvSpPr>
      </xdr:nvSpPr>
      <xdr:spPr bwMode="auto">
        <a:xfrm>
          <a:off x="4006849" y="8059348"/>
          <a:ext cx="21050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15B2A70-2329-484C-A3BF-FC95AFA7268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733389" y="7300624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1561D049-A703-49AF-814F-9D1625B47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8807" y="726170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78BC44E-B647-4577-AC68-6E90CDADB344}"/>
            </a:ext>
          </a:extLst>
        </xdr:cNvPr>
        <xdr:cNvSpPr>
          <a:spLocks noChangeArrowheads="1"/>
        </xdr:cNvSpPr>
      </xdr:nvSpPr>
      <xdr:spPr bwMode="auto">
        <a:xfrm>
          <a:off x="204493" y="9981028"/>
          <a:ext cx="6177257" cy="50790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B54632D-6250-4C02-B905-4F000D9FF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FDBAE6C-9F93-4C69-BAC8-23B65E6681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63530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1BA5476-77B3-4416-925E-C95998E5834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CBCA373-297E-4732-B0F6-1BB1C897B25F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523EB54-2CC4-4A8F-9528-BB79E9BC2388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94BEFE8-DBA8-4DF1-AA3A-669D864956D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13BA563-41DE-4B40-9CCF-6FE1B59CF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833A7A2-A23C-43D5-862D-BFE345B8A774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2E38CA0-88E8-47CE-A375-B2387F923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F3C0147-B50F-4058-8228-CD5CB3330F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9DB88B8-5717-49AA-BD4C-3A0BA71B601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1AE04E9-67E1-444D-9C9E-1A29C854DE44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0CB9371-A337-4103-BAE4-D530DD65BC16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1251853-381F-4449-A3C0-16511E2E434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9CE2E7A-9908-47E6-AA1E-02EEE928F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66AA20E-2DA6-4D0D-AEBF-D747ABF6E615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801606F-7321-4688-B85F-2E1FF2E8B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B223A38-E3E1-4EFE-BBFD-2C80436354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9AB64C3-792C-4B97-B452-2A9B2DE3C20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1E74F7A-F0A2-4EE2-B61C-AA76909844B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A1C1430-59DB-4132-9CD9-77F1F2F060D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CEEE885-C29F-4634-A44A-C82900C6E49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A76331C-075D-44BE-A989-37E6EF84A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8202DDCD-3373-4F77-B49E-E507ECE1E801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388C58C-839E-4812-AF99-9A99F631D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3D1A763-A6E4-42F2-B693-52000F72AF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010B0B4-28C6-4582-A633-758007E8EE7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8190FED-F706-46A8-A08E-6299BD4012A9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041704AE-4314-4D93-BAD2-AF9BBE56727D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E4A0C29-5D9C-405C-AA32-3A08E6D8183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330FEC8-7749-465B-A761-54E84A88A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ABD74CB-18E2-4B30-A572-D9E6315511EA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85B8B0B-9BC6-4977-B6CF-8FC14B05F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908E23C2-43F4-4E1B-B643-8E831A3D2D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9A01D91-B7F8-4380-81CE-2FC8BF0CDD3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E26B62B-96FB-408D-BE55-65E55DE3C4DC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642B57B-C2A2-4622-AC2F-53D6FF8F11B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4AB07C9-42BB-42C0-8087-EA53BBE4E2C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49A9C9E-A7D0-4996-9FEA-234305E66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0048597-F581-4EE9-B45E-8E0D00B44FBB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60B116D-D9B1-4DB0-8369-BB48E2CDD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9F6495B-849A-440D-9148-0F421AA1F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9FB1978-319F-4876-B3E7-56D3AB63D15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F2C98D1-EE30-4628-9ABD-36F325BF1DD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4CF843C-B354-47CE-8FC5-CF12BB34E3EF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7B98A32-43A4-42E0-82F6-942FD4393C1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3048E1A-88C8-4B05-BCFA-37857D873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3D19B1E8-CD03-483E-8DDA-9321B019578F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C40BDB0-7116-4CB1-B044-8BEC3B99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7A08E69-F547-4C77-8425-C0507E598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1653CAE-F9BA-41DC-B37F-2433007490A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7B28854-46E1-473E-BE22-CCA9E53B168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C5B47D9-8216-446C-BD02-C9B202E5AB0C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94AC14F-B76C-4AF3-8608-B38649ABE41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F093050-E9DC-4645-B0B5-D32FE3DEB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12E669C-A6EF-4EB4-BD69-7F6093BBCF9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3FCBF81-C609-4F51-8017-AB79568FB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1FE7CEB-33FA-47B7-A386-E5D71B67FC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A2B582F3-9769-44E3-8B9A-FB337078195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19A43AE-92E2-40A2-A1C5-FB3396DF592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BED9EFA-0732-4798-B92B-A8C7645D79E7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A9F4F3E-01F8-48B7-B801-AFC28450FDC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D2C2075-4B55-4B79-84CA-45B12C3F3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50ADFFE-9868-4C78-951C-8C85089837AB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BBBBBF5-6294-4470-91FE-97103B2FA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A01313E-4545-4945-8E47-E924A71002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B83661F-E728-4AF4-A5B1-D4CA7191926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8DA7F04D-52A2-413A-B524-E806137D51E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1C04070-911C-40C2-BEFE-1DFA791F4437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0B14EC3-6AFD-4114-BF9C-B6C814FDE61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B89290E-E0CB-43D5-B740-FFD1F1E64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27B9277-EE2D-4A4A-BA1B-2302BDD7B3C8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03AB026-E473-46A4-8A51-054E555A2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55E08BF-DEA6-42FD-B39B-408AF8B477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2D96793-1ED7-44F9-9189-92FB1E16620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708CA86-A321-4B5A-98AE-BE0CDE09C2D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6F47C6E-D0CF-4C36-B0B0-1244312E3B7E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710E299-0FF3-4633-8315-091F53B46DF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51DA983-3C72-4535-934A-A9DDF5F45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12CEFF4-B05A-468A-8521-BBF62CAA6877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262ADEF4-FC6C-433B-B58B-E05F3E1A1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08F2D46-E094-4BED-8482-C5EA43AC10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32088B2-01F0-45E1-AD1B-0F3516F73D9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2D3411D-B26C-4BCA-905B-D5F545FA57A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9388AAC-C3CF-4A2D-88E5-A950950B92B1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4D91108-753C-492A-8A72-50337BF8136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29C00BC4-9562-496F-BD03-F2EA69FC4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7CACD61-999B-487E-A9E8-6E6684CDC49B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77D83AC-F967-459F-AF0E-670619CB9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1C90881-C3FD-40A6-B3E6-D974773455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EEFC96E-3BC6-4D9A-A251-9C6B0C9A614C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B185A3E-3C1C-45A5-85A4-E876DAC569B4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62B50CA-FFF5-4100-B102-AF45C79B0BE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808D5B3-3DF4-42A6-AE44-97CC4A43C43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382DC6A0-1C3F-48B3-A59D-ED40D1F9D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21D044D-C48B-47CE-8424-AEF60C4ECFCC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077AF63-11CB-450B-BA3D-88C0E9C18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2D759D4-AE66-4553-8150-FE1F666BED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45155B3-72BE-4177-A8C5-787618EB575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7781D63-075A-4B1B-BF91-F0027AED516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642B1EA-1876-4C59-B081-045D4F89EC96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9F8F34A-1E42-4A31-8950-5612A783864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72A057E-EB0C-4A31-B409-4D76F61EF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5F04353-B755-44F0-BAB2-6D6C132CEA12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7EC921C-3A27-4A9B-9334-1CD07340B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704FE15-2B17-4D56-A1CC-F0D1D35D5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C7C096A-5ABC-4BD0-B729-DCD0C901BAE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77FF2D7-D92B-4241-ACD1-9E34ADDCC99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2043C71-E847-47D4-BDEE-B4A54C892BC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7FD1011B-5650-40F6-A754-5649CBF0E7D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9E488BD8-AA94-48A7-96EE-CA668406C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67</xdr:row>
      <xdr:rowOff>67408</xdr:rowOff>
    </xdr:from>
    <xdr:to>
      <xdr:col>7</xdr:col>
      <xdr:colOff>285750</xdr:colOff>
      <xdr:row>70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86959CC-75DF-45C5-9E7B-0F31E96BB392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43B2710-5141-47F0-8434-084DD14F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2C90A1E-70DA-464B-86D5-081D8CD79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119869F-CAA3-4CDF-9AE2-7C9B664E530C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E22E065-0B18-4F80-9DA1-9F3172095FFB}"/>
            </a:ext>
          </a:extLst>
        </xdr:cNvPr>
        <xdr:cNvSpPr/>
      </xdr:nvSpPr>
      <xdr:spPr>
        <a:xfrm>
          <a:off x="54327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1D85A31-7A7C-42AA-9150-A74F54729DBD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4765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510003</xdr:colOff>
      <xdr:row>47</xdr:row>
      <xdr:rowOff>54004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D7DBB69-AD2B-4E83-950E-1D45B748FFD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10553" y="74168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31898355-D2EE-47FE-866A-7FD447F26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0EE1FCB-D573-4C50-9ACE-DAC0B833997E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5963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08C2E90-6F62-46C1-BDF0-FCC4B9FB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D4E4FCD-D0BE-465D-99EA-DA00D816E3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4C58423-6741-4C0B-94EA-5CB505D6A47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B843925-C7D3-43DC-8F38-B122C6B1309A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880BEB60-33AE-4EBD-BFDD-CA218E7EAF47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DBE8585-E0E0-4E3B-A57E-9EB92A132DB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8AEE3B42-E878-4A5B-B6D2-1FA8DC16F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51892CE-7998-477B-8D1C-D29CF693AC45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3EAE937-1B69-42FB-ADC6-306A843D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AC831CC-12F2-4F41-A10C-C239B69045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A6FF9027-6126-485A-9D5D-4C7E7E2CE385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1F3F0CB-6E97-434F-B542-702E88E35634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3B71728-9415-4AF1-9645-DD85BB260DCF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9B7F8BD-2A35-4DB3-B8E2-07831BFE6D0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142B45B8-AC98-4813-9171-F5693C222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67</xdr:row>
      <xdr:rowOff>67408</xdr:rowOff>
    </xdr:from>
    <xdr:to>
      <xdr:col>7</xdr:col>
      <xdr:colOff>285750</xdr:colOff>
      <xdr:row>70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5F55443-6F7F-4EF1-B069-C8EDFCDDDB40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14AE1F3-ED23-453E-BA7F-55006D063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370D990-FFD5-4B30-9A66-C900B8E8C0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593A0AF-FAFB-44D4-9D5B-62C6B01530B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767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F542D06-0723-434B-A4BD-BF93BAB45012}"/>
            </a:ext>
          </a:extLst>
        </xdr:cNvPr>
        <xdr:cNvSpPr/>
      </xdr:nvSpPr>
      <xdr:spPr>
        <a:xfrm>
          <a:off x="54422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19C9EB3-1522-49CA-9C62-BCE98273E2C3}"/>
            </a:ext>
          </a:extLst>
        </xdr:cNvPr>
        <xdr:cNvSpPr>
          <a:spLocks noChangeArrowheads="1"/>
        </xdr:cNvSpPr>
      </xdr:nvSpPr>
      <xdr:spPr bwMode="auto">
        <a:xfrm>
          <a:off x="3835399" y="8099353"/>
          <a:ext cx="27051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B15D0F5-ECEB-4894-827E-0DE6884069B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EA73D4C-B1DF-487A-9DF0-46E4DB1AA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F4D4921-8ADA-43D3-905D-3D2D1F4F822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6058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F9699A56-446D-4FC8-BAC0-A8627A8D0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5E7EB54E-BFAC-44BD-8F7B-68633A3658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94414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B96C9ED-9990-4290-A381-11000B557A6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2056CC8-76F1-42CB-BD39-F1A5B7B372F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AAD7B041-4AFE-46FE-8F88-5AF9886C5D5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CE987C12-B8FF-4F15-8129-35F0D58D443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F3F8FFA-409A-4A44-8B11-FE5174773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9A73A2D-1A8C-478A-B225-19265B9653B6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8BDCDEE-B678-4FA9-9D19-7A77E2C81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ACE20CE-98BA-48A2-B92F-CB4306F8C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C3D67EB-D36A-4688-A054-F67C24A6EEE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227D6D6-4F45-41CF-8EC1-57B22060D12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B7EA5DC-3AA4-418C-982A-C8207E928E9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4499D08B-2633-4919-8FCB-225E30A01C6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B26A26F-A137-4F1D-B200-9D80364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0394EB7-513A-4616-A987-C031E8B0CEA1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E494642-D58F-41C7-8C43-F65E98392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7C48FAD-8796-444E-BB4E-754FD104D3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C5135E9-A6BB-40C5-8522-33B6B7E2C48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7DB23D9-5003-407B-BEFD-BC1565B95A89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FFA747F-6602-4CD0-820F-F4372D539B27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F2D5A95E-557B-4B87-A7A9-DFE74E0B26C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AE1A5F8-9C3C-4711-B95C-01BD0133A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DE47B4A-5E5E-4728-94EE-EA83AD2DF735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4C6B282-24B1-49E4-8B90-78E849001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C07B474F-AAF4-4780-9875-1E31CDEDB6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4D3BBFA-C195-4D3D-A08E-FE8A33FB5AA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8E7E463-DD04-407C-9C69-3B34C7FA5A01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53A4421-51BF-4D20-A4AE-2CB3B45F2C5E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DEF3CC60-9FE3-4EE7-A7C2-FC38BE8D1A4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1BFACDB1-24C4-4E1A-8DAF-06BA08E6C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DCC46A8-E7ED-45B4-B0A3-07D4DA43C4AF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C0A9466-1635-44A8-A771-0EDEA13A4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83B99CE-E4BD-40DB-890C-000E49586F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EAE231A-10B3-4942-BF8D-97AEFE2A2B9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73AA33F-DDB4-4A77-BAF6-9C3D424C505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6E577B6-EEEA-47C8-965F-5BC0073381A3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EF0858C2-4EDC-4911-8CD9-CDC4E31CABD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8B7B594-4570-49EC-9074-34C0666B3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06AB1C2-E162-4A45-B6F7-207345E82E70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F1967A1-7F8C-4A91-A4C4-4DDFFC4EE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139DAF1-4140-4D65-8092-A6C123933F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53AA0F7-36A8-4315-8F62-F3E586D98C7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F388892-FCFF-4792-95F4-00161FDAB04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C816650-AA1D-4CFB-9570-991A2E371701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3C112746-9392-49E0-8E01-675FFD45E57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6D7D294-B4FA-4199-9AEE-A3928B1F1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4D1685A2-E4FC-4440-8420-44640139FE3B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BE9A002-AF7B-460B-8098-9C19ABE7F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7CAF8EE-1BD7-41E5-AD43-7DFA0135B6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3DF6A85-21D1-4FF6-825E-B0ADCB6E3B2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1C4E0B2-D180-462B-A31C-C2DBE7E96709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FF7A26C-313E-424D-9DC2-FA3E6594114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6</xdr:col>
      <xdr:colOff>43278</xdr:colOff>
      <xdr:row>51</xdr:row>
      <xdr:rowOff>34954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3A23FE9F-266F-4E4A-A067-4ADF65D3CD2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862928" y="861697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3DA64A53-3F29-48DA-B5F7-B276A4568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B1F6ACE-8193-4EB4-A67B-A4FEDB2FE456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91FE4D7-EB24-48A5-833A-02BE24120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8E503D8-FC20-4FEA-8639-74656DFEFB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1FD962B-CC5F-4852-9E08-90413E1E41C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685ABD9-E985-4EE0-A04C-4A0E795AEE07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67C29C0-14C4-4973-97D3-46A1A256DEE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C3D9306-7E44-424B-83FA-AB7E6CEEB01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3E04774-D482-4C1D-A97A-694040CE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CFEDE42-B56E-4086-95F8-E3250B3C05B3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D2504B7-74B9-4C0B-ABEB-FD72622C3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8CED16E-7A6C-4626-9DDD-A9D209271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A6D2CDB-4C68-4BAA-9F78-8B349D8C89DA}"/>
            </a:ext>
          </a:extLst>
        </xdr:cNvPr>
        <xdr:cNvSpPr>
          <a:spLocks noChangeArrowheads="1"/>
        </xdr:cNvSpPr>
      </xdr:nvSpPr>
      <xdr:spPr bwMode="auto">
        <a:xfrm>
          <a:off x="1466583" y="28340"/>
          <a:ext cx="3533773" cy="563796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370ED78-3AFD-4CBC-A8CB-264AE6CDD787}"/>
            </a:ext>
          </a:extLst>
        </xdr:cNvPr>
        <xdr:cNvSpPr/>
      </xdr:nvSpPr>
      <xdr:spPr>
        <a:xfrm>
          <a:off x="4594558" y="3092450"/>
          <a:ext cx="1018841" cy="4381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645409C-A273-40E6-95DE-BD298C7C21BF}"/>
            </a:ext>
          </a:extLst>
        </xdr:cNvPr>
        <xdr:cNvSpPr>
          <a:spLocks noChangeArrowheads="1"/>
        </xdr:cNvSpPr>
      </xdr:nvSpPr>
      <xdr:spPr bwMode="auto">
        <a:xfrm>
          <a:off x="3806824" y="10604428"/>
          <a:ext cx="1543051" cy="6631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D0BE6C7-754B-4E51-B396-001A066ABDF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396202" y="966473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7A62157-75C0-48B0-ACAA-8857AF7E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0187" y="756650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4672A49-475D-4F8F-979A-5D05A3C9CE20}"/>
            </a:ext>
          </a:extLst>
        </xdr:cNvPr>
        <xdr:cNvSpPr>
          <a:spLocks noChangeArrowheads="1"/>
        </xdr:cNvSpPr>
      </xdr:nvSpPr>
      <xdr:spPr bwMode="auto">
        <a:xfrm>
          <a:off x="204493" y="13402408"/>
          <a:ext cx="541525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1707DC5-D351-41DF-B8EA-DE4BA0C9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CCB7A66-B965-485F-8BD5-D87259F916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246689" y="27552"/>
          <a:ext cx="679694" cy="575700"/>
        </a:xfrm>
        <a:prstGeom prst="rect">
          <a:avLst/>
        </a:prstGeom>
      </xdr:spPr>
    </xdr:pic>
    <xdr:clientData/>
  </xdr:one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557BFEE-295B-42A5-82EF-7611C062B47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F0EB139-305E-44CD-8B19-17770216528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3D4EB0F-0480-4546-985C-44C54B8C3EF4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EA8F45B-4B18-4AF4-A57C-B2306DD40F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8FD7CD0-5D00-4245-B9E1-F23C7F40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FE60251-9B0E-4BC2-8AD7-804C151411CB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8F0DDA1-AF5C-4889-B5E8-4EB6BBB9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7F115D9-280A-4F45-8EDE-56595FEEA0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chemeClr val="tx1"/>
            </a:solidFill>
          </a:defRPr>
        </a:defPPr>
      </a:lstStyle>
      <a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planosperu.com.p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planosperu.com.p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lanosperu.com.pe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planosperu.com.pe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planosperu.com.p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planosperu.com.pe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planosperu.com.pe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planosperu.com.pe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planosperu.com.pe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planosperu.com.pe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planosperu.com.pe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planosperu.com.pe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www.planosperu.com.pe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ww.planosperu.com.pe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www.planosperu.com.pe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ww.planosperu.com.pe/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planosperu.com.pe/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www.planosperu.com.pe/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www.planosperu.com.pe/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www.planosperu.com.pe/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planosperu.com.pe/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planosperu.com.pe/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planosperu.com.pe/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s://www.planosperu.com.pe/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s://www.planosperu.com.pe/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planosperu.com.pe/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planosperu.com.pe/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s://www.planosperu.com.pe/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s://www.planosperu.com.pe/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https://www.planosperu.com.pe/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s://www.planosperu.com.pe/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s://www.planosperu.com.pe/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s://www.planosperu.com.pe/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s://www.planosperu.com.pe/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s://www.planosperu.com.pe/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s://www.planosperu.com.pe/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s://www.planosperu.com.pe/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planosperu.com.pe/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planosperu.com.pe/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s://www.planosperu.com.pe/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www.planosperu.com.pe/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planosperu.com.pe/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s://www.planosperu.com.pe/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s://www.planosperu.com.pe/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s://www.planosperu.com.pe/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s://www.planosperu.com.pe/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planosperu.com.pe/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0E08F-0A87-47C0-BD0C-A2BF073E11F0}">
  <sheetPr codeName="Hoja12">
    <tabColor theme="1"/>
    <pageSetUpPr fitToPage="1"/>
  </sheetPr>
  <dimension ref="A3:H80"/>
  <sheetViews>
    <sheetView showGridLines="0" tabSelected="1" showRuler="0" view="pageBreakPreview" topLeftCell="A53" zoomScale="130" zoomScaleNormal="50" zoomScaleSheetLayoutView="13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9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11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22" t="s">
        <v>35</v>
      </c>
      <c r="F26" s="123"/>
      <c r="G26" s="124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37" t="s">
        <v>38</v>
      </c>
      <c r="C28" s="138"/>
      <c r="D28" s="13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44"/>
      <c r="F29" s="144"/>
      <c r="G29" s="153"/>
      <c r="H29" s="5"/>
    </row>
    <row r="30" spans="1:8" s="2" customFormat="1" ht="12" customHeight="1" x14ac:dyDescent="0.25">
      <c r="A30" s="32"/>
      <c r="B30" s="128" t="s">
        <v>41</v>
      </c>
      <c r="C30" s="129"/>
      <c r="D30" s="130"/>
      <c r="E30" s="53" t="s">
        <v>49</v>
      </c>
      <c r="F30" s="54"/>
      <c r="G30" s="55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47" t="s">
        <v>747</v>
      </c>
      <c r="C32" s="148"/>
      <c r="D32" s="149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28" t="s">
        <v>459</v>
      </c>
      <c r="C34" s="129"/>
      <c r="D34" s="130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289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140"/>
      <c r="F45" s="141"/>
      <c r="G45" s="142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22" t="s">
        <v>64</v>
      </c>
      <c r="F47" s="123"/>
      <c r="G47" s="124"/>
      <c r="H47" s="5"/>
    </row>
    <row r="48" spans="1:8" s="2" customFormat="1" ht="12" customHeight="1" x14ac:dyDescent="0.25">
      <c r="A48" s="5"/>
      <c r="B48" s="107" t="s">
        <v>65</v>
      </c>
      <c r="C48" s="108"/>
      <c r="D48" s="109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107" t="s">
        <v>67</v>
      </c>
      <c r="C49" s="108"/>
      <c r="D49" s="109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720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 t="e">
        <f>C61+C62+C63</f>
        <v>#VALUE!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 t="s">
        <v>287</v>
      </c>
      <c r="D62" s="96" t="s">
        <v>460</v>
      </c>
      <c r="E62" s="96"/>
      <c r="F62" s="96"/>
      <c r="G62" s="35">
        <f ca="1">E17+8</f>
        <v>45769</v>
      </c>
      <c r="H62" s="7" t="s">
        <v>81</v>
      </c>
    </row>
    <row r="63" spans="1:8" s="2" customFormat="1" ht="12" customHeight="1" x14ac:dyDescent="0.25">
      <c r="A63" s="9"/>
      <c r="B63" s="8" t="s">
        <v>78</v>
      </c>
      <c r="C63" s="37"/>
      <c r="D63" s="96" t="s">
        <v>80</v>
      </c>
      <c r="E63" s="96"/>
      <c r="F63" s="96"/>
      <c r="G63" s="35">
        <f ca="1">E17+35</f>
        <v>45796</v>
      </c>
      <c r="H63" s="7" t="s">
        <v>81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47:D47"/>
    <mergeCell ref="E47:G47"/>
    <mergeCell ref="B37:D37"/>
    <mergeCell ref="B38:D38"/>
    <mergeCell ref="B39:D39"/>
    <mergeCell ref="E39:G39"/>
    <mergeCell ref="B40:D40"/>
    <mergeCell ref="E40:G40"/>
    <mergeCell ref="B45:D45"/>
    <mergeCell ref="E45:G45"/>
    <mergeCell ref="B46:G46"/>
    <mergeCell ref="B41:D41"/>
    <mergeCell ref="B42:D42"/>
    <mergeCell ref="B43:D43"/>
    <mergeCell ref="B44:D44"/>
    <mergeCell ref="E37:G38"/>
    <mergeCell ref="B60:G60"/>
    <mergeCell ref="B48:D48"/>
    <mergeCell ref="E48:G48"/>
    <mergeCell ref="B49:D49"/>
    <mergeCell ref="E49:G49"/>
    <mergeCell ref="B50:D50"/>
    <mergeCell ref="E50:G50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E41:G42"/>
    <mergeCell ref="E43:G43"/>
    <mergeCell ref="E44:G44"/>
    <mergeCell ref="B67:E67"/>
    <mergeCell ref="F67:H67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</mergeCells>
  <hyperlinks>
    <hyperlink ref="D7" r:id="rId1" xr:uid="{3DC98454-C1AA-4F2D-827F-07CED43C60BC}"/>
  </hyperlinks>
  <printOptions horizontalCentered="1"/>
  <pageMargins left="0.59055118110236227" right="0.59055118110236227" top="0.39370078740157483" bottom="0.39370078740157483" header="0" footer="0"/>
  <pageSetup paperSize="9" scale="9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192B-B60E-4EA4-806D-6C8FBDCBC059}">
  <sheetPr codeName="Hoja11">
    <tabColor theme="1"/>
    <pageSetUpPr fitToPage="1"/>
  </sheetPr>
  <dimension ref="A3:H80"/>
  <sheetViews>
    <sheetView showGridLines="0" showRuler="0" view="pageBreakPreview" topLeftCell="A54" zoomScale="145" zoomScaleNormal="5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88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89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288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84" t="s">
        <v>318</v>
      </c>
      <c r="C29" s="185"/>
      <c r="D29" s="185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53" t="s">
        <v>430</v>
      </c>
      <c r="F31" s="54"/>
      <c r="G31" s="55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28" t="s">
        <v>48</v>
      </c>
      <c r="C34" s="129"/>
      <c r="D34" s="130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289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77" t="s">
        <v>47</v>
      </c>
      <c r="C45" s="178"/>
      <c r="D45" s="179"/>
      <c r="E45" s="140"/>
      <c r="F45" s="141"/>
      <c r="G45" s="142"/>
      <c r="H45" s="5"/>
    </row>
    <row r="46" spans="1:8" s="2" customFormat="1" ht="12" customHeight="1" x14ac:dyDescent="0.25">
      <c r="B46" s="180" t="s">
        <v>62</v>
      </c>
      <c r="C46" s="145"/>
      <c r="D46" s="145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22" t="s">
        <v>64</v>
      </c>
      <c r="F47" s="123"/>
      <c r="G47" s="124"/>
      <c r="H47" s="5"/>
    </row>
    <row r="48" spans="1:8" s="2" customFormat="1" ht="12" customHeight="1" x14ac:dyDescent="0.25">
      <c r="A48" s="5"/>
      <c r="B48" s="107" t="s">
        <v>65</v>
      </c>
      <c r="C48" s="108"/>
      <c r="D48" s="109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107" t="s">
        <v>67</v>
      </c>
      <c r="C49" s="108"/>
      <c r="D49" s="109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720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467</v>
      </c>
      <c r="E62" s="96"/>
      <c r="F62" s="96"/>
      <c r="G62" s="35">
        <f ca="1">E17+8</f>
        <v>45769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96" t="s">
        <v>468</v>
      </c>
      <c r="E63" s="96"/>
      <c r="F63" s="96"/>
      <c r="G63" s="35">
        <f ca="1">E17+35</f>
        <v>45796</v>
      </c>
      <c r="H63" s="7" t="s">
        <v>81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47:D47"/>
    <mergeCell ref="E47:G47"/>
    <mergeCell ref="B37:D37"/>
    <mergeCell ref="B38:D38"/>
    <mergeCell ref="B39:D39"/>
    <mergeCell ref="E39:G39"/>
    <mergeCell ref="B40:D40"/>
    <mergeCell ref="E40:G40"/>
    <mergeCell ref="B45:D45"/>
    <mergeCell ref="E45:G45"/>
    <mergeCell ref="B46:G46"/>
    <mergeCell ref="B41:D41"/>
    <mergeCell ref="B42:D42"/>
    <mergeCell ref="B43:D43"/>
    <mergeCell ref="B44:D44"/>
    <mergeCell ref="E37:G38"/>
    <mergeCell ref="B60:G60"/>
    <mergeCell ref="B48:D48"/>
    <mergeCell ref="E48:G48"/>
    <mergeCell ref="B49:D49"/>
    <mergeCell ref="E49:G49"/>
    <mergeCell ref="B50:D50"/>
    <mergeCell ref="E50:G50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E41:G42"/>
    <mergeCell ref="E43:G43"/>
    <mergeCell ref="E44:G44"/>
    <mergeCell ref="B67:E67"/>
    <mergeCell ref="F67:H67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</mergeCells>
  <hyperlinks>
    <hyperlink ref="D7" r:id="rId1" xr:uid="{C851D211-F47F-466A-9D92-FBB2DE48B8FF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77FDA-0800-48EE-93D7-34204C7B56D6}">
  <sheetPr codeName="Hoja13">
    <tabColor theme="1"/>
    <pageSetUpPr fitToPage="1"/>
  </sheetPr>
  <dimension ref="A3:H80"/>
  <sheetViews>
    <sheetView showGridLines="0" showRuler="0" view="pageBreakPreview" topLeftCell="A55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90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260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33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90" t="s">
        <v>45</v>
      </c>
      <c r="C32" s="191"/>
      <c r="D32" s="192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90"/>
      <c r="C33" s="191"/>
      <c r="D33" s="192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37" t="s">
        <v>53</v>
      </c>
      <c r="C37" s="138"/>
      <c r="D37" s="139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289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77" t="s">
        <v>47</v>
      </c>
      <c r="C45" s="178"/>
      <c r="D45" s="179"/>
      <c r="E45" s="140"/>
      <c r="F45" s="141"/>
      <c r="G45" s="142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22" t="s">
        <v>64</v>
      </c>
      <c r="F47" s="123"/>
      <c r="G47" s="124"/>
      <c r="H47" s="5"/>
    </row>
    <row r="48" spans="1:8" s="2" customFormat="1" ht="12" customHeight="1" x14ac:dyDescent="0.25">
      <c r="A48" s="5"/>
      <c r="B48" s="107" t="s">
        <v>65</v>
      </c>
      <c r="C48" s="108"/>
      <c r="D48" s="109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107" t="s">
        <v>67</v>
      </c>
      <c r="C49" s="108"/>
      <c r="D49" s="109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720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477</v>
      </c>
      <c r="E62" s="96"/>
      <c r="F62" s="96"/>
      <c r="G62" s="35">
        <f ca="1">E$17+8</f>
        <v>45769</v>
      </c>
      <c r="H62" s="9"/>
    </row>
    <row r="63" spans="1:8" s="2" customFormat="1" ht="12" customHeight="1" x14ac:dyDescent="0.25">
      <c r="A63" s="9"/>
      <c r="B63" s="8" t="s">
        <v>78</v>
      </c>
      <c r="C63" s="37"/>
      <c r="D63" s="96" t="s">
        <v>478</v>
      </c>
      <c r="E63" s="96"/>
      <c r="F63" s="96"/>
      <c r="G63" s="35">
        <f ca="1">E$17+35</f>
        <v>45796</v>
      </c>
      <c r="H63" s="7" t="s">
        <v>81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47:D47"/>
    <mergeCell ref="E47:G47"/>
    <mergeCell ref="B37:D37"/>
    <mergeCell ref="B38:D38"/>
    <mergeCell ref="B39:D39"/>
    <mergeCell ref="E39:G39"/>
    <mergeCell ref="B40:D40"/>
    <mergeCell ref="E40:G40"/>
    <mergeCell ref="B45:D45"/>
    <mergeCell ref="E45:G45"/>
    <mergeCell ref="B46:G46"/>
    <mergeCell ref="B41:D41"/>
    <mergeCell ref="B42:D42"/>
    <mergeCell ref="B43:D43"/>
    <mergeCell ref="B44:D44"/>
    <mergeCell ref="E37:G38"/>
    <mergeCell ref="B60:G60"/>
    <mergeCell ref="B48:D48"/>
    <mergeCell ref="E48:G48"/>
    <mergeCell ref="B49:D49"/>
    <mergeCell ref="E49:G49"/>
    <mergeCell ref="B50:D50"/>
    <mergeCell ref="E50:G50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E41:G42"/>
    <mergeCell ref="E43:G43"/>
    <mergeCell ref="E44:G44"/>
    <mergeCell ref="B67:E67"/>
    <mergeCell ref="F67:H67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</mergeCells>
  <hyperlinks>
    <hyperlink ref="D7" r:id="rId1" xr:uid="{CB493C5F-18B9-4F76-ABE4-E22C3ED708D1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637F0-63A8-4678-8F51-9A83C38D9BA5}">
  <sheetPr codeName="Hoja14">
    <tabColor theme="1"/>
    <pageSetUpPr fitToPage="1"/>
  </sheetPr>
  <dimension ref="A3:H80"/>
  <sheetViews>
    <sheetView showGridLines="0" showRuler="0" view="pageBreakPreview" topLeftCell="A52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91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92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22" t="s">
        <v>23</v>
      </c>
      <c r="C20" s="123"/>
      <c r="D20" s="124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33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90" t="s">
        <v>747</v>
      </c>
      <c r="C32" s="191"/>
      <c r="D32" s="192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90"/>
      <c r="C33" s="191"/>
      <c r="D33" s="192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28" t="s">
        <v>48</v>
      </c>
      <c r="C34" s="129"/>
      <c r="D34" s="130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54" t="s">
        <v>53</v>
      </c>
      <c r="C37" s="155"/>
      <c r="D37" s="156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291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140"/>
      <c r="F45" s="141"/>
      <c r="G45" s="142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22" t="s">
        <v>64</v>
      </c>
      <c r="F47" s="123"/>
      <c r="G47" s="124"/>
      <c r="H47" s="5"/>
    </row>
    <row r="48" spans="1:8" s="2" customFormat="1" ht="12" customHeight="1" x14ac:dyDescent="0.25">
      <c r="A48" s="5"/>
      <c r="B48" s="107" t="s">
        <v>65</v>
      </c>
      <c r="C48" s="108"/>
      <c r="D48" s="109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107" t="s">
        <v>67</v>
      </c>
      <c r="C49" s="108"/>
      <c r="D49" s="109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461</v>
      </c>
      <c r="E62" s="96"/>
      <c r="F62" s="96"/>
      <c r="G62" s="35">
        <f ca="1">E17+7</f>
        <v>45768</v>
      </c>
      <c r="H62" s="7" t="s">
        <v>81</v>
      </c>
    </row>
    <row r="63" spans="1:8" s="2" customFormat="1" ht="12" customHeight="1" x14ac:dyDescent="0.25">
      <c r="A63" s="9"/>
      <c r="B63" s="8" t="s">
        <v>78</v>
      </c>
      <c r="C63" s="37"/>
      <c r="D63" s="96" t="s">
        <v>93</v>
      </c>
      <c r="E63" s="96"/>
      <c r="F63" s="96"/>
      <c r="G63" s="35">
        <f ca="1">+G62+26</f>
        <v>45794</v>
      </c>
      <c r="H63" s="7" t="s">
        <v>81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47:D47"/>
    <mergeCell ref="E47:G47"/>
    <mergeCell ref="B37:D37"/>
    <mergeCell ref="B38:D38"/>
    <mergeCell ref="B39:D39"/>
    <mergeCell ref="E39:G39"/>
    <mergeCell ref="B40:D40"/>
    <mergeCell ref="E40:G40"/>
    <mergeCell ref="B45:D45"/>
    <mergeCell ref="E45:G45"/>
    <mergeCell ref="B46:G46"/>
    <mergeCell ref="B41:D41"/>
    <mergeCell ref="B42:D42"/>
    <mergeCell ref="B43:D43"/>
    <mergeCell ref="B44:D44"/>
    <mergeCell ref="E37:G38"/>
    <mergeCell ref="B60:G60"/>
    <mergeCell ref="B48:D48"/>
    <mergeCell ref="E48:G48"/>
    <mergeCell ref="B49:D49"/>
    <mergeCell ref="E49:G49"/>
    <mergeCell ref="B50:D50"/>
    <mergeCell ref="E50:G50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E41:G42"/>
    <mergeCell ref="E43:G43"/>
    <mergeCell ref="E44:G44"/>
    <mergeCell ref="B67:E67"/>
    <mergeCell ref="F67:H67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</mergeCells>
  <hyperlinks>
    <hyperlink ref="D7" r:id="rId1" xr:uid="{8E5147DD-8E67-442A-B975-6C73EA880825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735F-A654-4D96-A934-F0276B80E5C0}">
  <sheetPr codeName="Hoja7">
    <tabColor theme="1"/>
    <pageSetUpPr fitToPage="1"/>
  </sheetPr>
  <dimension ref="A3:H79"/>
  <sheetViews>
    <sheetView showGridLines="0" showRuler="0" view="pageBreakPreview" topLeftCell="A57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94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95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96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22" t="s">
        <v>29</v>
      </c>
      <c r="F23" s="123"/>
      <c r="G23" s="124"/>
      <c r="H23" s="5"/>
    </row>
    <row r="24" spans="1:8" s="2" customFormat="1" ht="12" customHeight="1" x14ac:dyDescent="0.25">
      <c r="A24" s="5"/>
      <c r="B24" s="122" t="s">
        <v>293</v>
      </c>
      <c r="C24" s="123"/>
      <c r="D24" s="124"/>
      <c r="E24" s="154" t="s">
        <v>30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28" t="s">
        <v>38</v>
      </c>
      <c r="C28" s="129"/>
      <c r="D28" s="130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85"/>
      <c r="F38" s="86"/>
      <c r="G38" s="87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28" t="s">
        <v>292</v>
      </c>
      <c r="C44" s="129"/>
      <c r="D44" s="130"/>
      <c r="E44" s="91"/>
      <c r="F44" s="92"/>
      <c r="G44" s="93"/>
      <c r="H44" s="5"/>
    </row>
    <row r="45" spans="1:8" s="2" customFormat="1" ht="12" customHeight="1" x14ac:dyDescent="0.25">
      <c r="A45" s="5"/>
      <c r="B45" s="177" t="s">
        <v>47</v>
      </c>
      <c r="C45" s="178"/>
      <c r="D45" s="179"/>
      <c r="E45" s="196"/>
      <c r="F45" s="197"/>
      <c r="G45" s="198"/>
      <c r="H45" s="5"/>
    </row>
    <row r="46" spans="1:8" s="2" customFormat="1" ht="12" customHeight="1" x14ac:dyDescent="0.25">
      <c r="B46" s="180" t="s">
        <v>62</v>
      </c>
      <c r="C46" s="145"/>
      <c r="D46" s="145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502</v>
      </c>
      <c r="C47" s="199"/>
      <c r="D47" s="200"/>
      <c r="E47" s="154" t="s">
        <v>64</v>
      </c>
      <c r="F47" s="155"/>
      <c r="G47" s="156"/>
      <c r="H47" s="5"/>
    </row>
    <row r="48" spans="1:8" s="2" customFormat="1" ht="12" customHeight="1" x14ac:dyDescent="0.25">
      <c r="A48" s="5"/>
      <c r="B48" s="201"/>
      <c r="C48" s="202"/>
      <c r="D48" s="203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201"/>
      <c r="C49" s="202"/>
      <c r="D49" s="203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107" t="s">
        <v>69</v>
      </c>
      <c r="C50" s="108"/>
      <c r="D50" s="109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501</v>
      </c>
      <c r="E62" s="96"/>
      <c r="F62" s="96"/>
      <c r="G62" s="35">
        <f ca="1">E17+8</f>
        <v>45769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9">
    <mergeCell ref="B66:E66"/>
    <mergeCell ref="F66:H66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E48:G48"/>
    <mergeCell ref="E49:G49"/>
    <mergeCell ref="B50:D50"/>
    <mergeCell ref="E50:G50"/>
    <mergeCell ref="B47:D49"/>
    <mergeCell ref="E47:G47"/>
    <mergeCell ref="B37:D37"/>
    <mergeCell ref="B38:D38"/>
    <mergeCell ref="B39:D39"/>
    <mergeCell ref="E39:G39"/>
    <mergeCell ref="B40:D40"/>
    <mergeCell ref="E40:G40"/>
    <mergeCell ref="E37:G38"/>
    <mergeCell ref="B45:D45"/>
    <mergeCell ref="E45:G45"/>
    <mergeCell ref="B46:G46"/>
    <mergeCell ref="B44:D44"/>
    <mergeCell ref="B41:D41"/>
    <mergeCell ref="B42:D42"/>
    <mergeCell ref="B43:D43"/>
    <mergeCell ref="E41:G42"/>
    <mergeCell ref="E43:G43"/>
    <mergeCell ref="E44:G44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</mergeCells>
  <hyperlinks>
    <hyperlink ref="D7" r:id="rId1" xr:uid="{718168CA-B20E-49D0-94D7-4FEA3700DA2A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1B63-B16A-4980-9D6C-442948B9D3D2}">
  <sheetPr codeName="Hoja4">
    <tabColor theme="1"/>
    <pageSetUpPr fitToPage="1"/>
  </sheetPr>
  <dimension ref="A3:H80"/>
  <sheetViews>
    <sheetView showGridLines="0" view="pageBreakPreview" topLeftCell="A44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97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294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 t="s">
        <v>98</v>
      </c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96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22" t="s">
        <v>295</v>
      </c>
      <c r="F23" s="123"/>
      <c r="G23" s="124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34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296</v>
      </c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37" t="s">
        <v>38</v>
      </c>
      <c r="C28" s="138"/>
      <c r="D28" s="139"/>
      <c r="E28" s="204"/>
      <c r="F28" s="205"/>
      <c r="G28" s="206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297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28" t="s">
        <v>292</v>
      </c>
      <c r="C44" s="129"/>
      <c r="D44" s="130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207"/>
      <c r="F45" s="208"/>
      <c r="G45" s="209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54" t="s">
        <v>99</v>
      </c>
      <c r="F47" s="155"/>
      <c r="G47" s="156"/>
      <c r="H47" s="5"/>
    </row>
    <row r="48" spans="1:8" s="2" customFormat="1" ht="12" customHeight="1" x14ac:dyDescent="0.25">
      <c r="A48" s="5"/>
      <c r="B48" s="107" t="s">
        <v>65</v>
      </c>
      <c r="C48" s="108"/>
      <c r="D48" s="109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107" t="s">
        <v>100</v>
      </c>
      <c r="C49" s="108"/>
      <c r="D49" s="109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210" t="s">
        <v>69</v>
      </c>
      <c r="C50" s="211"/>
      <c r="D50" s="212"/>
      <c r="E50" s="116"/>
      <c r="F50" s="213"/>
      <c r="G50" s="214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101</v>
      </c>
      <c r="E62" s="96"/>
      <c r="F62" s="96"/>
      <c r="G62" s="35">
        <f ca="1">E17+8</f>
        <v>45769</v>
      </c>
      <c r="H62" s="7" t="s">
        <v>81</v>
      </c>
    </row>
    <row r="63" spans="1:8" s="2" customFormat="1" ht="12" customHeight="1" x14ac:dyDescent="0.25">
      <c r="A63" s="9"/>
      <c r="B63" s="8" t="s">
        <v>78</v>
      </c>
      <c r="C63" s="37"/>
      <c r="D63" s="96" t="s">
        <v>319</v>
      </c>
      <c r="E63" s="96"/>
      <c r="F63" s="96"/>
      <c r="G63" s="35">
        <f ca="1">E17+35</f>
        <v>45796</v>
      </c>
      <c r="H63" s="7" t="s">
        <v>81</v>
      </c>
    </row>
    <row r="64" spans="1:8" s="2" customFormat="1" ht="12" customHeight="1" x14ac:dyDescent="0.25">
      <c r="A64" s="5"/>
      <c r="B64" s="105" t="s">
        <v>102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7:E67"/>
    <mergeCell ref="B68:E68"/>
    <mergeCell ref="B69:E69"/>
    <mergeCell ref="F69:G69"/>
    <mergeCell ref="F67:H67"/>
    <mergeCell ref="F68:H68"/>
    <mergeCell ref="B49:D49"/>
    <mergeCell ref="E49:G49"/>
    <mergeCell ref="B50:D50"/>
    <mergeCell ref="E50:G50"/>
    <mergeCell ref="B66:E66"/>
    <mergeCell ref="B57:C57"/>
    <mergeCell ref="B58:G58"/>
    <mergeCell ref="B59:C59"/>
    <mergeCell ref="E59:F59"/>
    <mergeCell ref="B60:G60"/>
    <mergeCell ref="D61:F61"/>
    <mergeCell ref="D62:F62"/>
    <mergeCell ref="D63:F63"/>
    <mergeCell ref="B64:G64"/>
    <mergeCell ref="B65:G65"/>
    <mergeCell ref="F66:H66"/>
    <mergeCell ref="E37:G38"/>
    <mergeCell ref="B48:D48"/>
    <mergeCell ref="E48:G48"/>
    <mergeCell ref="B37:D37"/>
    <mergeCell ref="B38:D38"/>
    <mergeCell ref="B39:D39"/>
    <mergeCell ref="E39:G39"/>
    <mergeCell ref="B40:D40"/>
    <mergeCell ref="E40:G40"/>
    <mergeCell ref="E41:G42"/>
    <mergeCell ref="E43:G43"/>
    <mergeCell ref="E44:G44"/>
    <mergeCell ref="B47:D47"/>
    <mergeCell ref="E47:G47"/>
    <mergeCell ref="B45:D45"/>
    <mergeCell ref="E45:G45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  <mergeCell ref="B56:G56"/>
    <mergeCell ref="B51:G51"/>
    <mergeCell ref="C52:G52"/>
    <mergeCell ref="B53:G53"/>
    <mergeCell ref="B54:G54"/>
    <mergeCell ref="B55:G55"/>
    <mergeCell ref="B46:G46"/>
    <mergeCell ref="B41:D41"/>
    <mergeCell ref="B42:D42"/>
    <mergeCell ref="B43:D43"/>
    <mergeCell ref="B44:D44"/>
  </mergeCells>
  <hyperlinks>
    <hyperlink ref="D7" r:id="rId1" xr:uid="{8EAB3B52-5DC5-497D-BE95-10D45ACA2225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11E3-8F36-4D37-B4D9-A06FCC3FC425}">
  <sheetPr codeName="Hoja3">
    <tabColor theme="1"/>
    <pageSetUpPr fitToPage="1"/>
  </sheetPr>
  <dimension ref="A3:H75"/>
  <sheetViews>
    <sheetView showGridLines="0" view="pageBreakPreview" topLeftCell="A56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103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104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219" t="s">
        <v>107</v>
      </c>
      <c r="F20" s="220"/>
      <c r="G20" s="221"/>
      <c r="H20" s="5"/>
    </row>
    <row r="21" spans="1:8" s="2" customFormat="1" ht="12" customHeight="1" x14ac:dyDescent="0.25">
      <c r="A21" s="5"/>
      <c r="B21" s="215" t="s">
        <v>108</v>
      </c>
      <c r="C21" s="216"/>
      <c r="D21" s="216"/>
      <c r="E21" s="166" t="s">
        <v>109</v>
      </c>
      <c r="F21" s="167"/>
      <c r="G21" s="16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166" t="s">
        <v>111</v>
      </c>
      <c r="F22" s="167"/>
      <c r="G22" s="16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166" t="s">
        <v>113</v>
      </c>
      <c r="F23" s="167"/>
      <c r="G23" s="168"/>
      <c r="H23" s="5"/>
    </row>
    <row r="24" spans="1:8" s="2" customFormat="1" ht="12" customHeight="1" x14ac:dyDescent="0.25">
      <c r="A24" s="5"/>
      <c r="B24" s="219" t="s">
        <v>114</v>
      </c>
      <c r="C24" s="220"/>
      <c r="D24" s="221"/>
      <c r="E24" s="166" t="s">
        <v>115</v>
      </c>
      <c r="F24" s="167"/>
      <c r="G24" s="168"/>
      <c r="H24" s="5"/>
    </row>
    <row r="25" spans="1:8" s="2" customFormat="1" ht="12" customHeight="1" x14ac:dyDescent="0.25">
      <c r="A25" s="30"/>
      <c r="B25" s="166" t="s">
        <v>116</v>
      </c>
      <c r="C25" s="167"/>
      <c r="D25" s="168"/>
      <c r="E25" s="226" t="s">
        <v>267</v>
      </c>
      <c r="F25" s="227"/>
      <c r="G25" s="228"/>
      <c r="H25" s="5"/>
    </row>
    <row r="26" spans="1:8" s="2" customFormat="1" ht="12" customHeight="1" x14ac:dyDescent="0.25">
      <c r="A26" s="31"/>
      <c r="B26" s="166" t="s">
        <v>118</v>
      </c>
      <c r="C26" s="167"/>
      <c r="D26" s="168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166" t="s">
        <v>120</v>
      </c>
      <c r="C27" s="167"/>
      <c r="D27" s="168"/>
      <c r="E27" s="166" t="s">
        <v>121</v>
      </c>
      <c r="F27" s="167"/>
      <c r="G27" s="168"/>
      <c r="H27" s="5"/>
    </row>
    <row r="28" spans="1:8" s="2" customFormat="1" ht="12" customHeight="1" x14ac:dyDescent="0.25">
      <c r="A28" s="31"/>
      <c r="B28" s="166" t="s">
        <v>122</v>
      </c>
      <c r="C28" s="167"/>
      <c r="D28" s="168"/>
      <c r="E28" s="229" t="s">
        <v>123</v>
      </c>
      <c r="F28" s="230"/>
      <c r="G28" s="231"/>
      <c r="H28" s="5"/>
    </row>
    <row r="29" spans="1:8" s="2" customFormat="1" ht="12" customHeight="1" x14ac:dyDescent="0.25">
      <c r="A29" s="32"/>
      <c r="B29" s="166" t="s">
        <v>124</v>
      </c>
      <c r="C29" s="167"/>
      <c r="D29" s="168"/>
      <c r="E29" s="232" t="s">
        <v>125</v>
      </c>
      <c r="F29" s="233"/>
      <c r="G29" s="234"/>
      <c r="H29" s="5"/>
    </row>
    <row r="30" spans="1:8" s="2" customFormat="1" ht="12" customHeight="1" x14ac:dyDescent="0.25">
      <c r="A30" s="32"/>
      <c r="B30" s="166" t="s">
        <v>126</v>
      </c>
      <c r="C30" s="167"/>
      <c r="D30" s="168"/>
      <c r="E30" s="235"/>
      <c r="F30" s="95"/>
      <c r="G30" s="236"/>
      <c r="H30" s="5"/>
    </row>
    <row r="31" spans="1:8" s="2" customFormat="1" ht="12" customHeight="1" x14ac:dyDescent="0.25">
      <c r="A31" s="12"/>
      <c r="B31" s="166" t="s">
        <v>127</v>
      </c>
      <c r="C31" s="167"/>
      <c r="D31" s="168"/>
      <c r="E31" s="240" t="s">
        <v>128</v>
      </c>
      <c r="F31" s="241"/>
      <c r="G31" s="242"/>
      <c r="H31" s="5"/>
    </row>
    <row r="32" spans="1:8" s="2" customFormat="1" ht="12" customHeight="1" x14ac:dyDescent="0.25">
      <c r="A32" s="5"/>
      <c r="B32" s="166" t="s">
        <v>129</v>
      </c>
      <c r="C32" s="167"/>
      <c r="D32" s="168"/>
      <c r="E32" s="240" t="s">
        <v>130</v>
      </c>
      <c r="F32" s="241"/>
      <c r="G32" s="242"/>
      <c r="H32" s="5"/>
    </row>
    <row r="33" spans="1:8" s="2" customFormat="1" ht="12" customHeight="1" x14ac:dyDescent="0.25">
      <c r="A33" s="5"/>
      <c r="B33" s="243" t="s">
        <v>131</v>
      </c>
      <c r="C33" s="244"/>
      <c r="D33" s="244"/>
      <c r="E33" s="245" t="s">
        <v>132</v>
      </c>
      <c r="F33" s="246"/>
      <c r="G33" s="247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50" t="s">
        <v>134</v>
      </c>
      <c r="F35" s="251"/>
      <c r="G35" s="252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22" t="s">
        <v>298</v>
      </c>
      <c r="C41" s="123"/>
      <c r="D41" s="124"/>
      <c r="E41" s="122" t="s">
        <v>146</v>
      </c>
      <c r="F41" s="123"/>
      <c r="G41" s="124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29" t="s">
        <v>320</v>
      </c>
      <c r="F42" s="230"/>
      <c r="G42" s="231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22" t="s">
        <v>151</v>
      </c>
      <c r="C44" s="123"/>
      <c r="D44" s="124"/>
      <c r="E44" s="256" t="s">
        <v>299</v>
      </c>
      <c r="F44" s="257"/>
      <c r="G44" s="258"/>
      <c r="H44" s="5"/>
    </row>
    <row r="45" spans="1:8" s="2" customFormat="1" ht="12" customHeight="1" x14ac:dyDescent="0.25">
      <c r="A45" s="5"/>
      <c r="B45" s="210" t="s">
        <v>153</v>
      </c>
      <c r="C45" s="211"/>
      <c r="D45" s="212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321</v>
      </c>
      <c r="C47" s="254"/>
      <c r="D47" s="255"/>
      <c r="E47" s="250" t="s">
        <v>64</v>
      </c>
      <c r="F47" s="251"/>
      <c r="G47" s="252"/>
    </row>
    <row r="48" spans="1:8" s="2" customFormat="1" ht="12" customHeight="1" x14ac:dyDescent="0.2">
      <c r="B48" s="229" t="s">
        <v>156</v>
      </c>
      <c r="C48" s="230"/>
      <c r="D48" s="231"/>
      <c r="E48" s="122" t="s">
        <v>66</v>
      </c>
      <c r="F48" s="123"/>
      <c r="G48" s="124"/>
    </row>
    <row r="49" spans="1:8" s="2" customFormat="1" ht="12" customHeight="1" x14ac:dyDescent="0.2">
      <c r="B49" s="229" t="s">
        <v>157</v>
      </c>
      <c r="C49" s="230"/>
      <c r="D49" s="231"/>
      <c r="E49" s="122" t="s">
        <v>158</v>
      </c>
      <c r="F49" s="123"/>
      <c r="G49" s="124"/>
    </row>
    <row r="50" spans="1:8" s="2" customFormat="1" ht="12" customHeight="1" x14ac:dyDescent="0.2">
      <c r="B50" s="263" t="s">
        <v>159</v>
      </c>
      <c r="C50" s="264"/>
      <c r="D50" s="265"/>
      <c r="E50" s="210" t="s">
        <v>160</v>
      </c>
      <c r="F50" s="211"/>
      <c r="G50" s="212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300</v>
      </c>
      <c r="E62" s="266"/>
      <c r="F62" s="266"/>
      <c r="G62" s="35">
        <f ca="1">E17+25</f>
        <v>45786</v>
      </c>
      <c r="H62" s="7" t="s">
        <v>290</v>
      </c>
    </row>
    <row r="63" spans="1:8" ht="12" customHeight="1" x14ac:dyDescent="0.25">
      <c r="A63" s="9"/>
      <c r="B63" s="8" t="s">
        <v>78</v>
      </c>
      <c r="C63" s="37"/>
      <c r="D63" s="266" t="s">
        <v>301</v>
      </c>
      <c r="E63" s="266"/>
      <c r="F63" s="266"/>
      <c r="G63" s="35">
        <f ca="1">E17+35</f>
        <v>45796</v>
      </c>
      <c r="H63" s="7" t="s">
        <v>290</v>
      </c>
    </row>
    <row r="64" spans="1:8" ht="12" customHeight="1" x14ac:dyDescent="0.25">
      <c r="A64" s="5"/>
      <c r="B64" s="105" t="s">
        <v>102</v>
      </c>
      <c r="C64" s="105"/>
      <c r="D64" s="105"/>
      <c r="E64" s="105"/>
      <c r="F64" s="105"/>
      <c r="G64" s="105"/>
      <c r="H64" s="4"/>
    </row>
    <row r="65" spans="1:8" ht="12" customHeight="1" x14ac:dyDescent="0.25">
      <c r="A65" s="3" t="s">
        <v>83</v>
      </c>
      <c r="B65" s="106" t="s">
        <v>84</v>
      </c>
      <c r="C65" s="106"/>
      <c r="D65" s="106"/>
      <c r="E65" s="106"/>
      <c r="F65" s="106"/>
      <c r="G65" s="106"/>
      <c r="H65" s="2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  <c r="H69" s="95"/>
    </row>
    <row r="70" spans="1:8" ht="15" customHeight="1" x14ac:dyDescent="0.25">
      <c r="B70" s="33"/>
      <c r="C70" s="33"/>
      <c r="D70" s="33"/>
      <c r="E70" s="33"/>
      <c r="F70" s="33"/>
      <c r="G70" s="33"/>
      <c r="H70" s="33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B68:E68"/>
    <mergeCell ref="B69:E69"/>
    <mergeCell ref="D61:F61"/>
    <mergeCell ref="D62:F62"/>
    <mergeCell ref="B64:G64"/>
    <mergeCell ref="B65:G65"/>
    <mergeCell ref="B66:E66"/>
    <mergeCell ref="F66:H66"/>
    <mergeCell ref="D63:F63"/>
    <mergeCell ref="B60:G60"/>
    <mergeCell ref="B48:D48"/>
    <mergeCell ref="E48:G48"/>
    <mergeCell ref="B49:D49"/>
    <mergeCell ref="E49:G49"/>
    <mergeCell ref="B50:D50"/>
    <mergeCell ref="E50:G50"/>
    <mergeCell ref="B56:G56"/>
    <mergeCell ref="B57:C57"/>
    <mergeCell ref="B58:G58"/>
    <mergeCell ref="B59:C59"/>
    <mergeCell ref="E59:F59"/>
    <mergeCell ref="B51:G51"/>
    <mergeCell ref="C52:G52"/>
    <mergeCell ref="B53:G53"/>
    <mergeCell ref="B54:G54"/>
    <mergeCell ref="B47:D47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38:D38"/>
    <mergeCell ref="E38:G38"/>
    <mergeCell ref="B39:D39"/>
    <mergeCell ref="E39:G39"/>
    <mergeCell ref="B40:D40"/>
    <mergeCell ref="E40:G40"/>
    <mergeCell ref="B30:D30"/>
    <mergeCell ref="E30:G3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7:D27"/>
    <mergeCell ref="E27:G27"/>
    <mergeCell ref="B28:D28"/>
    <mergeCell ref="E28:G28"/>
    <mergeCell ref="B29:D29"/>
    <mergeCell ref="E29:G29"/>
    <mergeCell ref="B24:D24"/>
    <mergeCell ref="E24:G24"/>
    <mergeCell ref="B25:D25"/>
    <mergeCell ref="E25:G25"/>
    <mergeCell ref="B26:D26"/>
    <mergeCell ref="E26:G26"/>
    <mergeCell ref="B20:D20"/>
    <mergeCell ref="E20:G20"/>
    <mergeCell ref="B22:D22"/>
    <mergeCell ref="E22:G22"/>
    <mergeCell ref="B23:D23"/>
    <mergeCell ref="E23:G23"/>
    <mergeCell ref="D4:F4"/>
    <mergeCell ref="D5:F5"/>
    <mergeCell ref="D6:F6"/>
    <mergeCell ref="D7:F7"/>
    <mergeCell ref="A8:H8"/>
    <mergeCell ref="B55:G55"/>
    <mergeCell ref="F69:H69"/>
    <mergeCell ref="F68:H68"/>
    <mergeCell ref="F67:H67"/>
    <mergeCell ref="B9:G10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</mergeCells>
  <hyperlinks>
    <hyperlink ref="D7" r:id="rId1" xr:uid="{2BCA5C90-F80A-4969-9BBC-7EF825B53F8A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1"/>
    <pageSetUpPr fitToPage="1"/>
  </sheetPr>
  <dimension ref="A3:H74"/>
  <sheetViews>
    <sheetView showGridLines="0" view="pageBreakPreview" topLeftCell="A48" zoomScaleNormal="7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161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350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219" t="s">
        <v>107</v>
      </c>
      <c r="F20" s="220"/>
      <c r="G20" s="221"/>
      <c r="H20" s="5"/>
    </row>
    <row r="21" spans="1:8" s="2" customFormat="1" ht="12" customHeight="1" x14ac:dyDescent="0.25">
      <c r="A21" s="5"/>
      <c r="B21" s="215" t="s">
        <v>108</v>
      </c>
      <c r="C21" s="216"/>
      <c r="D21" s="216"/>
      <c r="E21" s="166" t="s">
        <v>109</v>
      </c>
      <c r="F21" s="167"/>
      <c r="G21" s="16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166" t="s">
        <v>111</v>
      </c>
      <c r="F22" s="167"/>
      <c r="G22" s="16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166" t="s">
        <v>113</v>
      </c>
      <c r="F23" s="167"/>
      <c r="G23" s="168"/>
      <c r="H23" s="5"/>
    </row>
    <row r="24" spans="1:8" s="2" customFormat="1" ht="12" customHeight="1" x14ac:dyDescent="0.25">
      <c r="A24" s="5"/>
      <c r="B24" s="219" t="s">
        <v>114</v>
      </c>
      <c r="C24" s="220"/>
      <c r="D24" s="220"/>
      <c r="E24" s="166" t="s">
        <v>115</v>
      </c>
      <c r="F24" s="167"/>
      <c r="G24" s="168"/>
      <c r="H24" s="5"/>
    </row>
    <row r="25" spans="1:8" s="2" customFormat="1" ht="12" customHeight="1" x14ac:dyDescent="0.25">
      <c r="A25" s="30"/>
      <c r="B25" s="166" t="s">
        <v>116</v>
      </c>
      <c r="C25" s="167"/>
      <c r="D25" s="167"/>
      <c r="E25" s="166" t="s">
        <v>117</v>
      </c>
      <c r="F25" s="167"/>
      <c r="G25" s="168"/>
      <c r="H25" s="5"/>
    </row>
    <row r="26" spans="1:8" s="2" customFormat="1" ht="12" customHeight="1" x14ac:dyDescent="0.25">
      <c r="A26" s="31"/>
      <c r="B26" s="166" t="s">
        <v>118</v>
      </c>
      <c r="C26" s="167"/>
      <c r="D26" s="167"/>
      <c r="E26" s="166" t="s">
        <v>119</v>
      </c>
      <c r="F26" s="167"/>
      <c r="G26" s="168"/>
      <c r="H26" s="5"/>
    </row>
    <row r="27" spans="1:8" s="2" customFormat="1" ht="12" customHeight="1" x14ac:dyDescent="0.25">
      <c r="A27" s="31"/>
      <c r="B27" s="166" t="s">
        <v>120</v>
      </c>
      <c r="C27" s="167"/>
      <c r="D27" s="167"/>
      <c r="E27" s="166" t="s">
        <v>121</v>
      </c>
      <c r="F27" s="167"/>
      <c r="G27" s="168"/>
      <c r="H27" s="5"/>
    </row>
    <row r="28" spans="1:8" s="2" customFormat="1" ht="12" customHeight="1" x14ac:dyDescent="0.25">
      <c r="A28" s="31"/>
      <c r="B28" s="166" t="s">
        <v>122</v>
      </c>
      <c r="C28" s="167"/>
      <c r="D28" s="167"/>
      <c r="E28" s="229" t="s">
        <v>123</v>
      </c>
      <c r="F28" s="230"/>
      <c r="G28" s="231"/>
      <c r="H28" s="5"/>
    </row>
    <row r="29" spans="1:8" s="2" customFormat="1" ht="12" customHeight="1" x14ac:dyDescent="0.25">
      <c r="A29" s="32"/>
      <c r="B29" s="166" t="s">
        <v>328</v>
      </c>
      <c r="C29" s="167"/>
      <c r="D29" s="167"/>
      <c r="E29" s="226" t="s">
        <v>125</v>
      </c>
      <c r="F29" s="227"/>
      <c r="G29" s="228"/>
      <c r="H29" s="5"/>
    </row>
    <row r="30" spans="1:8" s="2" customFormat="1" ht="12" customHeight="1" x14ac:dyDescent="0.25">
      <c r="A30" s="32"/>
      <c r="B30" s="166" t="s">
        <v>126</v>
      </c>
      <c r="C30" s="167"/>
      <c r="D30" s="167"/>
      <c r="E30" s="277"/>
      <c r="F30" s="278"/>
      <c r="G30" s="279"/>
      <c r="H30" s="5"/>
    </row>
    <row r="31" spans="1:8" s="2" customFormat="1" ht="12" customHeight="1" x14ac:dyDescent="0.25">
      <c r="A31" s="12"/>
      <c r="B31" s="166" t="s">
        <v>127</v>
      </c>
      <c r="C31" s="167"/>
      <c r="D31" s="167"/>
      <c r="E31" s="274" t="s">
        <v>128</v>
      </c>
      <c r="F31" s="275"/>
      <c r="G31" s="276"/>
      <c r="H31" s="5"/>
    </row>
    <row r="32" spans="1:8" s="2" customFormat="1" ht="12" customHeight="1" x14ac:dyDescent="0.25">
      <c r="A32" s="5"/>
      <c r="B32" s="166" t="s">
        <v>129</v>
      </c>
      <c r="C32" s="167"/>
      <c r="D32" s="167"/>
      <c r="E32" s="274" t="s">
        <v>130</v>
      </c>
      <c r="F32" s="275"/>
      <c r="G32" s="276"/>
      <c r="H32" s="5"/>
    </row>
    <row r="33" spans="1:8" s="2" customFormat="1" ht="12" customHeight="1" x14ac:dyDescent="0.25">
      <c r="A33" s="5"/>
      <c r="B33" s="243" t="s">
        <v>131</v>
      </c>
      <c r="C33" s="244"/>
      <c r="D33" s="244"/>
      <c r="E33" s="280" t="s">
        <v>162</v>
      </c>
      <c r="F33" s="281"/>
      <c r="G33" s="282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71" t="s">
        <v>134</v>
      </c>
      <c r="F35" s="272"/>
      <c r="G35" s="273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54" t="s">
        <v>145</v>
      </c>
      <c r="C41" s="155"/>
      <c r="D41" s="156"/>
      <c r="E41" s="154" t="s">
        <v>146</v>
      </c>
      <c r="F41" s="155"/>
      <c r="G41" s="156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56" t="s">
        <v>148</v>
      </c>
      <c r="F42" s="257"/>
      <c r="G42" s="258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54" t="s">
        <v>163</v>
      </c>
      <c r="C44" s="155"/>
      <c r="D44" s="156"/>
      <c r="E44" s="256" t="s">
        <v>152</v>
      </c>
      <c r="F44" s="257"/>
      <c r="G44" s="258"/>
      <c r="H44" s="5"/>
    </row>
    <row r="45" spans="1:8" s="2" customFormat="1" ht="12" customHeight="1" x14ac:dyDescent="0.25">
      <c r="A45" s="5"/>
      <c r="B45" s="113" t="s">
        <v>153</v>
      </c>
      <c r="C45" s="114"/>
      <c r="D45" s="115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325</v>
      </c>
      <c r="C47" s="254"/>
      <c r="D47" s="255"/>
      <c r="E47" s="267" t="s">
        <v>64</v>
      </c>
      <c r="F47" s="169"/>
      <c r="G47" s="170"/>
    </row>
    <row r="48" spans="1:8" s="2" customFormat="1" ht="12" customHeight="1" x14ac:dyDescent="0.2">
      <c r="B48" s="229" t="s">
        <v>269</v>
      </c>
      <c r="C48" s="230"/>
      <c r="D48" s="231"/>
      <c r="E48" s="154" t="s">
        <v>164</v>
      </c>
      <c r="F48" s="155"/>
      <c r="G48" s="156"/>
    </row>
    <row r="49" spans="1:8" s="2" customFormat="1" ht="12" customHeight="1" x14ac:dyDescent="0.2">
      <c r="B49" s="229" t="s">
        <v>270</v>
      </c>
      <c r="C49" s="230"/>
      <c r="D49" s="231"/>
      <c r="E49" s="154" t="s">
        <v>165</v>
      </c>
      <c r="F49" s="155"/>
      <c r="G49" s="156"/>
    </row>
    <row r="50" spans="1:8" s="2" customFormat="1" ht="12" customHeight="1" x14ac:dyDescent="0.2">
      <c r="B50" s="263" t="s">
        <v>159</v>
      </c>
      <c r="C50" s="264"/>
      <c r="D50" s="265"/>
      <c r="E50" s="268" t="s">
        <v>166</v>
      </c>
      <c r="F50" s="269"/>
      <c r="G50" s="270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12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+C61+C62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746</v>
      </c>
      <c r="E62" s="266"/>
      <c r="F62" s="266"/>
      <c r="G62" s="35">
        <f ca="1">E17+12</f>
        <v>45773</v>
      </c>
      <c r="H62" s="7" t="s">
        <v>290</v>
      </c>
    </row>
    <row r="63" spans="1:8" ht="12" customHeight="1" x14ac:dyDescent="0.25">
      <c r="A63" s="5"/>
      <c r="B63" s="105" t="s">
        <v>168</v>
      </c>
      <c r="C63" s="105"/>
      <c r="D63" s="105"/>
      <c r="E63" s="105"/>
      <c r="F63" s="105"/>
      <c r="G63" s="105"/>
      <c r="H63" s="4"/>
    </row>
    <row r="64" spans="1:8" ht="12" customHeight="1" x14ac:dyDescent="0.25">
      <c r="A64" s="3" t="s">
        <v>83</v>
      </c>
      <c r="B64" s="106" t="s">
        <v>84</v>
      </c>
      <c r="C64" s="106"/>
      <c r="D64" s="106"/>
      <c r="E64" s="106"/>
      <c r="F64" s="106"/>
      <c r="G64" s="106"/>
      <c r="H64" s="2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  <c r="H68" s="95"/>
    </row>
    <row r="69" spans="2:8" ht="15" customHeight="1" x14ac:dyDescent="0.25">
      <c r="B69" s="33"/>
      <c r="C69" s="33"/>
      <c r="D69" s="33"/>
      <c r="E69" s="33"/>
      <c r="F69" s="33"/>
      <c r="G69" s="33"/>
      <c r="H69" s="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8:E68"/>
    <mergeCell ref="B63:G63"/>
    <mergeCell ref="B64:G64"/>
    <mergeCell ref="B65:E65"/>
    <mergeCell ref="B66:E66"/>
    <mergeCell ref="B67:E67"/>
    <mergeCell ref="F68:H68"/>
    <mergeCell ref="F67:H67"/>
    <mergeCell ref="F66:H66"/>
    <mergeCell ref="F65:H65"/>
    <mergeCell ref="B17:C17"/>
    <mergeCell ref="D4:F4"/>
    <mergeCell ref="D5:F5"/>
    <mergeCell ref="D6:F6"/>
    <mergeCell ref="D7:F7"/>
    <mergeCell ref="A8:H8"/>
    <mergeCell ref="B9:G10"/>
    <mergeCell ref="B11:E11"/>
    <mergeCell ref="B12:G12"/>
    <mergeCell ref="B13:G13"/>
    <mergeCell ref="B15:E15"/>
    <mergeCell ref="B16:E16"/>
    <mergeCell ref="B18:G18"/>
    <mergeCell ref="B19:D19"/>
    <mergeCell ref="B20:D20"/>
    <mergeCell ref="E20:G20"/>
    <mergeCell ref="B21:D21"/>
    <mergeCell ref="E21:G21"/>
    <mergeCell ref="E19:F19"/>
    <mergeCell ref="B25:D25"/>
    <mergeCell ref="B26:D26"/>
    <mergeCell ref="B22:D22"/>
    <mergeCell ref="E22:G22"/>
    <mergeCell ref="B23:D23"/>
    <mergeCell ref="B24:D24"/>
    <mergeCell ref="E23:G23"/>
    <mergeCell ref="E24:G24"/>
    <mergeCell ref="E25:G25"/>
    <mergeCell ref="E26:G26"/>
    <mergeCell ref="B36:D36"/>
    <mergeCell ref="E36:G36"/>
    <mergeCell ref="B37:D37"/>
    <mergeCell ref="E37:G37"/>
    <mergeCell ref="B27:D27"/>
    <mergeCell ref="B29:D29"/>
    <mergeCell ref="E31:G31"/>
    <mergeCell ref="B30:D30"/>
    <mergeCell ref="E32:G32"/>
    <mergeCell ref="B28:D28"/>
    <mergeCell ref="E27:G27"/>
    <mergeCell ref="E28:G28"/>
    <mergeCell ref="E29:G29"/>
    <mergeCell ref="E30:G30"/>
    <mergeCell ref="B33:D33"/>
    <mergeCell ref="E33:G33"/>
    <mergeCell ref="E35:G35"/>
    <mergeCell ref="B31:D31"/>
    <mergeCell ref="B32:D32"/>
    <mergeCell ref="B34:G34"/>
    <mergeCell ref="B35:D35"/>
    <mergeCell ref="B38:D38"/>
    <mergeCell ref="E38:G38"/>
    <mergeCell ref="B39:D39"/>
    <mergeCell ref="E39:G39"/>
    <mergeCell ref="B40:D40"/>
    <mergeCell ref="E40:G40"/>
    <mergeCell ref="B51:G51"/>
    <mergeCell ref="C52:G52"/>
    <mergeCell ref="B53:G53"/>
    <mergeCell ref="B54:G54"/>
    <mergeCell ref="B55:G55"/>
    <mergeCell ref="B50:D50"/>
    <mergeCell ref="E50:G50"/>
    <mergeCell ref="B48:D48"/>
    <mergeCell ref="E48:G48"/>
    <mergeCell ref="B49:D49"/>
    <mergeCell ref="E49:G49"/>
    <mergeCell ref="B41:D41"/>
    <mergeCell ref="E41:G41"/>
    <mergeCell ref="B47:D47"/>
    <mergeCell ref="E47:G47"/>
    <mergeCell ref="B46:G46"/>
    <mergeCell ref="B43:D43"/>
    <mergeCell ref="E43:G43"/>
    <mergeCell ref="B44:D44"/>
    <mergeCell ref="E44:G44"/>
    <mergeCell ref="B45:D45"/>
    <mergeCell ref="E45:G45"/>
    <mergeCell ref="B42:D42"/>
    <mergeCell ref="E42:G42"/>
    <mergeCell ref="D61:F61"/>
    <mergeCell ref="D62:F62"/>
    <mergeCell ref="B60:G60"/>
    <mergeCell ref="B56:G56"/>
    <mergeCell ref="B57:C57"/>
    <mergeCell ref="B58:G58"/>
    <mergeCell ref="B59:C59"/>
    <mergeCell ref="E59:F59"/>
  </mergeCells>
  <hyperlinks>
    <hyperlink ref="D7" r:id="rId1" xr:uid="{00000000-0004-0000-0100-000000000000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91A17-0113-4A18-BC97-83D886849282}">
  <sheetPr codeName="Hoja5">
    <tabColor theme="1"/>
    <pageSetUpPr fitToPage="1"/>
  </sheetPr>
  <dimension ref="A3:H74"/>
  <sheetViews>
    <sheetView showGridLines="0" view="pageBreakPreview" topLeftCell="A49" zoomScale="115" zoomScaleNormal="110" zoomScaleSheetLayoutView="115" zoomScalePageLayoutView="11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29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169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170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171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172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293"/>
      <c r="F19" s="294"/>
      <c r="G19" s="294"/>
      <c r="H19" s="9"/>
    </row>
    <row r="20" spans="1:8" s="2" customFormat="1" ht="12" customHeight="1" x14ac:dyDescent="0.25">
      <c r="A20" s="5"/>
      <c r="B20" s="122" t="s">
        <v>173</v>
      </c>
      <c r="C20" s="123"/>
      <c r="D20" s="123"/>
      <c r="E20" s="193" t="s">
        <v>174</v>
      </c>
      <c r="F20" s="194"/>
      <c r="G20" s="195"/>
      <c r="H20" s="5"/>
    </row>
    <row r="21" spans="1:8" s="2" customFormat="1" ht="12" customHeight="1" x14ac:dyDescent="0.25">
      <c r="A21" s="5"/>
      <c r="B21" s="122" t="s">
        <v>175</v>
      </c>
      <c r="C21" s="123"/>
      <c r="D21" s="123"/>
      <c r="E21" s="137" t="s">
        <v>176</v>
      </c>
      <c r="F21" s="138"/>
      <c r="G21" s="139"/>
      <c r="H21" s="5"/>
    </row>
    <row r="22" spans="1:8" s="2" customFormat="1" ht="12" customHeight="1" x14ac:dyDescent="0.25">
      <c r="A22" s="5"/>
      <c r="B22" s="224" t="s">
        <v>27</v>
      </c>
      <c r="C22" s="225"/>
      <c r="D22" s="225"/>
      <c r="E22" s="237" t="s">
        <v>177</v>
      </c>
      <c r="F22" s="238"/>
      <c r="G22" s="239"/>
      <c r="H22" s="5"/>
    </row>
    <row r="23" spans="1:8" s="2" customFormat="1" ht="12" customHeight="1" x14ac:dyDescent="0.25">
      <c r="A23" s="5"/>
      <c r="B23" s="250" t="s">
        <v>178</v>
      </c>
      <c r="C23" s="251"/>
      <c r="D23" s="252"/>
      <c r="E23" s="237" t="s">
        <v>179</v>
      </c>
      <c r="F23" s="238"/>
      <c r="G23" s="239"/>
      <c r="H23" s="5"/>
    </row>
    <row r="24" spans="1:8" s="2" customFormat="1" ht="12" customHeight="1" x14ac:dyDescent="0.25">
      <c r="A24" s="5"/>
      <c r="B24" s="122" t="s">
        <v>180</v>
      </c>
      <c r="C24" s="123"/>
      <c r="D24" s="124"/>
      <c r="E24" s="128" t="s">
        <v>181</v>
      </c>
      <c r="F24" s="129"/>
      <c r="G24" s="130"/>
      <c r="H24" s="5"/>
    </row>
    <row r="25" spans="1:8" s="2" customFormat="1" ht="12" customHeight="1" x14ac:dyDescent="0.25">
      <c r="A25" s="30"/>
      <c r="B25" s="128" t="s">
        <v>182</v>
      </c>
      <c r="C25" s="129"/>
      <c r="D25" s="130"/>
      <c r="E25" s="237" t="s">
        <v>183</v>
      </c>
      <c r="F25" s="238"/>
      <c r="G25" s="239"/>
      <c r="H25" s="5"/>
    </row>
    <row r="26" spans="1:8" s="2" customFormat="1" ht="12" customHeight="1" x14ac:dyDescent="0.25">
      <c r="A26" s="31"/>
      <c r="B26" s="128" t="s">
        <v>184</v>
      </c>
      <c r="C26" s="129"/>
      <c r="D26" s="130"/>
      <c r="E26" s="128" t="s">
        <v>185</v>
      </c>
      <c r="F26" s="129"/>
      <c r="G26" s="130"/>
      <c r="H26" s="5"/>
    </row>
    <row r="27" spans="1:8" s="2" customFormat="1" ht="12" customHeight="1" x14ac:dyDescent="0.25">
      <c r="A27" s="31"/>
      <c r="B27" s="128" t="s">
        <v>186</v>
      </c>
      <c r="C27" s="129"/>
      <c r="D27" s="130"/>
      <c r="E27" s="237" t="s">
        <v>187</v>
      </c>
      <c r="F27" s="238"/>
      <c r="G27" s="239"/>
      <c r="H27" s="5"/>
    </row>
    <row r="28" spans="1:8" s="2" customFormat="1" ht="12" customHeight="1" x14ac:dyDescent="0.25">
      <c r="A28" s="31"/>
      <c r="B28" s="122" t="s">
        <v>188</v>
      </c>
      <c r="C28" s="123"/>
      <c r="D28" s="124"/>
      <c r="E28" s="154" t="s">
        <v>189</v>
      </c>
      <c r="F28" s="155"/>
      <c r="G28" s="156"/>
      <c r="H28" s="5"/>
    </row>
    <row r="29" spans="1:8" s="2" customFormat="1" ht="12" customHeight="1" x14ac:dyDescent="0.25">
      <c r="A29" s="32"/>
      <c r="B29" s="128" t="s">
        <v>190</v>
      </c>
      <c r="C29" s="129"/>
      <c r="D29" s="130"/>
      <c r="E29" s="62"/>
      <c r="F29" s="63"/>
      <c r="G29" s="64"/>
      <c r="H29" s="5"/>
    </row>
    <row r="30" spans="1:8" s="2" customFormat="1" ht="12" customHeight="1" x14ac:dyDescent="0.25">
      <c r="A30" s="32"/>
      <c r="B30" s="177" t="s">
        <v>174</v>
      </c>
      <c r="C30" s="178"/>
      <c r="D30" s="179"/>
      <c r="E30" s="196"/>
      <c r="F30" s="197"/>
      <c r="G30" s="198"/>
      <c r="H30" s="5"/>
    </row>
    <row r="31" spans="1:8" s="2" customFormat="1" ht="12" customHeight="1" x14ac:dyDescent="0.25">
      <c r="A31" s="32"/>
      <c r="B31" s="224" t="s">
        <v>323</v>
      </c>
      <c r="C31" s="225"/>
      <c r="D31" s="225"/>
      <c r="E31" s="225"/>
      <c r="F31" s="225"/>
      <c r="G31" s="262"/>
      <c r="H31" s="5"/>
    </row>
    <row r="32" spans="1:8" s="2" customFormat="1" ht="12" customHeight="1" x14ac:dyDescent="0.25">
      <c r="A32" s="12"/>
      <c r="B32" s="91" t="s">
        <v>191</v>
      </c>
      <c r="C32" s="92"/>
      <c r="D32" s="93"/>
      <c r="E32" s="68" t="s">
        <v>196</v>
      </c>
      <c r="F32" s="69"/>
      <c r="G32" s="70"/>
      <c r="H32" s="5"/>
    </row>
    <row r="33" spans="1:8" s="2" customFormat="1" ht="12" customHeight="1" x14ac:dyDescent="0.25">
      <c r="A33" s="5"/>
      <c r="B33" s="237" t="s">
        <v>192</v>
      </c>
      <c r="C33" s="238"/>
      <c r="D33" s="239"/>
      <c r="E33" s="237" t="s">
        <v>52</v>
      </c>
      <c r="F33" s="238"/>
      <c r="G33" s="239"/>
      <c r="H33" s="5"/>
    </row>
    <row r="34" spans="1:8" s="2" customFormat="1" ht="12" customHeight="1" x14ac:dyDescent="0.25">
      <c r="A34" s="5"/>
      <c r="B34" s="237" t="s">
        <v>193</v>
      </c>
      <c r="C34" s="238"/>
      <c r="D34" s="239"/>
      <c r="E34" s="237" t="s">
        <v>54</v>
      </c>
      <c r="F34" s="238"/>
      <c r="G34" s="239"/>
      <c r="H34" s="5"/>
    </row>
    <row r="35" spans="1:8" s="2" customFormat="1" ht="12" customHeight="1" x14ac:dyDescent="0.25">
      <c r="A35" s="5"/>
      <c r="B35" s="237" t="s">
        <v>194</v>
      </c>
      <c r="C35" s="238"/>
      <c r="D35" s="239"/>
      <c r="E35" s="237" t="s">
        <v>56</v>
      </c>
      <c r="F35" s="238"/>
      <c r="G35" s="239"/>
      <c r="H35" s="5"/>
    </row>
    <row r="36" spans="1:8" s="2" customFormat="1" ht="12" customHeight="1" x14ac:dyDescent="0.25">
      <c r="A36" s="5"/>
      <c r="B36" s="237" t="s">
        <v>195</v>
      </c>
      <c r="C36" s="238"/>
      <c r="D36" s="239"/>
      <c r="E36" s="237" t="s">
        <v>200</v>
      </c>
      <c r="F36" s="238"/>
      <c r="G36" s="239"/>
      <c r="H36" s="5"/>
    </row>
    <row r="37" spans="1:8" s="2" customFormat="1" ht="12" customHeight="1" x14ac:dyDescent="0.25">
      <c r="A37" s="5"/>
      <c r="B37" s="237" t="s">
        <v>55</v>
      </c>
      <c r="C37" s="238"/>
      <c r="D37" s="239"/>
      <c r="E37" s="237" t="s">
        <v>52</v>
      </c>
      <c r="F37" s="238"/>
      <c r="G37" s="239"/>
      <c r="H37" s="5"/>
    </row>
    <row r="38" spans="1:8" s="2" customFormat="1" ht="12" customHeight="1" x14ac:dyDescent="0.25">
      <c r="A38" s="5"/>
      <c r="B38" s="237" t="s">
        <v>197</v>
      </c>
      <c r="C38" s="238"/>
      <c r="D38" s="239"/>
      <c r="E38" s="237" t="s">
        <v>54</v>
      </c>
      <c r="F38" s="238"/>
      <c r="G38" s="239"/>
      <c r="H38" s="5"/>
    </row>
    <row r="39" spans="1:8" s="2" customFormat="1" ht="12" customHeight="1" x14ac:dyDescent="0.25">
      <c r="A39" s="5"/>
      <c r="B39" s="237" t="s">
        <v>198</v>
      </c>
      <c r="C39" s="238"/>
      <c r="D39" s="239"/>
      <c r="E39" s="237" t="s">
        <v>56</v>
      </c>
      <c r="F39" s="238"/>
      <c r="G39" s="239"/>
      <c r="H39" s="5"/>
    </row>
    <row r="40" spans="1:8" s="2" customFormat="1" ht="12" customHeight="1" x14ac:dyDescent="0.25">
      <c r="A40" s="5"/>
      <c r="B40" s="237" t="s">
        <v>199</v>
      </c>
      <c r="C40" s="238"/>
      <c r="D40" s="239"/>
      <c r="E40" s="237" t="s">
        <v>200</v>
      </c>
      <c r="F40" s="238"/>
      <c r="G40" s="239"/>
      <c r="H40" s="5"/>
    </row>
    <row r="41" spans="1:8" s="2" customFormat="1" ht="12" customHeight="1" x14ac:dyDescent="0.25">
      <c r="A41" s="5"/>
      <c r="B41" s="237" t="s">
        <v>201</v>
      </c>
      <c r="C41" s="238"/>
      <c r="D41" s="239"/>
      <c r="E41" s="122" t="s">
        <v>60</v>
      </c>
      <c r="F41" s="123"/>
      <c r="G41" s="124"/>
      <c r="H41" s="5"/>
    </row>
    <row r="42" spans="1:8" s="2" customFormat="1" ht="12" customHeight="1" x14ac:dyDescent="0.25">
      <c r="A42" s="5"/>
      <c r="B42" s="237" t="s">
        <v>44</v>
      </c>
      <c r="C42" s="238"/>
      <c r="D42" s="239"/>
      <c r="E42" s="68"/>
      <c r="F42" s="69"/>
      <c r="G42" s="70"/>
      <c r="H42" s="5"/>
    </row>
    <row r="43" spans="1:8" s="2" customFormat="1" ht="12" customHeight="1" x14ac:dyDescent="0.25">
      <c r="A43" s="5"/>
      <c r="B43" s="237" t="s">
        <v>46</v>
      </c>
      <c r="C43" s="238"/>
      <c r="D43" s="239"/>
      <c r="E43" s="68"/>
      <c r="F43" s="69"/>
      <c r="G43" s="70"/>
      <c r="H43" s="5"/>
    </row>
    <row r="44" spans="1:8" s="2" customFormat="1" ht="12" customHeight="1" x14ac:dyDescent="0.25">
      <c r="A44" s="5"/>
      <c r="B44" s="237" t="s">
        <v>431</v>
      </c>
      <c r="C44" s="238"/>
      <c r="D44" s="239"/>
      <c r="E44" s="68"/>
      <c r="F44" s="69"/>
      <c r="G44" s="70"/>
      <c r="H44" s="5"/>
    </row>
    <row r="45" spans="1:8" s="2" customFormat="1" ht="12" customHeight="1" x14ac:dyDescent="0.25">
      <c r="A45" s="5"/>
      <c r="B45" s="237" t="s">
        <v>49</v>
      </c>
      <c r="C45" s="238"/>
      <c r="D45" s="239"/>
      <c r="E45" s="290"/>
      <c r="F45" s="291"/>
      <c r="G45" s="292"/>
      <c r="H45" s="5"/>
    </row>
    <row r="46" spans="1:8" s="2" customFormat="1" ht="12" customHeight="1" x14ac:dyDescent="0.25">
      <c r="B46" s="224" t="s">
        <v>62</v>
      </c>
      <c r="C46" s="225"/>
      <c r="D46" s="225"/>
      <c r="E46" s="225"/>
      <c r="F46" s="225"/>
      <c r="G46" s="262"/>
      <c r="H46" s="5"/>
    </row>
    <row r="47" spans="1:8" s="2" customFormat="1" ht="12" customHeight="1" x14ac:dyDescent="0.25">
      <c r="A47" s="5"/>
      <c r="B47" s="288" t="s">
        <v>326</v>
      </c>
      <c r="C47" s="289"/>
      <c r="D47" s="289"/>
      <c r="E47" s="271" t="s">
        <v>202</v>
      </c>
      <c r="F47" s="272"/>
      <c r="G47" s="273"/>
      <c r="H47" s="5"/>
    </row>
    <row r="48" spans="1:8" s="2" customFormat="1" ht="12" customHeight="1" x14ac:dyDescent="0.25">
      <c r="A48" s="5"/>
      <c r="B48" s="122" t="s">
        <v>203</v>
      </c>
      <c r="C48" s="123"/>
      <c r="D48" s="123"/>
      <c r="E48" s="147" t="s">
        <v>204</v>
      </c>
      <c r="F48" s="148"/>
      <c r="G48" s="149"/>
      <c r="H48" s="5"/>
    </row>
    <row r="49" spans="1:8" s="2" customFormat="1" ht="12" customHeight="1" x14ac:dyDescent="0.25">
      <c r="A49" s="5"/>
      <c r="B49" s="286" t="s">
        <v>205</v>
      </c>
      <c r="C49" s="287"/>
      <c r="D49" s="287"/>
      <c r="E49" s="147" t="s">
        <v>206</v>
      </c>
      <c r="F49" s="148"/>
      <c r="G49" s="149"/>
      <c r="H49" s="5"/>
    </row>
    <row r="50" spans="1:8" s="2" customFormat="1" ht="12" customHeight="1" x14ac:dyDescent="0.25">
      <c r="A50" s="5"/>
      <c r="B50" s="210" t="s">
        <v>69</v>
      </c>
      <c r="C50" s="211"/>
      <c r="D50" s="211"/>
      <c r="E50" s="283" t="s">
        <v>207</v>
      </c>
      <c r="F50" s="284"/>
      <c r="G50" s="285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8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6"/>
      <c r="D62" s="266" t="s">
        <v>327</v>
      </c>
      <c r="E62" s="266"/>
      <c r="F62" s="266"/>
      <c r="G62" s="35">
        <f ca="1">E17+25</f>
        <v>45786</v>
      </c>
      <c r="H62" s="7" t="s">
        <v>290</v>
      </c>
    </row>
    <row r="63" spans="1:8" ht="12" customHeight="1" x14ac:dyDescent="0.25">
      <c r="A63" s="5"/>
      <c r="B63" s="105" t="s">
        <v>102</v>
      </c>
      <c r="C63" s="105"/>
      <c r="D63" s="105"/>
      <c r="E63" s="105"/>
      <c r="F63" s="105"/>
      <c r="G63" s="105"/>
      <c r="H63" s="4"/>
    </row>
    <row r="64" spans="1:8" ht="12" customHeight="1" x14ac:dyDescent="0.25">
      <c r="A64" s="3" t="s">
        <v>83</v>
      </c>
      <c r="B64" s="106" t="s">
        <v>84</v>
      </c>
      <c r="C64" s="106"/>
      <c r="D64" s="106"/>
      <c r="E64" s="106"/>
      <c r="F64" s="106"/>
      <c r="G64" s="106"/>
      <c r="H64" s="2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  <c r="H68" s="95"/>
    </row>
    <row r="69" spans="2:8" ht="15" customHeight="1" x14ac:dyDescent="0.25">
      <c r="B69" s="33"/>
      <c r="C69" s="33"/>
      <c r="D69" s="33"/>
      <c r="E69" s="33"/>
      <c r="F69" s="33"/>
      <c r="G69" s="33"/>
      <c r="H69" s="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zUrWTGEZiJFMgzDqDTBlVt+5/9aQcTuJw4/Tg0qXKmOEBmnAPkc2PftdRKWEJAjo6Tejl/2GECle77oEWrFAIQ==" saltValue="IwcVdvVtxL7J72Vc6oLNHQ==" spinCount="100000" sqref="B23:D23 E20:G27 B25:D30" name="Rango1_1"/>
    <protectedRange algorithmName="SHA-512" hashValue="zUrWTGEZiJFMgzDqDTBlVt+5/9aQcTuJw4/Tg0qXKmOEBmnAPkc2PftdRKWEJAjo6Tejl/2GECle77oEWrFAIQ==" saltValue="IwcVdvVtxL7J72Vc6oLNHQ==" spinCount="100000" sqref="E47:G51 B32:G45" name="Rango1_6"/>
  </protectedRanges>
  <mergeCells count="93">
    <mergeCell ref="B18:G18"/>
    <mergeCell ref="B17:C17"/>
    <mergeCell ref="D4:F4"/>
    <mergeCell ref="D5:F5"/>
    <mergeCell ref="D6:F6"/>
    <mergeCell ref="D7:F7"/>
    <mergeCell ref="A8:H8"/>
    <mergeCell ref="B9:G10"/>
    <mergeCell ref="B11:E11"/>
    <mergeCell ref="B12:G12"/>
    <mergeCell ref="B13:G13"/>
    <mergeCell ref="B15:E15"/>
    <mergeCell ref="B16:E16"/>
    <mergeCell ref="E20:G20"/>
    <mergeCell ref="B21:D21"/>
    <mergeCell ref="E21:G21"/>
    <mergeCell ref="E19:G19"/>
    <mergeCell ref="E28:G28"/>
    <mergeCell ref="B19:D19"/>
    <mergeCell ref="B20:D20"/>
    <mergeCell ref="E30:G30"/>
    <mergeCell ref="B31:G31"/>
    <mergeCell ref="B25:D25"/>
    <mergeCell ref="B22:D22"/>
    <mergeCell ref="E22:G22"/>
    <mergeCell ref="B23:D23"/>
    <mergeCell ref="E23:G23"/>
    <mergeCell ref="B24:D24"/>
    <mergeCell ref="E24:G24"/>
    <mergeCell ref="E25:G25"/>
    <mergeCell ref="E26:G26"/>
    <mergeCell ref="E27:G27"/>
    <mergeCell ref="B26:D26"/>
    <mergeCell ref="B27:D27"/>
    <mergeCell ref="B28:D28"/>
    <mergeCell ref="B30:D30"/>
    <mergeCell ref="B35:D35"/>
    <mergeCell ref="E35:G35"/>
    <mergeCell ref="B32:D32"/>
    <mergeCell ref="B33:D33"/>
    <mergeCell ref="E33:G33"/>
    <mergeCell ref="B34:D34"/>
    <mergeCell ref="E34:G34"/>
    <mergeCell ref="B36:D36"/>
    <mergeCell ref="E36:G36"/>
    <mergeCell ref="B37:D37"/>
    <mergeCell ref="E37:G37"/>
    <mergeCell ref="B38:D38"/>
    <mergeCell ref="E38:G38"/>
    <mergeCell ref="B39:D39"/>
    <mergeCell ref="E39:G39"/>
    <mergeCell ref="B40:D40"/>
    <mergeCell ref="E40:G40"/>
    <mergeCell ref="B45:D45"/>
    <mergeCell ref="E45:G45"/>
    <mergeCell ref="B41:D41"/>
    <mergeCell ref="B42:D42"/>
    <mergeCell ref="B43:D43"/>
    <mergeCell ref="B44:D44"/>
    <mergeCell ref="B47:D47"/>
    <mergeCell ref="E47:G47"/>
    <mergeCell ref="B48:D48"/>
    <mergeCell ref="E48:G48"/>
    <mergeCell ref="B46:G46"/>
    <mergeCell ref="B51:G51"/>
    <mergeCell ref="B67:E67"/>
    <mergeCell ref="F67:H67"/>
    <mergeCell ref="B68:E68"/>
    <mergeCell ref="F68:H68"/>
    <mergeCell ref="D61:F61"/>
    <mergeCell ref="D62:F62"/>
    <mergeCell ref="B63:G63"/>
    <mergeCell ref="B64:G64"/>
    <mergeCell ref="B65:E65"/>
    <mergeCell ref="F65:H65"/>
    <mergeCell ref="B66:E66"/>
    <mergeCell ref="F66:H66"/>
    <mergeCell ref="B29:D29"/>
    <mergeCell ref="E41:G41"/>
    <mergeCell ref="B60:G60"/>
    <mergeCell ref="B54:G54"/>
    <mergeCell ref="B50:D50"/>
    <mergeCell ref="E49:G49"/>
    <mergeCell ref="E50:G50"/>
    <mergeCell ref="B49:D49"/>
    <mergeCell ref="B56:G56"/>
    <mergeCell ref="B57:C57"/>
    <mergeCell ref="B58:G58"/>
    <mergeCell ref="B59:C59"/>
    <mergeCell ref="E59:F59"/>
    <mergeCell ref="B53:G53"/>
    <mergeCell ref="B55:G55"/>
    <mergeCell ref="C52:G52"/>
  </mergeCells>
  <hyperlinks>
    <hyperlink ref="D7" r:id="rId1" xr:uid="{7965E7B5-0574-4990-9E61-D544B35C6D10}"/>
  </hyperlinks>
  <printOptions horizontalCentered="1"/>
  <pageMargins left="0.59055118110236227" right="0.59055118110236227" top="0.59055118110236227" bottom="0.39370078740157483" header="0" footer="0"/>
  <pageSetup paperSize="9" scale="8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91C6-3780-4290-AC5C-FA86B27A14FD}">
  <sheetPr codeName="Hoja6">
    <tabColor theme="1"/>
    <pageSetUpPr fitToPage="1"/>
  </sheetPr>
  <dimension ref="A3:H79"/>
  <sheetViews>
    <sheetView showGridLines="0" view="pageBreakPreview" topLeftCell="A5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208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329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99" t="s">
        <v>23</v>
      </c>
      <c r="C20" s="300"/>
      <c r="D20" s="301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209</v>
      </c>
      <c r="C30" s="188"/>
      <c r="D30" s="189"/>
      <c r="E30" s="59" t="s">
        <v>213</v>
      </c>
      <c r="F30" s="60"/>
      <c r="G30" s="61"/>
      <c r="H30" s="5"/>
    </row>
    <row r="31" spans="1:8" s="2" customFormat="1" ht="12" customHeight="1" x14ac:dyDescent="0.25">
      <c r="A31" s="32"/>
      <c r="B31" s="128" t="s">
        <v>210</v>
      </c>
      <c r="C31" s="129"/>
      <c r="D31" s="130"/>
      <c r="E31" s="53" t="s">
        <v>430</v>
      </c>
      <c r="F31" s="54"/>
      <c r="G31" s="55"/>
      <c r="H31" s="5"/>
    </row>
    <row r="32" spans="1:8" s="2" customFormat="1" ht="12" customHeight="1" x14ac:dyDescent="0.25">
      <c r="A32" s="12"/>
      <c r="B32" s="190" t="s">
        <v>211</v>
      </c>
      <c r="C32" s="191"/>
      <c r="D32" s="192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90"/>
      <c r="C33" s="191"/>
      <c r="D33" s="192"/>
      <c r="E33" s="128" t="s">
        <v>310</v>
      </c>
      <c r="F33" s="129"/>
      <c r="G33" s="130"/>
      <c r="H33" s="5"/>
    </row>
    <row r="34" spans="1:8" s="2" customFormat="1" ht="12" customHeight="1" x14ac:dyDescent="0.25">
      <c r="A34" s="5"/>
      <c r="B34" s="128" t="s">
        <v>212</v>
      </c>
      <c r="C34" s="129"/>
      <c r="D34" s="130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10" t="s">
        <v>60</v>
      </c>
      <c r="F36" s="138"/>
      <c r="G36" s="139"/>
      <c r="H36" s="5"/>
    </row>
    <row r="37" spans="1:8" s="2" customFormat="1" ht="12" customHeight="1" x14ac:dyDescent="0.25">
      <c r="A37" s="5"/>
      <c r="B37" s="296" t="s">
        <v>214</v>
      </c>
      <c r="C37" s="297"/>
      <c r="D37" s="298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215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110" t="s">
        <v>216</v>
      </c>
      <c r="C39" s="138"/>
      <c r="D39" s="139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10" t="s">
        <v>330</v>
      </c>
      <c r="C40" s="138"/>
      <c r="D40" s="139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85"/>
      <c r="F42" s="86"/>
      <c r="G42" s="87"/>
      <c r="H42" s="5"/>
    </row>
    <row r="43" spans="1:8" s="2" customFormat="1" ht="12" customHeight="1" x14ac:dyDescent="0.25">
      <c r="A43" s="5"/>
      <c r="B43" s="128" t="s">
        <v>311</v>
      </c>
      <c r="C43" s="129"/>
      <c r="D43" s="130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140"/>
      <c r="F45" s="141"/>
      <c r="G45" s="142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217</v>
      </c>
      <c r="C47" s="120"/>
      <c r="D47" s="121"/>
      <c r="E47" s="154" t="s">
        <v>64</v>
      </c>
      <c r="F47" s="155"/>
      <c r="G47" s="156"/>
      <c r="H47" s="5"/>
    </row>
    <row r="48" spans="1:8" s="2" customFormat="1" ht="12" customHeight="1" x14ac:dyDescent="0.25">
      <c r="A48" s="5"/>
      <c r="B48" s="107" t="s">
        <v>331</v>
      </c>
      <c r="C48" s="108"/>
      <c r="D48" s="109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107" t="s">
        <v>218</v>
      </c>
      <c r="C49" s="108"/>
      <c r="D49" s="109"/>
      <c r="E49" s="110" t="s">
        <v>219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42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332</v>
      </c>
      <c r="E62" s="96"/>
      <c r="F62" s="96"/>
      <c r="G62" s="35">
        <f ca="1">E17+7</f>
        <v>45768</v>
      </c>
      <c r="H62" s="9"/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3 C45:D45 C42:D42 F32:G35 F31 E31:E3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jRsd99E24Wg0cREusBHWfr8AogbmoKcBAiIEI/AkVrYZ6d3Zv1r365CvDnomnIuIagvCXHSwta3CL7/ZYpI/1A==" saltValue="4GoUJy3q9tod8g93O8nnng==" spinCount="100000" sqref="E36:G36" name="Rango1_2"/>
    <protectedRange algorithmName="SHA-512" hashValue="jRsd99E24Wg0cREusBHWfr8AogbmoKcBAiIEI/AkVrYZ6d3Zv1r365CvDnomnIuIagvCXHSwta3CL7/ZYpI/1A==" saltValue="4GoUJy3q9tod8g93O8nnng==" spinCount="100000" sqref="B49:D49" name="Rango1_3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1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47:D47"/>
    <mergeCell ref="E47:G47"/>
    <mergeCell ref="B37:D37"/>
    <mergeCell ref="B38:D38"/>
    <mergeCell ref="B39:D39"/>
    <mergeCell ref="E39:G39"/>
    <mergeCell ref="B40:D40"/>
    <mergeCell ref="E40:G40"/>
    <mergeCell ref="B45:D45"/>
    <mergeCell ref="E45:G45"/>
    <mergeCell ref="B46:G46"/>
    <mergeCell ref="B41:D41"/>
    <mergeCell ref="B42:D42"/>
    <mergeCell ref="B43:D43"/>
    <mergeCell ref="B44:D44"/>
    <mergeCell ref="E37:G38"/>
    <mergeCell ref="B60:G60"/>
    <mergeCell ref="B48:D48"/>
    <mergeCell ref="E48:G48"/>
    <mergeCell ref="B49:D49"/>
    <mergeCell ref="E49:G49"/>
    <mergeCell ref="B50:D50"/>
    <mergeCell ref="E50:G50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E41:G42"/>
    <mergeCell ref="E43:G43"/>
    <mergeCell ref="E44:G44"/>
    <mergeCell ref="B66:E66"/>
    <mergeCell ref="F66:H66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</mergeCells>
  <hyperlinks>
    <hyperlink ref="D7" r:id="rId1" xr:uid="{28A962B3-79A6-42EF-8D08-3E1C67A66B65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3B56C-364E-4314-A310-DB3F9AECE616}">
  <sheetPr codeName="Hoja8">
    <tabColor theme="1"/>
    <pageSetUpPr fitToPage="1"/>
  </sheetPr>
  <dimension ref="A3:H81"/>
  <sheetViews>
    <sheetView showGridLines="0" showRuler="0" view="pageBreakPreview" topLeftCell="A59" zoomScaleNormal="50" zoomScaleSheetLayoutView="10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3" max="3" width="10.5703125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220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221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07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07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16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302" t="s">
        <v>41</v>
      </c>
      <c r="C30" s="194"/>
      <c r="D30" s="195"/>
      <c r="E30" s="47" t="s">
        <v>225</v>
      </c>
      <c r="F30" s="49"/>
      <c r="G30" s="48"/>
      <c r="H30" s="5"/>
    </row>
    <row r="31" spans="1:8" s="2" customFormat="1" ht="12" customHeight="1" x14ac:dyDescent="0.25">
      <c r="A31" s="32"/>
      <c r="B31" s="110" t="s">
        <v>43</v>
      </c>
      <c r="C31" s="138"/>
      <c r="D31" s="139"/>
      <c r="E31" s="47" t="s">
        <v>227</v>
      </c>
      <c r="F31" s="49"/>
      <c r="G31" s="48"/>
      <c r="H31" s="5"/>
    </row>
    <row r="32" spans="1:8" s="2" customFormat="1" ht="12" customHeight="1" x14ac:dyDescent="0.25">
      <c r="A32" s="12"/>
      <c r="B32" s="201" t="s">
        <v>45</v>
      </c>
      <c r="C32" s="148"/>
      <c r="D32" s="149"/>
      <c r="E32" s="47" t="s">
        <v>228</v>
      </c>
      <c r="F32" s="49"/>
      <c r="G32" s="48"/>
      <c r="H32" s="5"/>
    </row>
    <row r="33" spans="1:8" s="2" customFormat="1" ht="12" customHeight="1" x14ac:dyDescent="0.25">
      <c r="A33" s="5"/>
      <c r="B33" s="201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10" t="s">
        <v>48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90" t="s">
        <v>226</v>
      </c>
      <c r="C35" s="191"/>
      <c r="D35" s="192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90"/>
      <c r="C36" s="191"/>
      <c r="D36" s="192"/>
      <c r="E36" s="110" t="s">
        <v>60</v>
      </c>
      <c r="F36" s="138"/>
      <c r="G36" s="139"/>
      <c r="H36" s="5"/>
    </row>
    <row r="37" spans="1:8" s="2" customFormat="1" ht="12" customHeight="1" x14ac:dyDescent="0.25">
      <c r="A37" s="5"/>
      <c r="B37" s="303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10" t="s">
        <v>55</v>
      </c>
      <c r="C38" s="138"/>
      <c r="D38" s="139"/>
      <c r="E38" s="85"/>
      <c r="F38" s="86"/>
      <c r="G38" s="87"/>
      <c r="H38" s="5"/>
    </row>
    <row r="39" spans="1:8" s="2" customFormat="1" ht="12" customHeight="1" x14ac:dyDescent="0.25">
      <c r="A39" s="5"/>
      <c r="B39" s="110" t="s">
        <v>57</v>
      </c>
      <c r="C39" s="138"/>
      <c r="D39" s="139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10" t="s">
        <v>59</v>
      </c>
      <c r="C40" s="138"/>
      <c r="D40" s="139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10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10" t="s">
        <v>42</v>
      </c>
      <c r="C42" s="138"/>
      <c r="D42" s="139"/>
      <c r="E42" s="85"/>
      <c r="F42" s="86"/>
      <c r="G42" s="87"/>
      <c r="H42" s="5"/>
    </row>
    <row r="43" spans="1:8" s="2" customFormat="1" ht="12" customHeight="1" x14ac:dyDescent="0.25">
      <c r="A43" s="5"/>
      <c r="B43" s="128" t="s">
        <v>222</v>
      </c>
      <c r="C43" s="129"/>
      <c r="D43" s="130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28" t="s">
        <v>223</v>
      </c>
      <c r="C44" s="129"/>
      <c r="D44" s="130"/>
      <c r="E44" s="91"/>
      <c r="F44" s="92"/>
      <c r="G44" s="93"/>
      <c r="H44" s="5"/>
    </row>
    <row r="45" spans="1:8" s="2" customFormat="1" ht="12" customHeight="1" x14ac:dyDescent="0.25">
      <c r="A45" s="5"/>
      <c r="B45" s="181" t="s">
        <v>224</v>
      </c>
      <c r="C45" s="182"/>
      <c r="D45" s="183"/>
      <c r="E45" s="56"/>
      <c r="F45" s="57"/>
      <c r="G45" s="58"/>
      <c r="H45" s="5"/>
    </row>
    <row r="46" spans="1:8" s="2" customFormat="1" ht="12" customHeight="1" x14ac:dyDescent="0.25">
      <c r="B46" s="180" t="s">
        <v>62</v>
      </c>
      <c r="C46" s="145"/>
      <c r="D46" s="145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07" t="s">
        <v>64</v>
      </c>
      <c r="F47" s="155"/>
      <c r="G47" s="156"/>
      <c r="H47" s="5"/>
    </row>
    <row r="48" spans="1:8" s="2" customFormat="1" ht="12" customHeight="1" x14ac:dyDescent="0.25">
      <c r="A48" s="5"/>
      <c r="B48" s="107" t="s">
        <v>229</v>
      </c>
      <c r="C48" s="108"/>
      <c r="D48" s="109"/>
      <c r="E48" s="107" t="s">
        <v>230</v>
      </c>
      <c r="F48" s="108"/>
      <c r="G48" s="109"/>
      <c r="H48" s="5"/>
    </row>
    <row r="49" spans="1:8" s="2" customFormat="1" ht="12" customHeight="1" x14ac:dyDescent="0.25">
      <c r="A49" s="5"/>
      <c r="B49" s="107" t="s">
        <v>67</v>
      </c>
      <c r="C49" s="108"/>
      <c r="D49" s="109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C61+C62+C63+C64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231</v>
      </c>
      <c r="E62" s="96"/>
      <c r="F62" s="96"/>
      <c r="G62" s="35">
        <f ca="1">G61+15</f>
        <v>45776</v>
      </c>
      <c r="H62" s="9"/>
    </row>
    <row r="63" spans="1:8" s="2" customFormat="1" ht="12" customHeight="1" x14ac:dyDescent="0.25">
      <c r="A63" s="9"/>
      <c r="B63" s="8" t="s">
        <v>78</v>
      </c>
      <c r="C63" s="37"/>
      <c r="D63" s="304" t="s">
        <v>232</v>
      </c>
      <c r="E63" s="304"/>
      <c r="F63" s="304"/>
      <c r="G63" s="35">
        <f ca="1">G62+45</f>
        <v>45821</v>
      </c>
      <c r="H63" s="7" t="s">
        <v>81</v>
      </c>
    </row>
    <row r="64" spans="1:8" s="2" customFormat="1" ht="12" customHeight="1" x14ac:dyDescent="0.25">
      <c r="A64" s="9"/>
      <c r="B64" s="8" t="s">
        <v>78</v>
      </c>
      <c r="C64" s="40"/>
      <c r="D64" s="96" t="s">
        <v>233</v>
      </c>
      <c r="E64" s="96"/>
      <c r="F64" s="96"/>
      <c r="G64" s="35">
        <f ca="1">G63+20</f>
        <v>45841</v>
      </c>
      <c r="H64" s="7"/>
    </row>
    <row r="65" spans="1:8" s="2" customFormat="1" ht="12" customHeight="1" x14ac:dyDescent="0.25">
      <c r="A65" s="5"/>
      <c r="B65" s="105" t="s">
        <v>82</v>
      </c>
      <c r="C65" s="105"/>
      <c r="D65" s="105"/>
      <c r="E65" s="105"/>
      <c r="F65" s="105"/>
      <c r="G65" s="105"/>
      <c r="H65" s="4"/>
    </row>
    <row r="66" spans="1:8" s="2" customFormat="1" ht="12" customHeight="1" x14ac:dyDescent="0.2">
      <c r="A66" s="3" t="s">
        <v>83</v>
      </c>
      <c r="B66" s="106" t="s">
        <v>84</v>
      </c>
      <c r="C66" s="106"/>
      <c r="D66" s="106"/>
      <c r="E66" s="106"/>
      <c r="F66" s="106"/>
      <c r="G66" s="106"/>
    </row>
    <row r="67" spans="1:8" ht="12" customHeight="1" x14ac:dyDescent="0.25">
      <c r="B67" s="95" t="s">
        <v>786</v>
      </c>
      <c r="C67" s="95"/>
      <c r="D67" s="95"/>
      <c r="E67" s="95"/>
      <c r="F67" s="95" t="s">
        <v>85</v>
      </c>
      <c r="G67" s="95"/>
      <c r="H67" s="95"/>
    </row>
    <row r="68" spans="1:8" ht="12" customHeight="1" x14ac:dyDescent="0.25">
      <c r="B68" s="94" t="s">
        <v>86</v>
      </c>
      <c r="C68" s="94"/>
      <c r="D68" s="94"/>
      <c r="E68" s="94"/>
      <c r="F68" s="95" t="s">
        <v>87</v>
      </c>
      <c r="G68" s="95"/>
      <c r="H68" s="95"/>
    </row>
    <row r="69" spans="1:8" ht="12" customHeight="1" x14ac:dyDescent="0.25">
      <c r="B69" s="94" t="s">
        <v>785</v>
      </c>
      <c r="C69" s="94"/>
      <c r="D69" s="94"/>
      <c r="E69" s="94"/>
      <c r="F69" s="95" t="s">
        <v>432</v>
      </c>
      <c r="G69" s="95"/>
      <c r="H69" s="95"/>
    </row>
    <row r="70" spans="1:8" ht="12" customHeight="1" x14ac:dyDescent="0.25">
      <c r="B70" s="95" t="s">
        <v>784</v>
      </c>
      <c r="C70" s="95"/>
      <c r="D70" s="95"/>
      <c r="E70" s="95"/>
      <c r="F70" s="95"/>
      <c r="G70" s="95"/>
    </row>
    <row r="71" spans="1:8" ht="12" customHeight="1" x14ac:dyDescent="0.25">
      <c r="B71" s="33"/>
      <c r="C71" s="33"/>
      <c r="D71" s="33"/>
      <c r="E71" s="33"/>
      <c r="F71" s="33"/>
      <c r="G71" s="33"/>
      <c r="H71" s="33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1:D21 E20:G2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B31:D32" name="Rango2"/>
    <protectedRange algorithmName="SHA-512" hashValue="1IwEtpPovyRjspz9ti3J5udl070IPZ9gDlGmM3ZH/lFyQlLVVL2qbaMds7kHvZZkPq7VvowLV2MqpNnf8owpjQ==" saltValue="SwYyjj//I75seGLqQP0hyQ==" spinCount="100000" sqref="B44:B45 C43:D44" name="Rango2_3"/>
    <protectedRange algorithmName="SHA-512" hashValue="jRsd99E24Wg0cREusBHWfr8AogbmoKcBAiIEI/AkVrYZ6d3Zv1r365CvDnomnIuIagvCXHSwta3CL7/ZYpI/1A==" saltValue="4GoUJy3q9tod8g93O8nnng==" spinCount="100000" sqref="B43 C45:D45 C42:D42 F32:G36 F31 F30:G30 E30:E36" name="Rango1_3"/>
    <protectedRange algorithmName="SHA-512" hashValue="jRsd99E24Wg0cREusBHWfr8AogbmoKcBAiIEI/AkVrYZ6d3Zv1r365CvDnomnIuIagvCXHSwta3CL7/ZYpI/1A==" saltValue="4GoUJy3q9tod8g93O8nnng==" spinCount="100000" sqref="B49:D49" name="Rango1_4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68:E68"/>
    <mergeCell ref="F68:H68"/>
    <mergeCell ref="B69:E69"/>
    <mergeCell ref="F69:H69"/>
    <mergeCell ref="B70:E70"/>
    <mergeCell ref="F70:G70"/>
    <mergeCell ref="D62:F62"/>
    <mergeCell ref="D63:F63"/>
    <mergeCell ref="B65:G65"/>
    <mergeCell ref="B66:G66"/>
    <mergeCell ref="B67:E67"/>
    <mergeCell ref="F67:H67"/>
    <mergeCell ref="D64:F64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8:D48"/>
    <mergeCell ref="E48:G48"/>
    <mergeCell ref="B49:D49"/>
    <mergeCell ref="E49:G49"/>
    <mergeCell ref="B50:D50"/>
    <mergeCell ref="E50:G50"/>
    <mergeCell ref="B47:D47"/>
    <mergeCell ref="E47:G47"/>
    <mergeCell ref="B37:D37"/>
    <mergeCell ref="B38:D38"/>
    <mergeCell ref="B39:D39"/>
    <mergeCell ref="E39:G39"/>
    <mergeCell ref="B40:D40"/>
    <mergeCell ref="E40:G40"/>
    <mergeCell ref="B41:D41"/>
    <mergeCell ref="B46:G46"/>
    <mergeCell ref="B42:D42"/>
    <mergeCell ref="B43:D43"/>
    <mergeCell ref="B44:D44"/>
    <mergeCell ref="B45:D45"/>
    <mergeCell ref="E37:G38"/>
    <mergeCell ref="E41:G42"/>
    <mergeCell ref="B35:D36"/>
    <mergeCell ref="E35:G35"/>
    <mergeCell ref="E36:G36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E43:G43"/>
    <mergeCell ref="E44:G44"/>
    <mergeCell ref="B11:E11"/>
    <mergeCell ref="D4:F4"/>
    <mergeCell ref="D5:F5"/>
    <mergeCell ref="D6:F6"/>
    <mergeCell ref="D7:F7"/>
    <mergeCell ref="A8:H8"/>
    <mergeCell ref="B9:G10"/>
    <mergeCell ref="B21:D21"/>
    <mergeCell ref="E21:G21"/>
    <mergeCell ref="B12:G12"/>
    <mergeCell ref="B13:G13"/>
    <mergeCell ref="B15:E15"/>
    <mergeCell ref="B16:E16"/>
    <mergeCell ref="B17:C17"/>
  </mergeCells>
  <hyperlinks>
    <hyperlink ref="D7" r:id="rId1" xr:uid="{53BF6423-247A-4A38-860A-DC58EBA5E546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86DF4-3956-40C6-A303-10218D41E760}">
  <sheetPr codeName="Hoja9">
    <tabColor theme="1"/>
    <pageSetUpPr fitToPage="1"/>
  </sheetPr>
  <dimension ref="A3:H79"/>
  <sheetViews>
    <sheetView showGridLines="0" view="pageBreakPreview" topLeftCell="A47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234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235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90" t="s">
        <v>236</v>
      </c>
      <c r="C31" s="191"/>
      <c r="D31" s="192"/>
      <c r="E31" s="305" t="s">
        <v>518</v>
      </c>
      <c r="F31" s="306"/>
      <c r="G31" s="307"/>
      <c r="H31" s="5"/>
    </row>
    <row r="32" spans="1:8" s="2" customFormat="1" ht="12" customHeight="1" x14ac:dyDescent="0.25">
      <c r="A32" s="12"/>
      <c r="B32" s="190"/>
      <c r="C32" s="191"/>
      <c r="D32" s="192"/>
      <c r="E32" s="137" t="s">
        <v>46</v>
      </c>
      <c r="F32" s="138"/>
      <c r="G32" s="139"/>
      <c r="H32" s="5"/>
    </row>
    <row r="33" spans="1:8" s="2" customFormat="1" ht="12" customHeight="1" x14ac:dyDescent="0.25">
      <c r="A33" s="5"/>
      <c r="B33" s="305" t="s">
        <v>512</v>
      </c>
      <c r="C33" s="306"/>
      <c r="D33" s="307"/>
      <c r="E33" s="128" t="s">
        <v>513</v>
      </c>
      <c r="F33" s="129"/>
      <c r="G33" s="130"/>
      <c r="H33" s="5"/>
    </row>
    <row r="34" spans="1:8" s="2" customFormat="1" ht="12" customHeight="1" x14ac:dyDescent="0.25">
      <c r="A34" s="5"/>
      <c r="B34" s="305"/>
      <c r="C34" s="306"/>
      <c r="D34" s="307"/>
      <c r="E34" s="190" t="s">
        <v>519</v>
      </c>
      <c r="F34" s="191"/>
      <c r="G34" s="192"/>
      <c r="H34" s="5"/>
    </row>
    <row r="35" spans="1:8" s="2" customFormat="1" ht="12" customHeight="1" x14ac:dyDescent="0.25">
      <c r="A35" s="5"/>
      <c r="B35" s="311" t="s">
        <v>237</v>
      </c>
      <c r="C35" s="312"/>
      <c r="D35" s="313"/>
      <c r="E35" s="190"/>
      <c r="F35" s="191"/>
      <c r="G35" s="192"/>
      <c r="H35" s="5"/>
    </row>
    <row r="36" spans="1:8" s="2" customFormat="1" ht="12" customHeight="1" x14ac:dyDescent="0.25">
      <c r="A36" s="5"/>
      <c r="B36" s="308" t="s">
        <v>238</v>
      </c>
      <c r="C36" s="309"/>
      <c r="D36" s="310"/>
      <c r="E36" s="128" t="s">
        <v>514</v>
      </c>
      <c r="F36" s="129"/>
      <c r="G36" s="130"/>
      <c r="H36" s="5"/>
    </row>
    <row r="37" spans="1:8" s="2" customFormat="1" ht="12" customHeight="1" x14ac:dyDescent="0.25">
      <c r="A37" s="5"/>
      <c r="B37" s="296" t="s">
        <v>239</v>
      </c>
      <c r="C37" s="297"/>
      <c r="D37" s="298"/>
      <c r="E37" s="128" t="s">
        <v>515</v>
      </c>
      <c r="F37" s="129"/>
      <c r="G37" s="130"/>
      <c r="H37" s="5"/>
    </row>
    <row r="38" spans="1:8" s="2" customFormat="1" ht="12" customHeight="1" x14ac:dyDescent="0.25">
      <c r="A38" s="5"/>
      <c r="B38" s="128" t="s">
        <v>240</v>
      </c>
      <c r="C38" s="129"/>
      <c r="D38" s="130"/>
      <c r="E38" s="128" t="s">
        <v>516</v>
      </c>
      <c r="F38" s="129"/>
      <c r="G38" s="130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56</v>
      </c>
      <c r="F39" s="138"/>
      <c r="G39" s="13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53" t="s">
        <v>58</v>
      </c>
      <c r="F40" s="54"/>
      <c r="G40" s="55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53" t="s">
        <v>60</v>
      </c>
      <c r="F41" s="54"/>
      <c r="G41" s="55"/>
      <c r="H41" s="5"/>
    </row>
    <row r="42" spans="1:8" s="2" customFormat="1" ht="12" customHeight="1" x14ac:dyDescent="0.25">
      <c r="B42" s="143" t="s">
        <v>62</v>
      </c>
      <c r="C42" s="144"/>
      <c r="D42" s="144"/>
      <c r="E42" s="144"/>
      <c r="F42" s="144"/>
      <c r="G42" s="153"/>
      <c r="H42" s="5"/>
    </row>
    <row r="43" spans="1:8" s="2" customFormat="1" ht="12" customHeight="1" x14ac:dyDescent="0.25">
      <c r="A43" s="5"/>
      <c r="B43" s="318" t="s">
        <v>63</v>
      </c>
      <c r="C43" s="319"/>
      <c r="D43" s="320"/>
      <c r="E43" s="288" t="s">
        <v>241</v>
      </c>
      <c r="F43" s="289"/>
      <c r="G43" s="314"/>
      <c r="H43" s="5"/>
    </row>
    <row r="44" spans="1:8" s="2" customFormat="1" ht="12" customHeight="1" x14ac:dyDescent="0.25">
      <c r="A44" s="5"/>
      <c r="B44" s="154" t="s">
        <v>65</v>
      </c>
      <c r="C44" s="155"/>
      <c r="D44" s="156"/>
      <c r="E44" s="190"/>
      <c r="F44" s="191"/>
      <c r="G44" s="192"/>
      <c r="H44" s="5"/>
    </row>
    <row r="45" spans="1:8" s="2" customFormat="1" ht="12" customHeight="1" x14ac:dyDescent="0.25">
      <c r="A45" s="5"/>
      <c r="B45" s="154" t="s">
        <v>67</v>
      </c>
      <c r="C45" s="155"/>
      <c r="D45" s="156"/>
      <c r="E45" s="201" t="s">
        <v>242</v>
      </c>
      <c r="F45" s="202"/>
      <c r="G45" s="203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15"/>
      <c r="F46" s="316"/>
      <c r="G46" s="317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SUM(C61:C62)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517</v>
      </c>
      <c r="E62" s="96"/>
      <c r="F62" s="96"/>
      <c r="G62" s="35">
        <f ca="1">E17+15</f>
        <v>45776</v>
      </c>
      <c r="H62" s="9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38 F35 F33:G34 F30:G30 E34:E38 E39:G41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6:E66"/>
    <mergeCell ref="F66:H66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46:D46"/>
    <mergeCell ref="E43:G44"/>
    <mergeCell ref="E45:G46"/>
    <mergeCell ref="B43:D43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0:D40"/>
    <mergeCell ref="B41:D41"/>
    <mergeCell ref="B42:G42"/>
    <mergeCell ref="B44:D44"/>
    <mergeCell ref="B45:D45"/>
    <mergeCell ref="B37:D37"/>
    <mergeCell ref="E37:G37"/>
    <mergeCell ref="B38:D38"/>
    <mergeCell ref="E38:G38"/>
    <mergeCell ref="B39:D39"/>
    <mergeCell ref="E39:G39"/>
    <mergeCell ref="E32:G32"/>
    <mergeCell ref="E33:G33"/>
    <mergeCell ref="E36:G36"/>
    <mergeCell ref="B31:D32"/>
    <mergeCell ref="E31:G31"/>
    <mergeCell ref="B36:D36"/>
    <mergeCell ref="B35:D35"/>
    <mergeCell ref="B33:D34"/>
    <mergeCell ref="E34:G35"/>
    <mergeCell ref="B28:D28"/>
    <mergeCell ref="E28:G28"/>
    <mergeCell ref="B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B10BA1A1-5888-4F6C-8B56-0F8F786DE8E9}"/>
  </hyperlinks>
  <printOptions horizontalCentered="1"/>
  <pageMargins left="0.59055118110236227" right="0.59055118110236227" top="0.59055118110236227" bottom="0" header="0" footer="0"/>
  <pageSetup paperSize="9" scale="86"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CE91F-5057-4619-BE3E-D75590F64383}">
  <sheetPr codeName="Hoja10">
    <tabColor theme="1"/>
    <pageSetUpPr fitToPage="1"/>
  </sheetPr>
  <dimension ref="A3:K79"/>
  <sheetViews>
    <sheetView showGridLines="0" view="pageBreakPreview" topLeftCell="A53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11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11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11" ht="12" customHeight="1" x14ac:dyDescent="0.25">
      <c r="C7" s="26" t="s">
        <v>7</v>
      </c>
      <c r="D7" s="175" t="s">
        <v>8</v>
      </c>
      <c r="E7" s="175"/>
      <c r="F7" s="175"/>
      <c r="G7" s="25"/>
      <c r="K7" s="41"/>
    </row>
    <row r="8" spans="1:11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11" s="1" customFormat="1" ht="15.95" customHeight="1" x14ac:dyDescent="0.25">
      <c r="B9" s="171" t="s">
        <v>243</v>
      </c>
      <c r="C9" s="171"/>
      <c r="D9" s="171"/>
      <c r="E9" s="171"/>
      <c r="F9" s="171"/>
      <c r="G9" s="171"/>
      <c r="H9" s="24"/>
    </row>
    <row r="10" spans="1:11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11" s="14" customFormat="1" ht="12" customHeight="1" x14ac:dyDescent="0.25">
      <c r="A11" s="16" t="s">
        <v>10</v>
      </c>
      <c r="B11" s="159" t="s">
        <v>244</v>
      </c>
      <c r="C11" s="159"/>
      <c r="D11" s="159"/>
      <c r="E11" s="159"/>
      <c r="F11" s="29" t="s">
        <v>12</v>
      </c>
      <c r="G11" s="23"/>
      <c r="H11" s="5"/>
    </row>
    <row r="12" spans="1:11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11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11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11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11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334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28" t="s">
        <v>245</v>
      </c>
      <c r="C31" s="129"/>
      <c r="D31" s="130"/>
      <c r="E31" s="128" t="s">
        <v>246</v>
      </c>
      <c r="F31" s="129"/>
      <c r="G31" s="130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90" t="s">
        <v>492</v>
      </c>
      <c r="F32" s="191"/>
      <c r="G32" s="192"/>
      <c r="H32" s="5"/>
    </row>
    <row r="33" spans="1:8" s="2" customFormat="1" ht="12" customHeight="1" x14ac:dyDescent="0.25">
      <c r="A33" s="5"/>
      <c r="B33" s="147"/>
      <c r="C33" s="148"/>
      <c r="D33" s="149"/>
      <c r="E33" s="190"/>
      <c r="F33" s="191"/>
      <c r="G33" s="192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28" t="s">
        <v>247</v>
      </c>
      <c r="F34" s="129"/>
      <c r="G34" s="130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22" t="s">
        <v>248</v>
      </c>
      <c r="F35" s="123"/>
      <c r="G35" s="124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493</v>
      </c>
      <c r="F36" s="129"/>
      <c r="G36" s="130"/>
      <c r="H36" s="5"/>
    </row>
    <row r="37" spans="1:8" s="2" customFormat="1" ht="12" customHeight="1" x14ac:dyDescent="0.25">
      <c r="A37" s="5"/>
      <c r="B37" s="190" t="s">
        <v>491</v>
      </c>
      <c r="C37" s="191"/>
      <c r="D37" s="192"/>
      <c r="E37" s="128" t="s">
        <v>494</v>
      </c>
      <c r="F37" s="129"/>
      <c r="G37" s="130"/>
      <c r="H37" s="5"/>
    </row>
    <row r="38" spans="1:8" s="2" customFormat="1" ht="12" customHeight="1" x14ac:dyDescent="0.25">
      <c r="A38" s="5"/>
      <c r="B38" s="190"/>
      <c r="C38" s="191"/>
      <c r="D38" s="192"/>
      <c r="E38" s="128" t="s">
        <v>495</v>
      </c>
      <c r="F38" s="129"/>
      <c r="G38" s="130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28" t="s">
        <v>496</v>
      </c>
      <c r="F39" s="129"/>
      <c r="G39" s="130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28" t="s">
        <v>497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288" t="s">
        <v>500</v>
      </c>
      <c r="C43" s="289"/>
      <c r="D43" s="314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90"/>
      <c r="C44" s="191"/>
      <c r="D44" s="192"/>
      <c r="E44" s="107" t="s">
        <v>499</v>
      </c>
      <c r="F44" s="108"/>
      <c r="G44" s="109"/>
      <c r="H44" s="5"/>
    </row>
    <row r="45" spans="1:8" s="2" customFormat="1" ht="12" customHeight="1" x14ac:dyDescent="0.25">
      <c r="A45" s="5"/>
      <c r="B45" s="190"/>
      <c r="C45" s="191"/>
      <c r="D45" s="192"/>
      <c r="E45" s="110" t="s">
        <v>498</v>
      </c>
      <c r="F45" s="111"/>
      <c r="G45" s="112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21"/>
      <c r="F46" s="322"/>
      <c r="G46" s="323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335</v>
      </c>
      <c r="E62" s="96"/>
      <c r="F62" s="96"/>
      <c r="G62" s="35">
        <f ca="1">E17+15</f>
        <v>45776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40 E35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4">
    <mergeCell ref="B66:E66"/>
    <mergeCell ref="F66:H66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E44:G44"/>
    <mergeCell ref="E45:G45"/>
    <mergeCell ref="B46:D46"/>
    <mergeCell ref="E46:G46"/>
    <mergeCell ref="B43:D45"/>
    <mergeCell ref="E43:G43"/>
    <mergeCell ref="B41:D41"/>
    <mergeCell ref="E41:G41"/>
    <mergeCell ref="B42:G42"/>
    <mergeCell ref="B37:D38"/>
    <mergeCell ref="B35:D36"/>
    <mergeCell ref="E35:G35"/>
    <mergeCell ref="E36:G36"/>
    <mergeCell ref="E37:G37"/>
    <mergeCell ref="E38:G38"/>
    <mergeCell ref="B39:D39"/>
    <mergeCell ref="E39:G39"/>
    <mergeCell ref="B40:D40"/>
    <mergeCell ref="E40:G40"/>
    <mergeCell ref="B28:D28"/>
    <mergeCell ref="E28:G28"/>
    <mergeCell ref="B29:G29"/>
    <mergeCell ref="B30:D30"/>
    <mergeCell ref="E30:G30"/>
    <mergeCell ref="B31:D31"/>
    <mergeCell ref="E31:G31"/>
    <mergeCell ref="B32:D33"/>
    <mergeCell ref="B34:D34"/>
    <mergeCell ref="E34:G34"/>
    <mergeCell ref="E32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974FE9D9-0A6D-448F-95B1-F342835F4FDD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EB3C2-DEA7-4DCD-A7F7-C3C0ED52F39C}">
  <sheetPr codeName="Hoja18">
    <tabColor theme="1"/>
    <pageSetUpPr fitToPage="1"/>
  </sheetPr>
  <dimension ref="A3:H79"/>
  <sheetViews>
    <sheetView showGridLines="0" view="pageBreakPreview" topLeftCell="A4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8.710937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324" t="s">
        <v>8</v>
      </c>
      <c r="E7" s="324"/>
      <c r="F7" s="324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302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261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90" t="s">
        <v>262</v>
      </c>
      <c r="C31" s="191"/>
      <c r="D31" s="192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90"/>
      <c r="C32" s="191"/>
      <c r="D32" s="192"/>
      <c r="E32" s="137" t="s">
        <v>46</v>
      </c>
      <c r="F32" s="138"/>
      <c r="G32" s="139"/>
      <c r="H32" s="5"/>
    </row>
    <row r="33" spans="1:8" s="2" customFormat="1" ht="12" customHeight="1" x14ac:dyDescent="0.25">
      <c r="A33" s="5"/>
      <c r="B33" s="305" t="s">
        <v>263</v>
      </c>
      <c r="C33" s="306"/>
      <c r="D33" s="307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311" t="s">
        <v>264</v>
      </c>
      <c r="C34" s="312"/>
      <c r="D34" s="313"/>
      <c r="E34" s="137" t="s">
        <v>49</v>
      </c>
      <c r="F34" s="138"/>
      <c r="G34" s="139"/>
      <c r="H34" s="5"/>
    </row>
    <row r="35" spans="1:8" s="2" customFormat="1" ht="12" customHeight="1" x14ac:dyDescent="0.25">
      <c r="A35" s="5"/>
      <c r="B35" s="190" t="s">
        <v>265</v>
      </c>
      <c r="C35" s="191"/>
      <c r="D35" s="192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90"/>
      <c r="C36" s="191"/>
      <c r="D36" s="192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296" t="s">
        <v>266</v>
      </c>
      <c r="C37" s="297"/>
      <c r="D37" s="298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28" t="s">
        <v>240</v>
      </c>
      <c r="C38" s="129"/>
      <c r="D38" s="130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37" t="s">
        <v>60</v>
      </c>
      <c r="F40" s="138"/>
      <c r="G40" s="139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318" t="s">
        <v>63</v>
      </c>
      <c r="C43" s="319"/>
      <c r="D43" s="320"/>
      <c r="E43" s="318" t="s">
        <v>241</v>
      </c>
      <c r="F43" s="319"/>
      <c r="G43" s="320"/>
      <c r="H43" s="5"/>
    </row>
    <row r="44" spans="1:8" s="2" customFormat="1" ht="12" customHeight="1" x14ac:dyDescent="0.25">
      <c r="A44" s="5"/>
      <c r="B44" s="154" t="s">
        <v>65</v>
      </c>
      <c r="C44" s="155"/>
      <c r="D44" s="156"/>
      <c r="E44" s="147"/>
      <c r="F44" s="148"/>
      <c r="G44" s="149"/>
      <c r="H44" s="5"/>
    </row>
    <row r="45" spans="1:8" s="2" customFormat="1" ht="12" customHeight="1" x14ac:dyDescent="0.25">
      <c r="A45" s="5"/>
      <c r="B45" s="154" t="s">
        <v>67</v>
      </c>
      <c r="C45" s="155"/>
      <c r="D45" s="156"/>
      <c r="E45" s="201" t="s">
        <v>242</v>
      </c>
      <c r="F45" s="202"/>
      <c r="G45" s="203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15"/>
      <c r="F46" s="316"/>
      <c r="G46" s="317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4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505</v>
      </c>
      <c r="E62" s="96"/>
      <c r="F62" s="96"/>
      <c r="G62" s="35">
        <f ca="1">E17+35</f>
        <v>45796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6">
    <mergeCell ref="B66:E66"/>
    <mergeCell ref="F66:H66"/>
    <mergeCell ref="B67:E67"/>
    <mergeCell ref="F67:H67"/>
    <mergeCell ref="B68:E68"/>
    <mergeCell ref="F68:G68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4:G64"/>
    <mergeCell ref="B53:G53"/>
    <mergeCell ref="B40:D40"/>
    <mergeCell ref="E40:G40"/>
    <mergeCell ref="B41:D41"/>
    <mergeCell ref="E41:G41"/>
    <mergeCell ref="B42:G42"/>
    <mergeCell ref="B43:D43"/>
    <mergeCell ref="E43:G44"/>
    <mergeCell ref="B44:D44"/>
    <mergeCell ref="B45:D45"/>
    <mergeCell ref="E45:G46"/>
    <mergeCell ref="B46:D46"/>
    <mergeCell ref="B47:G47"/>
    <mergeCell ref="C52:G52"/>
    <mergeCell ref="B37:D37"/>
    <mergeCell ref="E37:G37"/>
    <mergeCell ref="B38:D38"/>
    <mergeCell ref="E38:G38"/>
    <mergeCell ref="B39:D39"/>
    <mergeCell ref="E39:G39"/>
    <mergeCell ref="B33:D33"/>
    <mergeCell ref="E33:G33"/>
    <mergeCell ref="B34:D34"/>
    <mergeCell ref="E34:G34"/>
    <mergeCell ref="B35:D36"/>
    <mergeCell ref="E35:G35"/>
    <mergeCell ref="E36:G36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8:D28"/>
    <mergeCell ref="E28:G28"/>
    <mergeCell ref="B29:G29"/>
    <mergeCell ref="B30:D30"/>
    <mergeCell ref="E30:G30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ECE866F8-657E-4DAE-9420-DFB7F7569B74}"/>
  </hyperlinks>
  <printOptions horizontalCentered="1"/>
  <pageMargins left="0.59055118110236227" right="0.59055118110236227" top="0.59055118110236227" bottom="0" header="0" footer="0"/>
  <pageSetup paperSize="9" scale="84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DFEA-E721-4948-A877-A3CDC9847D1E}">
  <sheetPr codeName="Hoja16">
    <tabColor theme="1"/>
    <pageSetUpPr fitToPage="1"/>
  </sheetPr>
  <dimension ref="A3:H79"/>
  <sheetViews>
    <sheetView showGridLines="0" showRuler="0" view="pageBreakPreview" topLeftCell="A59" zoomScale="145" zoomScaleNormal="50" zoomScaleSheetLayoutView="14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3" max="3" width="10.28515625" customWidth="1"/>
    <col min="4" max="4" width="14.28515625" customWidth="1"/>
    <col min="5" max="5" width="13.7109375" customWidth="1"/>
    <col min="6" max="6" width="21.5703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444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251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303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22" t="s">
        <v>252</v>
      </c>
      <c r="C25" s="123"/>
      <c r="D25" s="124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253</v>
      </c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28" t="s">
        <v>445</v>
      </c>
      <c r="C27" s="129"/>
      <c r="D27" s="130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37" t="s">
        <v>506</v>
      </c>
      <c r="C30" s="138"/>
      <c r="D30" s="139"/>
      <c r="E30" s="187" t="s">
        <v>449</v>
      </c>
      <c r="F30" s="188"/>
      <c r="G30" s="189"/>
      <c r="H30" s="5"/>
    </row>
    <row r="31" spans="1:8" s="2" customFormat="1" ht="12" customHeight="1" x14ac:dyDescent="0.25">
      <c r="A31" s="32"/>
      <c r="B31" s="137" t="s">
        <v>341</v>
      </c>
      <c r="C31" s="138"/>
      <c r="D31" s="139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339</v>
      </c>
      <c r="F32" s="129"/>
      <c r="G32" s="130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128" t="s">
        <v>446</v>
      </c>
      <c r="C34" s="129"/>
      <c r="D34" s="130"/>
      <c r="E34" s="137" t="s">
        <v>49</v>
      </c>
      <c r="F34" s="138"/>
      <c r="G34" s="139"/>
      <c r="H34" s="5"/>
    </row>
    <row r="35" spans="1:8" s="2" customFormat="1" ht="12" customHeight="1" x14ac:dyDescent="0.25">
      <c r="A35" s="5"/>
      <c r="B35" s="190" t="s">
        <v>447</v>
      </c>
      <c r="C35" s="191"/>
      <c r="D35" s="192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90"/>
      <c r="C36" s="191"/>
      <c r="D36" s="192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296" t="s">
        <v>448</v>
      </c>
      <c r="C37" s="297"/>
      <c r="D37" s="298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28" t="s">
        <v>336</v>
      </c>
      <c r="C39" s="129"/>
      <c r="D39" s="130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28" t="s">
        <v>304</v>
      </c>
      <c r="C40" s="129"/>
      <c r="D40" s="130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338</v>
      </c>
      <c r="C43" s="120"/>
      <c r="D43" s="121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07" t="s">
        <v>337</v>
      </c>
      <c r="C44" s="108"/>
      <c r="D44" s="109"/>
      <c r="E44" s="43" t="s">
        <v>305</v>
      </c>
      <c r="F44" s="44"/>
      <c r="G44" s="45"/>
      <c r="H44" s="5"/>
    </row>
    <row r="45" spans="1:8" s="2" customFormat="1" ht="12" customHeight="1" x14ac:dyDescent="0.25">
      <c r="A45" s="5"/>
      <c r="B45" s="237" t="s">
        <v>69</v>
      </c>
      <c r="C45" s="238"/>
      <c r="D45" s="239"/>
      <c r="E45" s="107" t="s">
        <v>450</v>
      </c>
      <c r="F45" s="325"/>
      <c r="G45" s="326"/>
      <c r="H45" s="5"/>
    </row>
    <row r="46" spans="1:8" s="2" customFormat="1" ht="12" customHeight="1" x14ac:dyDescent="0.25">
      <c r="A46" s="5"/>
      <c r="B46" s="113"/>
      <c r="C46" s="114"/>
      <c r="D46" s="115"/>
      <c r="E46" s="327"/>
      <c r="F46" s="328"/>
      <c r="G46" s="329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340</v>
      </c>
      <c r="E62" s="96"/>
      <c r="F62" s="96"/>
      <c r="G62" s="35">
        <f ca="1">E17+8</f>
        <v>45769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E34:E40 F36:G40 F35 F33:G34 F30:G30 C45:D45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5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44:D44"/>
    <mergeCell ref="B45:D46"/>
    <mergeCell ref="E45:G4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D62:F62"/>
    <mergeCell ref="B63:G63"/>
    <mergeCell ref="B64:G64"/>
    <mergeCell ref="B65:E65"/>
    <mergeCell ref="F65:H65"/>
    <mergeCell ref="B66:E66"/>
    <mergeCell ref="F66:H66"/>
    <mergeCell ref="B67:E67"/>
    <mergeCell ref="F67:H67"/>
    <mergeCell ref="B68:E68"/>
    <mergeCell ref="F68:G68"/>
  </mergeCells>
  <hyperlinks>
    <hyperlink ref="D7" r:id="rId1" xr:uid="{A1E073FF-06CC-4BF5-9868-3E9BCEE87C48}"/>
  </hyperlinks>
  <printOptions horizontalCentered="1"/>
  <pageMargins left="0.59055118110236227" right="0.59055118110236227" top="0.59055118110236227" bottom="0" header="0" footer="0"/>
  <pageSetup paperSize="9" scale="85"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9A79-36B1-42C3-9452-9336CD6F475F}">
  <sheetPr codeName="Hoja17">
    <tabColor theme="1"/>
    <pageSetUpPr fitToPage="1"/>
  </sheetPr>
  <dimension ref="A3:H79"/>
  <sheetViews>
    <sheetView showGridLines="0" showRuler="0" view="pageBreakPreview" topLeftCell="A55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255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470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256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252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306</v>
      </c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28" t="s">
        <v>307</v>
      </c>
      <c r="C27" s="129"/>
      <c r="D27" s="130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308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87" t="s">
        <v>469</v>
      </c>
      <c r="F30" s="188"/>
      <c r="G30" s="189"/>
      <c r="H30" s="5"/>
    </row>
    <row r="31" spans="1:8" s="2" customFormat="1" ht="12" customHeight="1" x14ac:dyDescent="0.25">
      <c r="A31" s="32"/>
      <c r="B31" s="128" t="s">
        <v>341</v>
      </c>
      <c r="C31" s="129"/>
      <c r="D31" s="130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476</v>
      </c>
      <c r="F32" s="129"/>
      <c r="G32" s="130"/>
      <c r="H32" s="5"/>
    </row>
    <row r="33" spans="1:8" s="2" customFormat="1" ht="12" customHeight="1" x14ac:dyDescent="0.25">
      <c r="A33" s="5"/>
      <c r="B33" s="147"/>
      <c r="C33" s="148"/>
      <c r="D33" s="149"/>
      <c r="E33" s="128" t="s">
        <v>473</v>
      </c>
      <c r="F33" s="129"/>
      <c r="G33" s="130"/>
      <c r="H33" s="5"/>
    </row>
    <row r="34" spans="1:8" s="2" customFormat="1" ht="12" customHeight="1" x14ac:dyDescent="0.25">
      <c r="A34" s="5"/>
      <c r="B34" s="128" t="s">
        <v>471</v>
      </c>
      <c r="C34" s="129"/>
      <c r="D34" s="130"/>
      <c r="E34" s="128" t="s">
        <v>474</v>
      </c>
      <c r="F34" s="129"/>
      <c r="G34" s="130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475</v>
      </c>
      <c r="F36" s="129"/>
      <c r="G36" s="130"/>
      <c r="H36" s="5"/>
    </row>
    <row r="37" spans="1:8" s="2" customFormat="1" ht="12" customHeight="1" x14ac:dyDescent="0.25">
      <c r="A37" s="5"/>
      <c r="B37" s="296" t="s">
        <v>472</v>
      </c>
      <c r="C37" s="297"/>
      <c r="D37" s="298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28" t="s">
        <v>309</v>
      </c>
      <c r="C39" s="129"/>
      <c r="D39" s="130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28" t="s">
        <v>304</v>
      </c>
      <c r="C40" s="129"/>
      <c r="D40" s="130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344</v>
      </c>
      <c r="C43" s="120"/>
      <c r="D43" s="121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07" t="s">
        <v>343</v>
      </c>
      <c r="C44" s="108"/>
      <c r="D44" s="109"/>
      <c r="E44" s="107" t="s">
        <v>254</v>
      </c>
      <c r="F44" s="108"/>
      <c r="G44" s="109"/>
      <c r="H44" s="5"/>
    </row>
    <row r="45" spans="1:8" s="2" customFormat="1" ht="12" customHeight="1" x14ac:dyDescent="0.25">
      <c r="A45" s="5"/>
      <c r="B45" s="107"/>
      <c r="C45" s="108"/>
      <c r="D45" s="109"/>
      <c r="E45" s="110" t="s">
        <v>257</v>
      </c>
      <c r="F45" s="111"/>
      <c r="G45" s="112"/>
      <c r="H45" s="5"/>
    </row>
    <row r="46" spans="1:8" s="2" customFormat="1" ht="12" customHeight="1" x14ac:dyDescent="0.25">
      <c r="A46" s="5"/>
      <c r="B46" s="113" t="s">
        <v>69</v>
      </c>
      <c r="C46" s="114"/>
      <c r="D46" s="115"/>
      <c r="E46" s="116"/>
      <c r="F46" s="117"/>
      <c r="G46" s="118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345</v>
      </c>
      <c r="E62" s="96"/>
      <c r="F62" s="96"/>
      <c r="G62" s="35">
        <f ca="1">E17+8</f>
        <v>45769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44:D44"/>
    <mergeCell ref="E44:G44"/>
    <mergeCell ref="B45:D45"/>
    <mergeCell ref="E45:G45"/>
    <mergeCell ref="B46:D46"/>
    <mergeCell ref="E46:G4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</mergeCells>
  <hyperlinks>
    <hyperlink ref="D7" r:id="rId1" xr:uid="{E2536401-226B-415F-B235-0F93C843B5C0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BDA7-376E-4CEA-B815-D5F93F8C98C1}">
  <sheetPr codeName="Hoja15">
    <tabColor theme="1"/>
    <pageSetUpPr fitToPage="1"/>
  </sheetPr>
  <dimension ref="A3:H79"/>
  <sheetViews>
    <sheetView showGridLines="0" showRuler="0" view="pageBreakPreview" topLeftCell="A56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258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349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187" t="s">
        <v>42</v>
      </c>
      <c r="F30" s="188"/>
      <c r="G30" s="189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292</v>
      </c>
      <c r="F32" s="129"/>
      <c r="G32" s="130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28" t="s">
        <v>259</v>
      </c>
      <c r="F34" s="129"/>
      <c r="G34" s="130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81" t="s">
        <v>61</v>
      </c>
      <c r="C41" s="182"/>
      <c r="D41" s="183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217</v>
      </c>
      <c r="C43" s="120"/>
      <c r="D43" s="121"/>
      <c r="E43" s="122" t="s">
        <v>64</v>
      </c>
      <c r="F43" s="123"/>
      <c r="G43" s="124"/>
      <c r="H43" s="5"/>
    </row>
    <row r="44" spans="1:8" s="2" customFormat="1" ht="12" customHeight="1" x14ac:dyDescent="0.25">
      <c r="A44" s="5"/>
      <c r="B44" s="107" t="s">
        <v>65</v>
      </c>
      <c r="C44" s="108"/>
      <c r="D44" s="109"/>
      <c r="E44" s="107" t="s">
        <v>66</v>
      </c>
      <c r="F44" s="108"/>
      <c r="G44" s="109"/>
      <c r="H44" s="5"/>
    </row>
    <row r="45" spans="1:8" s="2" customFormat="1" ht="12" customHeight="1" x14ac:dyDescent="0.25">
      <c r="A45" s="5"/>
      <c r="B45" s="107" t="s">
        <v>67</v>
      </c>
      <c r="C45" s="108"/>
      <c r="D45" s="109"/>
      <c r="E45" s="110" t="s">
        <v>68</v>
      </c>
      <c r="F45" s="111"/>
      <c r="G45" s="112"/>
      <c r="H45" s="5"/>
    </row>
    <row r="46" spans="1:8" s="2" customFormat="1" ht="12" customHeight="1" x14ac:dyDescent="0.25">
      <c r="A46" s="5"/>
      <c r="B46" s="113" t="s">
        <v>69</v>
      </c>
      <c r="C46" s="114"/>
      <c r="D46" s="115"/>
      <c r="E46" s="116"/>
      <c r="F46" s="117"/>
      <c r="G46" s="118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4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268</v>
      </c>
      <c r="E62" s="96"/>
      <c r="F62" s="96"/>
      <c r="G62" s="35">
        <f ca="1">E17+4</f>
        <v>45765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6:E66"/>
    <mergeCell ref="F66:H66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4:D44"/>
    <mergeCell ref="E44:G44"/>
    <mergeCell ref="B45:D45"/>
    <mergeCell ref="E45:G45"/>
    <mergeCell ref="B46:D46"/>
    <mergeCell ref="E46:G46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0C24D0CC-60CF-4062-9013-EFA3E320DC6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2191A-0CAC-49FA-8FD9-A654607E0F25}">
  <sheetPr codeName="Hoja19">
    <tabColor theme="1"/>
    <pageSetUpPr fitToPage="1"/>
  </sheetPr>
  <dimension ref="A3:H79"/>
  <sheetViews>
    <sheetView showGridLines="0" showRuler="0" view="pageBreakPreview" topLeftCell="A59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351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352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353</v>
      </c>
      <c r="C30" s="188"/>
      <c r="D30" s="189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28" t="s">
        <v>354</v>
      </c>
      <c r="C31" s="129"/>
      <c r="D31" s="130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90" t="s">
        <v>355</v>
      </c>
      <c r="C32" s="191"/>
      <c r="D32" s="192"/>
      <c r="E32" s="137" t="s">
        <v>46</v>
      </c>
      <c r="F32" s="138"/>
      <c r="G32" s="139"/>
      <c r="H32" s="5"/>
    </row>
    <row r="33" spans="1:8" s="2" customFormat="1" ht="12" customHeight="1" x14ac:dyDescent="0.25">
      <c r="A33" s="5"/>
      <c r="B33" s="190"/>
      <c r="C33" s="191"/>
      <c r="D33" s="192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128" t="s">
        <v>356</v>
      </c>
      <c r="C34" s="129"/>
      <c r="D34" s="130"/>
      <c r="E34" s="137" t="s">
        <v>49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318" t="s">
        <v>63</v>
      </c>
      <c r="C43" s="319"/>
      <c r="D43" s="320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54" t="s">
        <v>65</v>
      </c>
      <c r="C44" s="155"/>
      <c r="D44" s="156"/>
      <c r="E44" s="154" t="s">
        <v>66</v>
      </c>
      <c r="F44" s="155"/>
      <c r="G44" s="156"/>
      <c r="H44" s="5"/>
    </row>
    <row r="45" spans="1:8" s="2" customFormat="1" ht="12" customHeight="1" x14ac:dyDescent="0.25">
      <c r="A45" s="5"/>
      <c r="B45" s="154" t="s">
        <v>67</v>
      </c>
      <c r="C45" s="155"/>
      <c r="D45" s="156"/>
      <c r="E45" s="137" t="s">
        <v>68</v>
      </c>
      <c r="F45" s="138"/>
      <c r="G45" s="139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177"/>
      <c r="F46" s="178"/>
      <c r="G46" s="179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357</v>
      </c>
      <c r="E62" s="96"/>
      <c r="F62" s="96"/>
      <c r="G62" s="35">
        <f ca="1">E$17+8</f>
        <v>45769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4:D44"/>
    <mergeCell ref="E44:G44"/>
    <mergeCell ref="B45:D45"/>
    <mergeCell ref="E45:G45"/>
    <mergeCell ref="B46:D46"/>
    <mergeCell ref="E46:G46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560AAD86-2FCF-4294-AA1B-82DBEF30D564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59D-1BE7-40D8-BABA-F5755C5FAFF1}">
  <sheetPr codeName="Hoja20">
    <tabColor theme="1"/>
    <pageSetUpPr fitToPage="1"/>
  </sheetPr>
  <dimension ref="A3:H75"/>
  <sheetViews>
    <sheetView showGridLines="0" view="pageBreakPreview" topLeftCell="A59" zoomScale="145" zoomScaleNormal="10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276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277</v>
      </c>
      <c r="C11" s="159"/>
      <c r="D11" s="159"/>
      <c r="E11" s="159"/>
      <c r="F11" s="29" t="s">
        <v>12</v>
      </c>
      <c r="G11" s="46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330" t="s">
        <v>280</v>
      </c>
      <c r="F20" s="331"/>
      <c r="G20" s="332"/>
      <c r="H20" s="5"/>
    </row>
    <row r="21" spans="1:8" s="2" customFormat="1" ht="12" customHeight="1" x14ac:dyDescent="0.25">
      <c r="A21" s="5"/>
      <c r="B21" s="253" t="s">
        <v>108</v>
      </c>
      <c r="C21" s="254"/>
      <c r="D21" s="254"/>
      <c r="E21" s="226" t="s">
        <v>109</v>
      </c>
      <c r="F21" s="227"/>
      <c r="G21" s="22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226" t="s">
        <v>111</v>
      </c>
      <c r="F22" s="227"/>
      <c r="G22" s="228"/>
      <c r="H22" s="5"/>
    </row>
    <row r="23" spans="1:8" s="2" customFormat="1" ht="12" customHeight="1" x14ac:dyDescent="0.25">
      <c r="A23" s="5"/>
      <c r="B23" s="143" t="s">
        <v>112</v>
      </c>
      <c r="C23" s="144"/>
      <c r="D23" s="144"/>
      <c r="E23" s="226" t="s">
        <v>281</v>
      </c>
      <c r="F23" s="227"/>
      <c r="G23" s="228"/>
      <c r="H23" s="5"/>
    </row>
    <row r="24" spans="1:8" s="2" customFormat="1" ht="12" customHeight="1" x14ac:dyDescent="0.25">
      <c r="A24" s="5"/>
      <c r="B24" s="330" t="s">
        <v>271</v>
      </c>
      <c r="C24" s="331"/>
      <c r="D24" s="332"/>
      <c r="E24" s="226" t="s">
        <v>115</v>
      </c>
      <c r="F24" s="227"/>
      <c r="G24" s="228"/>
      <c r="H24" s="5"/>
    </row>
    <row r="25" spans="1:8" s="2" customFormat="1" ht="12" customHeight="1" x14ac:dyDescent="0.25">
      <c r="A25" s="30"/>
      <c r="B25" s="166" t="s">
        <v>278</v>
      </c>
      <c r="C25" s="167"/>
      <c r="D25" s="168"/>
      <c r="E25" s="226" t="s">
        <v>282</v>
      </c>
      <c r="F25" s="227"/>
      <c r="G25" s="228"/>
      <c r="H25" s="5"/>
    </row>
    <row r="26" spans="1:8" s="2" customFormat="1" ht="12" customHeight="1" x14ac:dyDescent="0.25">
      <c r="A26" s="31"/>
      <c r="B26" s="226" t="s">
        <v>272</v>
      </c>
      <c r="C26" s="227"/>
      <c r="D26" s="228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226" t="s">
        <v>118</v>
      </c>
      <c r="C27" s="227"/>
      <c r="D27" s="228"/>
      <c r="E27" s="226" t="s">
        <v>283</v>
      </c>
      <c r="F27" s="227"/>
      <c r="G27" s="228"/>
      <c r="H27" s="5"/>
    </row>
    <row r="28" spans="1:8" s="2" customFormat="1" ht="12" customHeight="1" x14ac:dyDescent="0.25">
      <c r="A28" s="31"/>
      <c r="B28" s="226" t="s">
        <v>273</v>
      </c>
      <c r="C28" s="227"/>
      <c r="D28" s="228"/>
      <c r="E28" s="256" t="s">
        <v>123</v>
      </c>
      <c r="F28" s="257"/>
      <c r="G28" s="258"/>
      <c r="H28" s="5"/>
    </row>
    <row r="29" spans="1:8" s="2" customFormat="1" ht="12" customHeight="1" x14ac:dyDescent="0.25">
      <c r="A29" s="32"/>
      <c r="B29" s="226" t="s">
        <v>122</v>
      </c>
      <c r="C29" s="227"/>
      <c r="D29" s="228"/>
      <c r="E29" s="333" t="s">
        <v>284</v>
      </c>
      <c r="F29" s="167"/>
      <c r="G29" s="168"/>
      <c r="H29" s="5"/>
    </row>
    <row r="30" spans="1:8" s="2" customFormat="1" ht="12" customHeight="1" x14ac:dyDescent="0.25">
      <c r="A30" s="32"/>
      <c r="B30" s="226" t="s">
        <v>274</v>
      </c>
      <c r="C30" s="227"/>
      <c r="D30" s="228"/>
      <c r="E30" s="333" t="s">
        <v>481</v>
      </c>
      <c r="F30" s="334"/>
      <c r="G30" s="335"/>
      <c r="H30" s="5"/>
    </row>
    <row r="31" spans="1:8" s="2" customFormat="1" ht="12" customHeight="1" x14ac:dyDescent="0.25">
      <c r="A31" s="12"/>
      <c r="B31" s="226" t="s">
        <v>126</v>
      </c>
      <c r="C31" s="227"/>
      <c r="D31" s="228"/>
      <c r="E31" s="336" t="s">
        <v>128</v>
      </c>
      <c r="F31" s="337"/>
      <c r="G31" s="338"/>
      <c r="H31" s="5"/>
    </row>
    <row r="32" spans="1:8" s="2" customFormat="1" ht="12" customHeight="1" x14ac:dyDescent="0.25">
      <c r="A32" s="5"/>
      <c r="B32" s="226" t="s">
        <v>275</v>
      </c>
      <c r="C32" s="227"/>
      <c r="D32" s="228"/>
      <c r="E32" s="240" t="s">
        <v>285</v>
      </c>
      <c r="F32" s="241"/>
      <c r="G32" s="242"/>
      <c r="H32" s="5"/>
    </row>
    <row r="33" spans="1:8" s="2" customFormat="1" ht="12" customHeight="1" x14ac:dyDescent="0.25">
      <c r="A33" s="5"/>
      <c r="B33" s="339" t="s">
        <v>129</v>
      </c>
      <c r="C33" s="340"/>
      <c r="D33" s="341"/>
      <c r="E33" s="245" t="s">
        <v>286</v>
      </c>
      <c r="F33" s="246"/>
      <c r="G33" s="247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50" t="s">
        <v>134</v>
      </c>
      <c r="F35" s="251"/>
      <c r="G35" s="252"/>
      <c r="H35" s="5"/>
    </row>
    <row r="36" spans="1:8" s="2" customFormat="1" ht="12" customHeight="1" x14ac:dyDescent="0.25">
      <c r="A36" s="5"/>
      <c r="B36" s="122" t="s">
        <v>479</v>
      </c>
      <c r="C36" s="123"/>
      <c r="D36" s="124"/>
      <c r="E36" s="122" t="s">
        <v>485</v>
      </c>
      <c r="F36" s="123"/>
      <c r="G36" s="124"/>
      <c r="H36" s="5"/>
    </row>
    <row r="37" spans="1:8" s="2" customFormat="1" ht="12" customHeight="1" x14ac:dyDescent="0.25">
      <c r="A37" s="5"/>
      <c r="B37" s="190" t="s">
        <v>480</v>
      </c>
      <c r="C37" s="191"/>
      <c r="D37" s="192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90"/>
      <c r="C38" s="191"/>
      <c r="D38" s="192"/>
      <c r="E38" s="237" t="s">
        <v>279</v>
      </c>
      <c r="F38" s="238"/>
      <c r="G38" s="239"/>
      <c r="H38" s="5"/>
    </row>
    <row r="39" spans="1:8" s="2" customFormat="1" ht="12" customHeight="1" x14ac:dyDescent="0.25">
      <c r="A39" s="5"/>
      <c r="B39" s="122" t="s">
        <v>487</v>
      </c>
      <c r="C39" s="123"/>
      <c r="D39" s="124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488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22" t="s">
        <v>482</v>
      </c>
      <c r="C41" s="123"/>
      <c r="D41" s="124"/>
      <c r="E41" s="154" t="s">
        <v>146</v>
      </c>
      <c r="F41" s="155"/>
      <c r="G41" s="156"/>
      <c r="H41" s="5"/>
    </row>
    <row r="42" spans="1:8" s="2" customFormat="1" ht="12" customHeight="1" x14ac:dyDescent="0.25">
      <c r="A42" s="5"/>
      <c r="B42" s="122" t="s">
        <v>483</v>
      </c>
      <c r="C42" s="123"/>
      <c r="D42" s="124"/>
      <c r="E42" s="256" t="s">
        <v>148</v>
      </c>
      <c r="F42" s="257"/>
      <c r="G42" s="258"/>
      <c r="H42" s="5"/>
    </row>
    <row r="43" spans="1:8" s="2" customFormat="1" ht="12" customHeight="1" x14ac:dyDescent="0.25">
      <c r="A43" s="5"/>
      <c r="B43" s="122" t="s">
        <v>484</v>
      </c>
      <c r="C43" s="123"/>
      <c r="D43" s="124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22" t="s">
        <v>151</v>
      </c>
      <c r="C44" s="123"/>
      <c r="D44" s="124"/>
      <c r="E44" s="229" t="s">
        <v>299</v>
      </c>
      <c r="F44" s="230"/>
      <c r="G44" s="231"/>
      <c r="H44" s="5"/>
    </row>
    <row r="45" spans="1:8" s="2" customFormat="1" ht="12" customHeight="1" x14ac:dyDescent="0.25">
      <c r="A45" s="5"/>
      <c r="B45" s="210" t="s">
        <v>489</v>
      </c>
      <c r="C45" s="211"/>
      <c r="D45" s="212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155</v>
      </c>
      <c r="C47" s="254"/>
      <c r="D47" s="255"/>
      <c r="E47" s="250" t="s">
        <v>64</v>
      </c>
      <c r="F47" s="251"/>
      <c r="G47" s="252"/>
    </row>
    <row r="48" spans="1:8" s="2" customFormat="1" ht="12" customHeight="1" x14ac:dyDescent="0.2">
      <c r="B48" s="229" t="s">
        <v>269</v>
      </c>
      <c r="C48" s="230"/>
      <c r="D48" s="231"/>
      <c r="E48" s="122" t="s">
        <v>66</v>
      </c>
      <c r="F48" s="123"/>
      <c r="G48" s="124"/>
    </row>
    <row r="49" spans="1:8" s="2" customFormat="1" ht="12" customHeight="1" x14ac:dyDescent="0.2">
      <c r="B49" s="229" t="s">
        <v>270</v>
      </c>
      <c r="C49" s="230"/>
      <c r="D49" s="231"/>
      <c r="E49" s="122" t="s">
        <v>158</v>
      </c>
      <c r="F49" s="123"/>
      <c r="G49" s="124"/>
    </row>
    <row r="50" spans="1:8" s="2" customFormat="1" ht="12" customHeight="1" x14ac:dyDescent="0.2">
      <c r="B50" s="122" t="s">
        <v>159</v>
      </c>
      <c r="C50" s="123"/>
      <c r="D50" s="124"/>
      <c r="E50" s="210" t="s">
        <v>160</v>
      </c>
      <c r="F50" s="211"/>
      <c r="G50" s="212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ht="12" customHeight="1" x14ac:dyDescent="0.25">
      <c r="A62" s="9"/>
      <c r="B62" s="8" t="s">
        <v>78</v>
      </c>
      <c r="C62" s="36"/>
      <c r="D62" s="266" t="s">
        <v>300</v>
      </c>
      <c r="E62" s="266"/>
      <c r="F62" s="266"/>
      <c r="G62" s="35">
        <f ca="1">E$17+16</f>
        <v>45777</v>
      </c>
      <c r="H62" s="7" t="s">
        <v>290</v>
      </c>
    </row>
    <row r="63" spans="1:8" ht="12" customHeight="1" x14ac:dyDescent="0.25">
      <c r="A63" s="9"/>
      <c r="B63" s="8" t="s">
        <v>78</v>
      </c>
      <c r="C63" s="37"/>
      <c r="D63" s="266" t="s">
        <v>486</v>
      </c>
      <c r="E63" s="266"/>
      <c r="F63" s="266"/>
      <c r="G63" s="35">
        <f ca="1">E$17+23</f>
        <v>45784</v>
      </c>
      <c r="H63" s="7" t="s">
        <v>290</v>
      </c>
    </row>
    <row r="64" spans="1:8" ht="12" customHeight="1" x14ac:dyDescent="0.25">
      <c r="A64" s="5"/>
      <c r="B64" s="105" t="s">
        <v>102</v>
      </c>
      <c r="C64" s="105"/>
      <c r="D64" s="105"/>
      <c r="E64" s="105"/>
      <c r="F64" s="105"/>
      <c r="G64" s="105"/>
      <c r="H64" s="4"/>
    </row>
    <row r="65" spans="1:8" ht="12" customHeight="1" x14ac:dyDescent="0.25">
      <c r="A65" s="3" t="s">
        <v>83</v>
      </c>
      <c r="B65" s="106" t="s">
        <v>84</v>
      </c>
      <c r="C65" s="106"/>
      <c r="D65" s="106"/>
      <c r="E65" s="106"/>
      <c r="F65" s="106"/>
      <c r="G65" s="106"/>
      <c r="H65" s="2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  <c r="H69" s="95"/>
    </row>
    <row r="70" spans="1:8" ht="15" customHeight="1" x14ac:dyDescent="0.25">
      <c r="B70" s="33"/>
      <c r="C70" s="33"/>
      <c r="D70" s="33"/>
      <c r="E70" s="33"/>
      <c r="F70" s="33"/>
      <c r="G70" s="33"/>
      <c r="H70" s="33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B69:E69"/>
    <mergeCell ref="F69:H69"/>
    <mergeCell ref="D63:F63"/>
    <mergeCell ref="B64:G64"/>
    <mergeCell ref="B65:G65"/>
    <mergeCell ref="B66:E66"/>
    <mergeCell ref="F66:H66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8:D48"/>
    <mergeCell ref="E48:G48"/>
    <mergeCell ref="B49:D49"/>
    <mergeCell ref="E49:G49"/>
    <mergeCell ref="B50:D50"/>
    <mergeCell ref="E50:G50"/>
    <mergeCell ref="B47:D47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37:D38"/>
    <mergeCell ref="E38:G38"/>
    <mergeCell ref="B39:D39"/>
    <mergeCell ref="E39:G39"/>
    <mergeCell ref="B40:D40"/>
    <mergeCell ref="E40:G40"/>
    <mergeCell ref="B29:D29"/>
    <mergeCell ref="E29:G29"/>
    <mergeCell ref="B30:D30"/>
    <mergeCell ref="E30:G30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19:D19"/>
    <mergeCell ref="E19:F19"/>
    <mergeCell ref="B20:D20"/>
    <mergeCell ref="E20:G20"/>
    <mergeCell ref="B22:D22"/>
    <mergeCell ref="E22:G22"/>
    <mergeCell ref="D62:F62"/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</mergeCells>
  <hyperlinks>
    <hyperlink ref="D7" r:id="rId1" xr:uid="{1637B337-BDE8-4E12-8CFA-BCA8E74FB504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7B46-63CD-4AA2-8114-66EC505B9C0A}">
  <sheetPr codeName="Hoja21">
    <tabColor theme="1"/>
    <pageSetUpPr fitToPage="1"/>
  </sheetPr>
  <dimension ref="A3:H79"/>
  <sheetViews>
    <sheetView showGridLines="0" showRuler="0" view="pageBreakPreview" topLeftCell="A47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315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316</v>
      </c>
      <c r="C11" s="159"/>
      <c r="D11" s="159"/>
      <c r="E11" s="159"/>
      <c r="F11" s="29" t="s">
        <v>12</v>
      </c>
      <c r="G11" s="46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96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22" t="s">
        <v>29</v>
      </c>
      <c r="F23" s="123"/>
      <c r="G23" s="124"/>
      <c r="H23" s="5"/>
    </row>
    <row r="24" spans="1:8" s="2" customFormat="1" ht="12" customHeight="1" x14ac:dyDescent="0.25">
      <c r="A24" s="5"/>
      <c r="B24" s="122" t="s">
        <v>293</v>
      </c>
      <c r="C24" s="123"/>
      <c r="D24" s="124"/>
      <c r="E24" s="154" t="s">
        <v>30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37" t="s">
        <v>38</v>
      </c>
      <c r="C28" s="138"/>
      <c r="D28" s="13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40</v>
      </c>
      <c r="C29" s="144"/>
      <c r="D29" s="144"/>
      <c r="E29" s="144"/>
      <c r="F29" s="144"/>
      <c r="G29" s="153"/>
      <c r="H29" s="5"/>
    </row>
    <row r="30" spans="1:8" s="2" customFormat="1" ht="12" customHeight="1" x14ac:dyDescent="0.25">
      <c r="A30" s="32"/>
      <c r="B30" s="137" t="s">
        <v>41</v>
      </c>
      <c r="C30" s="138"/>
      <c r="D30" s="139"/>
      <c r="E30" s="137" t="s">
        <v>42</v>
      </c>
      <c r="F30" s="138"/>
      <c r="G30" s="139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292</v>
      </c>
      <c r="F32" s="129"/>
      <c r="G32" s="130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37" t="s">
        <v>49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37" t="s">
        <v>60</v>
      </c>
      <c r="F40" s="138"/>
      <c r="G40" s="139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63</v>
      </c>
      <c r="C43" s="120"/>
      <c r="D43" s="121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07" t="s">
        <v>313</v>
      </c>
      <c r="C44" s="108"/>
      <c r="D44" s="109"/>
      <c r="E44" s="154" t="s">
        <v>66</v>
      </c>
      <c r="F44" s="155"/>
      <c r="G44" s="156"/>
      <c r="H44" s="5"/>
    </row>
    <row r="45" spans="1:8" s="2" customFormat="1" ht="12" customHeight="1" x14ac:dyDescent="0.25">
      <c r="A45" s="5"/>
      <c r="B45" s="107" t="s">
        <v>312</v>
      </c>
      <c r="C45" s="108"/>
      <c r="D45" s="109"/>
      <c r="E45" s="154" t="s">
        <v>68</v>
      </c>
      <c r="F45" s="155"/>
      <c r="G45" s="156"/>
      <c r="H45" s="5"/>
    </row>
    <row r="46" spans="1:8" s="2" customFormat="1" ht="12" customHeight="1" x14ac:dyDescent="0.25">
      <c r="A46" s="5"/>
      <c r="B46" s="107" t="s">
        <v>69</v>
      </c>
      <c r="C46" s="108"/>
      <c r="D46" s="109"/>
      <c r="E46" s="154"/>
      <c r="F46" s="155"/>
      <c r="G46" s="156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314</v>
      </c>
      <c r="E62" s="96"/>
      <c r="F62" s="96"/>
      <c r="G62" s="35">
        <f ca="1">E17+8</f>
        <v>45769</v>
      </c>
      <c r="H62" s="7" t="s">
        <v>81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4:D44"/>
    <mergeCell ref="E44:G44"/>
    <mergeCell ref="B45:D45"/>
    <mergeCell ref="E45:G45"/>
    <mergeCell ref="B46:D46"/>
    <mergeCell ref="E46:G46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A1864DC7-550E-4963-9F81-6D979D318EEA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1F62-0B35-4657-BA15-2160054DE19A}">
  <sheetPr codeName="Hoja22">
    <tabColor theme="1"/>
    <pageSetUpPr fitToPage="1"/>
  </sheetPr>
  <dimension ref="A3:I79"/>
  <sheetViews>
    <sheetView showGridLines="0" showRuler="0" view="pageBreakPreview" topLeftCell="A47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  <c r="H7" t="s">
        <v>279</v>
      </c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346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347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256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252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306</v>
      </c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28" t="s">
        <v>307</v>
      </c>
      <c r="C27" s="129"/>
      <c r="D27" s="130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308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28" t="s">
        <v>341</v>
      </c>
      <c r="C31" s="129"/>
      <c r="D31" s="130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342</v>
      </c>
      <c r="F32" s="129"/>
      <c r="G32" s="130"/>
      <c r="H32" s="5"/>
    </row>
    <row r="33" spans="1:9" s="2" customFormat="1" ht="12" customHeight="1" x14ac:dyDescent="0.25">
      <c r="A33" s="5"/>
      <c r="B33" s="147"/>
      <c r="C33" s="148"/>
      <c r="D33" s="149"/>
      <c r="E33" s="137" t="s">
        <v>47</v>
      </c>
      <c r="F33" s="138"/>
      <c r="G33" s="139"/>
      <c r="H33" s="5"/>
    </row>
    <row r="34" spans="1:9" s="2" customFormat="1" ht="12" customHeight="1" x14ac:dyDescent="0.25">
      <c r="A34" s="5"/>
      <c r="B34" s="137" t="s">
        <v>48</v>
      </c>
      <c r="C34" s="138"/>
      <c r="D34" s="139"/>
      <c r="E34" s="137" t="s">
        <v>49</v>
      </c>
      <c r="F34" s="138"/>
      <c r="G34" s="139"/>
      <c r="H34" s="5"/>
    </row>
    <row r="35" spans="1:9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9" s="2" customFormat="1" ht="12" customHeight="1" x14ac:dyDescent="0.25">
      <c r="A36" s="5"/>
      <c r="B36" s="147"/>
      <c r="C36" s="148"/>
      <c r="D36" s="149"/>
      <c r="E36" s="137" t="s">
        <v>52</v>
      </c>
      <c r="F36" s="138"/>
      <c r="G36" s="139"/>
      <c r="H36" s="5"/>
    </row>
    <row r="37" spans="1:9" s="2" customFormat="1" ht="12" customHeight="1" x14ac:dyDescent="0.25">
      <c r="A37" s="5"/>
      <c r="B37" s="125" t="s">
        <v>53</v>
      </c>
      <c r="C37" s="126"/>
      <c r="D37" s="127"/>
      <c r="E37" s="137" t="s">
        <v>54</v>
      </c>
      <c r="F37" s="138"/>
      <c r="G37" s="139"/>
      <c r="H37" s="5"/>
    </row>
    <row r="38" spans="1:9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9" s="2" customFormat="1" ht="12" customHeight="1" x14ac:dyDescent="0.25">
      <c r="A39" s="5"/>
      <c r="B39" s="128" t="s">
        <v>309</v>
      </c>
      <c r="C39" s="129"/>
      <c r="D39" s="130"/>
      <c r="E39" s="137" t="s">
        <v>58</v>
      </c>
      <c r="F39" s="138"/>
      <c r="G39" s="139"/>
      <c r="H39" s="5"/>
    </row>
    <row r="40" spans="1:9" s="2" customFormat="1" ht="12" customHeight="1" x14ac:dyDescent="0.25">
      <c r="A40" s="5"/>
      <c r="B40" s="128" t="s">
        <v>304</v>
      </c>
      <c r="C40" s="129"/>
      <c r="D40" s="130"/>
      <c r="E40" s="128" t="s">
        <v>60</v>
      </c>
      <c r="F40" s="129"/>
      <c r="G40" s="130"/>
      <c r="H40" s="5"/>
    </row>
    <row r="41" spans="1:9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9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9" s="2" customFormat="1" ht="12" customHeight="1" x14ac:dyDescent="0.25">
      <c r="A43" s="5"/>
      <c r="B43" s="119" t="s">
        <v>344</v>
      </c>
      <c r="C43" s="120"/>
      <c r="D43" s="121"/>
      <c r="E43" s="154" t="s">
        <v>64</v>
      </c>
      <c r="F43" s="155"/>
      <c r="G43" s="156"/>
      <c r="H43" s="5"/>
    </row>
    <row r="44" spans="1:9" s="2" customFormat="1" ht="12" customHeight="1" x14ac:dyDescent="0.25">
      <c r="A44" s="5"/>
      <c r="B44" s="107" t="s">
        <v>343</v>
      </c>
      <c r="C44" s="108"/>
      <c r="D44" s="109"/>
      <c r="E44" s="107" t="s">
        <v>254</v>
      </c>
      <c r="F44" s="108"/>
      <c r="G44" s="109"/>
      <c r="H44" s="5"/>
    </row>
    <row r="45" spans="1:9" s="2" customFormat="1" ht="12" customHeight="1" x14ac:dyDescent="0.25">
      <c r="A45" s="5"/>
      <c r="B45" s="107"/>
      <c r="C45" s="108"/>
      <c r="D45" s="109"/>
      <c r="E45" s="110" t="s">
        <v>257</v>
      </c>
      <c r="F45" s="111"/>
      <c r="G45" s="112"/>
      <c r="H45" s="5"/>
    </row>
    <row r="46" spans="1:9" s="2" customFormat="1" ht="12" customHeight="1" x14ac:dyDescent="0.25">
      <c r="A46" s="5"/>
      <c r="B46" s="113" t="s">
        <v>69</v>
      </c>
      <c r="C46" s="114"/>
      <c r="D46" s="115"/>
      <c r="E46" s="116"/>
      <c r="F46" s="117"/>
      <c r="G46" s="118"/>
      <c r="H46" s="5"/>
      <c r="I46" s="72"/>
    </row>
    <row r="47" spans="1:9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9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348</v>
      </c>
      <c r="E62" s="96"/>
      <c r="F62" s="96"/>
      <c r="G62" s="35">
        <f ca="1">E17+8</f>
        <v>45769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44:D44"/>
    <mergeCell ref="E44:G44"/>
    <mergeCell ref="B45:D45"/>
    <mergeCell ref="E45:G45"/>
    <mergeCell ref="B46:D46"/>
    <mergeCell ref="E46:G4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</mergeCells>
  <hyperlinks>
    <hyperlink ref="D7" r:id="rId1" xr:uid="{2D159D50-6A53-4A46-A49E-8A24D8176320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BE8E-2AF4-4B13-A1CE-D0F70C0FDE19}">
  <sheetPr codeName="Hoja23">
    <tabColor theme="1"/>
    <pageSetUpPr fitToPage="1"/>
  </sheetPr>
  <dimension ref="A3:H80"/>
  <sheetViews>
    <sheetView showGridLines="0" showRuler="0" view="pageBreakPreview" topLeftCell="A43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358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92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54" t="s">
        <v>23</v>
      </c>
      <c r="C20" s="155"/>
      <c r="D20" s="156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33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187" t="s">
        <v>42</v>
      </c>
      <c r="F30" s="188"/>
      <c r="G30" s="189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90" t="s">
        <v>45</v>
      </c>
      <c r="C32" s="191"/>
      <c r="D32" s="192"/>
      <c r="E32" s="137" t="s">
        <v>46</v>
      </c>
      <c r="F32" s="138"/>
      <c r="G32" s="139"/>
      <c r="H32" s="5"/>
    </row>
    <row r="33" spans="1:8" s="2" customFormat="1" ht="12" customHeight="1" x14ac:dyDescent="0.25">
      <c r="A33" s="5"/>
      <c r="B33" s="190"/>
      <c r="C33" s="191"/>
      <c r="D33" s="192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128" t="s">
        <v>48</v>
      </c>
      <c r="C34" s="129"/>
      <c r="D34" s="130"/>
      <c r="E34" s="137" t="s">
        <v>49</v>
      </c>
      <c r="F34" s="138"/>
      <c r="G34" s="139"/>
      <c r="H34" s="5"/>
    </row>
    <row r="35" spans="1:8" s="2" customFormat="1" ht="12" customHeight="1" x14ac:dyDescent="0.25">
      <c r="A35" s="5"/>
      <c r="B35" s="190" t="s">
        <v>50</v>
      </c>
      <c r="C35" s="191"/>
      <c r="D35" s="192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90"/>
      <c r="C36" s="191"/>
      <c r="D36" s="192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122" t="s">
        <v>53</v>
      </c>
      <c r="C37" s="123"/>
      <c r="D37" s="124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28" t="s">
        <v>291</v>
      </c>
      <c r="C39" s="129"/>
      <c r="D39" s="130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81" t="s">
        <v>61</v>
      </c>
      <c r="C41" s="182"/>
      <c r="D41" s="183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63</v>
      </c>
      <c r="C43" s="120"/>
      <c r="D43" s="121"/>
      <c r="E43" s="122" t="s">
        <v>64</v>
      </c>
      <c r="F43" s="123"/>
      <c r="G43" s="124"/>
      <c r="H43" s="5"/>
    </row>
    <row r="44" spans="1:8" s="2" customFormat="1" ht="12" customHeight="1" x14ac:dyDescent="0.25">
      <c r="A44" s="5"/>
      <c r="B44" s="107" t="s">
        <v>65</v>
      </c>
      <c r="C44" s="108"/>
      <c r="D44" s="109"/>
      <c r="E44" s="107" t="s">
        <v>66</v>
      </c>
      <c r="F44" s="108"/>
      <c r="G44" s="109"/>
      <c r="H44" s="5"/>
    </row>
    <row r="45" spans="1:8" s="2" customFormat="1" ht="12" customHeight="1" x14ac:dyDescent="0.25">
      <c r="A45" s="5"/>
      <c r="B45" s="107" t="s">
        <v>67</v>
      </c>
      <c r="C45" s="108"/>
      <c r="D45" s="109"/>
      <c r="E45" s="110" t="s">
        <v>68</v>
      </c>
      <c r="F45" s="111"/>
      <c r="G45" s="112"/>
      <c r="H45" s="5"/>
    </row>
    <row r="46" spans="1:8" s="2" customFormat="1" ht="12" customHeight="1" x14ac:dyDescent="0.25">
      <c r="A46" s="5"/>
      <c r="B46" s="113" t="s">
        <v>69</v>
      </c>
      <c r="C46" s="114"/>
      <c r="D46" s="115"/>
      <c r="E46" s="116"/>
      <c r="F46" s="117"/>
      <c r="G46" s="118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C61+C63+C62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6"/>
      <c r="D62" s="342" t="s">
        <v>490</v>
      </c>
      <c r="E62" s="342"/>
      <c r="F62" s="342"/>
      <c r="G62" s="35">
        <f ca="1">E$17+15</f>
        <v>45776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96" t="s">
        <v>93</v>
      </c>
      <c r="E63" s="96"/>
      <c r="F63" s="96"/>
      <c r="G63" s="35">
        <f ca="1">G61+30</f>
        <v>45791</v>
      </c>
      <c r="H63" s="7" t="s">
        <v>290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9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44:D44"/>
    <mergeCell ref="E44:G44"/>
    <mergeCell ref="B45:D45"/>
    <mergeCell ref="E45:G45"/>
    <mergeCell ref="B46:D46"/>
    <mergeCell ref="E46:G4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69:E69"/>
    <mergeCell ref="F69:G69"/>
    <mergeCell ref="D63:F63"/>
    <mergeCell ref="B64:G64"/>
    <mergeCell ref="B65:G65"/>
    <mergeCell ref="B66:E66"/>
    <mergeCell ref="F66:H66"/>
    <mergeCell ref="D62:F62"/>
    <mergeCell ref="B67:E67"/>
    <mergeCell ref="F67:H67"/>
    <mergeCell ref="B68:E68"/>
    <mergeCell ref="F68:H68"/>
  </mergeCells>
  <hyperlinks>
    <hyperlink ref="D7" r:id="rId1" xr:uid="{10D3D4B4-4CE2-4C18-8913-65885694F03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0C036-56D0-4E20-9D43-105A3D997B35}">
  <sheetPr codeName="Hoja25">
    <tabColor theme="1"/>
    <pageSetUpPr fitToPage="1"/>
  </sheetPr>
  <dimension ref="A3:H74"/>
  <sheetViews>
    <sheetView showGridLines="0" view="pageBreakPreview" topLeftCell="A55" zoomScaleNormal="10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372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373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346" t="s">
        <v>363</v>
      </c>
      <c r="F20" s="347"/>
      <c r="G20" s="348"/>
      <c r="H20" s="5"/>
    </row>
    <row r="21" spans="1:8" s="2" customFormat="1" ht="12" customHeight="1" x14ac:dyDescent="0.25">
      <c r="A21" s="5"/>
      <c r="B21" s="215" t="s">
        <v>368</v>
      </c>
      <c r="C21" s="216"/>
      <c r="D21" s="216"/>
      <c r="E21" s="343" t="s">
        <v>109</v>
      </c>
      <c r="F21" s="344"/>
      <c r="G21" s="345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343" t="s">
        <v>111</v>
      </c>
      <c r="F22" s="344"/>
      <c r="G22" s="345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343" t="s">
        <v>364</v>
      </c>
      <c r="F23" s="344"/>
      <c r="G23" s="345"/>
      <c r="H23" s="5"/>
    </row>
    <row r="24" spans="1:8" s="2" customFormat="1" ht="12" customHeight="1" x14ac:dyDescent="0.25">
      <c r="A24" s="5"/>
      <c r="B24" s="346" t="s">
        <v>271</v>
      </c>
      <c r="C24" s="347"/>
      <c r="D24" s="348"/>
      <c r="E24" s="343" t="s">
        <v>115</v>
      </c>
      <c r="F24" s="344"/>
      <c r="G24" s="345"/>
      <c r="H24" s="5"/>
    </row>
    <row r="25" spans="1:8" s="2" customFormat="1" ht="12" customHeight="1" x14ac:dyDescent="0.25">
      <c r="A25" s="30"/>
      <c r="B25" s="343" t="s">
        <v>359</v>
      </c>
      <c r="C25" s="344"/>
      <c r="D25" s="345"/>
      <c r="E25" s="343" t="s">
        <v>267</v>
      </c>
      <c r="F25" s="344"/>
      <c r="G25" s="345"/>
      <c r="H25" s="5"/>
    </row>
    <row r="26" spans="1:8" s="2" customFormat="1" ht="12" customHeight="1" x14ac:dyDescent="0.25">
      <c r="A26" s="31"/>
      <c r="B26" s="343" t="s">
        <v>118</v>
      </c>
      <c r="C26" s="344"/>
      <c r="D26" s="345"/>
      <c r="E26" s="343" t="s">
        <v>119</v>
      </c>
      <c r="F26" s="344"/>
      <c r="G26" s="345"/>
      <c r="H26" s="5"/>
    </row>
    <row r="27" spans="1:8" s="2" customFormat="1" ht="12" customHeight="1" x14ac:dyDescent="0.25">
      <c r="A27" s="31"/>
      <c r="B27" s="343" t="s">
        <v>360</v>
      </c>
      <c r="C27" s="344"/>
      <c r="D27" s="345"/>
      <c r="E27" s="166" t="s">
        <v>365</v>
      </c>
      <c r="F27" s="167"/>
      <c r="G27" s="168"/>
      <c r="H27" s="5"/>
    </row>
    <row r="28" spans="1:8" s="2" customFormat="1" ht="12" customHeight="1" x14ac:dyDescent="0.25">
      <c r="A28" s="31"/>
      <c r="B28" s="343" t="s">
        <v>122</v>
      </c>
      <c r="C28" s="344"/>
      <c r="D28" s="345"/>
      <c r="E28" s="349" t="s">
        <v>366</v>
      </c>
      <c r="F28" s="230"/>
      <c r="G28" s="231"/>
      <c r="H28" s="5"/>
    </row>
    <row r="29" spans="1:8" s="2" customFormat="1" ht="12" customHeight="1" x14ac:dyDescent="0.25">
      <c r="A29" s="32"/>
      <c r="B29" s="343" t="s">
        <v>361</v>
      </c>
      <c r="C29" s="344"/>
      <c r="D29" s="345"/>
      <c r="E29" s="350" t="s">
        <v>367</v>
      </c>
      <c r="F29" s="233"/>
      <c r="G29" s="234"/>
      <c r="H29" s="5"/>
    </row>
    <row r="30" spans="1:8" s="2" customFormat="1" ht="12" customHeight="1" x14ac:dyDescent="0.25">
      <c r="A30" s="32"/>
      <c r="B30" s="343" t="s">
        <v>126</v>
      </c>
      <c r="C30" s="344"/>
      <c r="D30" s="345"/>
      <c r="E30" s="235"/>
      <c r="F30" s="95"/>
      <c r="G30" s="236"/>
      <c r="H30" s="5"/>
    </row>
    <row r="31" spans="1:8" s="2" customFormat="1" ht="12" customHeight="1" x14ac:dyDescent="0.25">
      <c r="A31" s="12"/>
      <c r="B31" s="343" t="s">
        <v>362</v>
      </c>
      <c r="C31" s="344"/>
      <c r="D31" s="345"/>
      <c r="E31" s="240" t="s">
        <v>128</v>
      </c>
      <c r="F31" s="241"/>
      <c r="G31" s="242"/>
      <c r="H31" s="5"/>
    </row>
    <row r="32" spans="1:8" s="2" customFormat="1" ht="12" customHeight="1" x14ac:dyDescent="0.25">
      <c r="A32" s="5"/>
      <c r="B32" s="343" t="s">
        <v>129</v>
      </c>
      <c r="C32" s="344"/>
      <c r="D32" s="345"/>
      <c r="E32" s="240" t="s">
        <v>130</v>
      </c>
      <c r="F32" s="241"/>
      <c r="G32" s="242"/>
      <c r="H32" s="5"/>
    </row>
    <row r="33" spans="1:8" s="2" customFormat="1" ht="12" customHeight="1" x14ac:dyDescent="0.25">
      <c r="A33" s="5"/>
      <c r="B33" s="351" t="s">
        <v>131</v>
      </c>
      <c r="C33" s="352"/>
      <c r="D33" s="352"/>
      <c r="E33" s="245" t="s">
        <v>132</v>
      </c>
      <c r="F33" s="246"/>
      <c r="G33" s="247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71" t="s">
        <v>134</v>
      </c>
      <c r="F35" s="272"/>
      <c r="G35" s="273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237" t="s">
        <v>141</v>
      </c>
      <c r="C39" s="238"/>
      <c r="D39" s="239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237" t="s">
        <v>143</v>
      </c>
      <c r="C40" s="238"/>
      <c r="D40" s="239"/>
      <c r="E40" s="154" t="s">
        <v>144</v>
      </c>
      <c r="F40" s="155"/>
      <c r="G40" s="156"/>
      <c r="H40" s="5"/>
    </row>
    <row r="41" spans="1:8" s="2" customFormat="1" ht="12" customHeight="1" x14ac:dyDescent="0.25">
      <c r="B41" s="237" t="s">
        <v>298</v>
      </c>
      <c r="C41" s="238"/>
      <c r="D41" s="239"/>
      <c r="E41" s="122" t="s">
        <v>146</v>
      </c>
      <c r="F41" s="123"/>
      <c r="G41" s="124"/>
      <c r="H41" s="5"/>
    </row>
    <row r="42" spans="1:8" s="2" customFormat="1" ht="12" customHeight="1" x14ac:dyDescent="0.25">
      <c r="A42" s="5"/>
      <c r="B42" s="237" t="s">
        <v>147</v>
      </c>
      <c r="C42" s="238"/>
      <c r="D42" s="239"/>
      <c r="E42" s="353" t="s">
        <v>320</v>
      </c>
      <c r="F42" s="354"/>
      <c r="G42" s="355"/>
      <c r="H42" s="5"/>
    </row>
    <row r="43" spans="1:8" s="2" customFormat="1" ht="12" customHeight="1" x14ac:dyDescent="0.25">
      <c r="A43" s="5"/>
      <c r="B43" s="237" t="s">
        <v>149</v>
      </c>
      <c r="C43" s="238"/>
      <c r="D43" s="239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237" t="s">
        <v>151</v>
      </c>
      <c r="C44" s="238"/>
      <c r="D44" s="239"/>
      <c r="E44" s="256" t="s">
        <v>299</v>
      </c>
      <c r="F44" s="257"/>
      <c r="G44" s="258"/>
      <c r="H44" s="5"/>
    </row>
    <row r="45" spans="1:8" s="2" customFormat="1" ht="12" customHeight="1" x14ac:dyDescent="0.25">
      <c r="A45" s="5"/>
      <c r="B45" s="113" t="s">
        <v>153</v>
      </c>
      <c r="C45" s="114"/>
      <c r="D45" s="115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369</v>
      </c>
      <c r="C47" s="254"/>
      <c r="D47" s="255"/>
      <c r="E47" s="250" t="s">
        <v>371</v>
      </c>
      <c r="F47" s="251"/>
      <c r="G47" s="252"/>
    </row>
    <row r="48" spans="1:8" s="2" customFormat="1" ht="12" customHeight="1" x14ac:dyDescent="0.2">
      <c r="B48" s="229" t="s">
        <v>370</v>
      </c>
      <c r="C48" s="230"/>
      <c r="D48" s="231"/>
      <c r="E48" s="237" t="s">
        <v>66</v>
      </c>
      <c r="F48" s="238"/>
      <c r="G48" s="239"/>
    </row>
    <row r="49" spans="1:8" s="2" customFormat="1" ht="12" customHeight="1" x14ac:dyDescent="0.2">
      <c r="B49" s="353"/>
      <c r="C49" s="354"/>
      <c r="D49" s="355"/>
      <c r="E49" s="237" t="s">
        <v>158</v>
      </c>
      <c r="F49" s="238"/>
      <c r="G49" s="239"/>
    </row>
    <row r="50" spans="1:8" s="2" customFormat="1" ht="12" customHeight="1" x14ac:dyDescent="0.2">
      <c r="B50" s="356" t="s">
        <v>159</v>
      </c>
      <c r="C50" s="357"/>
      <c r="D50" s="358"/>
      <c r="E50" s="113" t="s">
        <v>160</v>
      </c>
      <c r="F50" s="114"/>
      <c r="G50" s="115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300</v>
      </c>
      <c r="E62" s="266"/>
      <c r="F62" s="266"/>
      <c r="G62" s="35">
        <f ca="1">E17+8</f>
        <v>45769</v>
      </c>
      <c r="H62" s="9"/>
    </row>
    <row r="63" spans="1:8" ht="12" customHeight="1" x14ac:dyDescent="0.25">
      <c r="A63" s="5"/>
      <c r="B63" s="105" t="s">
        <v>102</v>
      </c>
      <c r="C63" s="105"/>
      <c r="D63" s="105"/>
      <c r="E63" s="105"/>
      <c r="F63" s="105"/>
      <c r="G63" s="105"/>
      <c r="H63" s="4"/>
    </row>
    <row r="64" spans="1:8" ht="12" customHeight="1" x14ac:dyDescent="0.25">
      <c r="A64" s="3" t="s">
        <v>83</v>
      </c>
      <c r="B64" s="106" t="s">
        <v>84</v>
      </c>
      <c r="C64" s="106"/>
      <c r="D64" s="106"/>
      <c r="E64" s="106"/>
      <c r="F64" s="106"/>
      <c r="G64" s="106"/>
      <c r="H64" s="2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  <c r="H68" s="95"/>
    </row>
    <row r="69" spans="2:8" ht="15" customHeight="1" x14ac:dyDescent="0.25">
      <c r="B69" s="33"/>
      <c r="C69" s="33"/>
      <c r="D69" s="33"/>
      <c r="E69" s="33"/>
      <c r="F69" s="33"/>
      <c r="G69" s="33"/>
      <c r="H69" s="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6:E66"/>
    <mergeCell ref="F66:H66"/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8:D48"/>
    <mergeCell ref="E48:G48"/>
    <mergeCell ref="B49:D49"/>
    <mergeCell ref="E49:G49"/>
    <mergeCell ref="B50:D50"/>
    <mergeCell ref="E50:G50"/>
    <mergeCell ref="B47:D47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38:D38"/>
    <mergeCell ref="E38:G38"/>
    <mergeCell ref="B39:D39"/>
    <mergeCell ref="E39:G39"/>
    <mergeCell ref="B40:D40"/>
    <mergeCell ref="E40:G4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0FE3698B-F506-4123-934D-D5D26D69BE4F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CC712-6FC5-4372-A025-01DBE5857EAF}">
  <sheetPr codeName="Hoja24">
    <tabColor theme="1"/>
    <pageSetUpPr fitToPage="1"/>
  </sheetPr>
  <dimension ref="A3:H74"/>
  <sheetViews>
    <sheetView showGridLines="0" view="pageBreakPreview" topLeftCell="A51" zoomScaleNormal="7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376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375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219" t="s">
        <v>107</v>
      </c>
      <c r="F20" s="220"/>
      <c r="G20" s="221"/>
      <c r="H20" s="5"/>
    </row>
    <row r="21" spans="1:8" s="2" customFormat="1" ht="12" customHeight="1" x14ac:dyDescent="0.25">
      <c r="A21" s="5"/>
      <c r="B21" s="362" t="s">
        <v>108</v>
      </c>
      <c r="C21" s="363"/>
      <c r="D21" s="363"/>
      <c r="E21" s="166" t="s">
        <v>109</v>
      </c>
      <c r="F21" s="167"/>
      <c r="G21" s="16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166" t="s">
        <v>111</v>
      </c>
      <c r="F22" s="167"/>
      <c r="G22" s="16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226" t="s">
        <v>364</v>
      </c>
      <c r="F23" s="227"/>
      <c r="G23" s="228"/>
      <c r="H23" s="5"/>
    </row>
    <row r="24" spans="1:8" s="2" customFormat="1" ht="12" customHeight="1" x14ac:dyDescent="0.25">
      <c r="A24" s="5"/>
      <c r="B24" s="330" t="s">
        <v>271</v>
      </c>
      <c r="C24" s="331"/>
      <c r="D24" s="331"/>
      <c r="E24" s="226" t="s">
        <v>115</v>
      </c>
      <c r="F24" s="227"/>
      <c r="G24" s="228"/>
      <c r="H24" s="5"/>
    </row>
    <row r="25" spans="1:8" s="2" customFormat="1" ht="12" customHeight="1" x14ac:dyDescent="0.25">
      <c r="A25" s="30"/>
      <c r="B25" s="166" t="s">
        <v>116</v>
      </c>
      <c r="C25" s="167"/>
      <c r="D25" s="167"/>
      <c r="E25" s="226" t="s">
        <v>267</v>
      </c>
      <c r="F25" s="227"/>
      <c r="G25" s="228"/>
      <c r="H25" s="5"/>
    </row>
    <row r="26" spans="1:8" s="2" customFormat="1" ht="12" customHeight="1" x14ac:dyDescent="0.25">
      <c r="A26" s="31"/>
      <c r="B26" s="166" t="s">
        <v>118</v>
      </c>
      <c r="C26" s="167"/>
      <c r="D26" s="167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166" t="s">
        <v>120</v>
      </c>
      <c r="C27" s="167"/>
      <c r="D27" s="167"/>
      <c r="E27" s="166" t="s">
        <v>121</v>
      </c>
      <c r="F27" s="167"/>
      <c r="G27" s="168"/>
      <c r="H27" s="5"/>
    </row>
    <row r="28" spans="1:8" s="2" customFormat="1" ht="12" customHeight="1" x14ac:dyDescent="0.25">
      <c r="A28" s="31"/>
      <c r="B28" s="166" t="s">
        <v>122</v>
      </c>
      <c r="C28" s="167"/>
      <c r="D28" s="167"/>
      <c r="E28" s="229" t="s">
        <v>123</v>
      </c>
      <c r="F28" s="230"/>
      <c r="G28" s="231"/>
      <c r="H28" s="5"/>
    </row>
    <row r="29" spans="1:8" s="2" customFormat="1" ht="12" customHeight="1" x14ac:dyDescent="0.25">
      <c r="A29" s="32"/>
      <c r="B29" s="226" t="s">
        <v>374</v>
      </c>
      <c r="C29" s="227"/>
      <c r="D29" s="227"/>
      <c r="E29" s="226" t="s">
        <v>125</v>
      </c>
      <c r="F29" s="227"/>
      <c r="G29" s="228"/>
      <c r="H29" s="5"/>
    </row>
    <row r="30" spans="1:8" s="2" customFormat="1" ht="12" customHeight="1" x14ac:dyDescent="0.25">
      <c r="A30" s="32"/>
      <c r="B30" s="226" t="s">
        <v>126</v>
      </c>
      <c r="C30" s="227"/>
      <c r="D30" s="227"/>
      <c r="E30" s="359"/>
      <c r="F30" s="360"/>
      <c r="G30" s="361"/>
      <c r="H30" s="5"/>
    </row>
    <row r="31" spans="1:8" s="2" customFormat="1" ht="12" customHeight="1" x14ac:dyDescent="0.25">
      <c r="A31" s="12"/>
      <c r="B31" s="226" t="s">
        <v>362</v>
      </c>
      <c r="C31" s="227"/>
      <c r="D31" s="227"/>
      <c r="E31" s="240" t="s">
        <v>128</v>
      </c>
      <c r="F31" s="241"/>
      <c r="G31" s="242"/>
      <c r="H31" s="5"/>
    </row>
    <row r="32" spans="1:8" s="2" customFormat="1" ht="12" customHeight="1" x14ac:dyDescent="0.25">
      <c r="A32" s="5"/>
      <c r="B32" s="226" t="s">
        <v>129</v>
      </c>
      <c r="C32" s="227"/>
      <c r="D32" s="227"/>
      <c r="E32" s="240" t="s">
        <v>130</v>
      </c>
      <c r="F32" s="241"/>
      <c r="G32" s="242"/>
      <c r="H32" s="5"/>
    </row>
    <row r="33" spans="1:8" s="2" customFormat="1" ht="12" customHeight="1" x14ac:dyDescent="0.25">
      <c r="A33" s="5"/>
      <c r="B33" s="339" t="s">
        <v>131</v>
      </c>
      <c r="C33" s="340"/>
      <c r="D33" s="340"/>
      <c r="E33" s="245" t="s">
        <v>162</v>
      </c>
      <c r="F33" s="246"/>
      <c r="G33" s="247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71" t="s">
        <v>134</v>
      </c>
      <c r="F35" s="272"/>
      <c r="G35" s="273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54" t="s">
        <v>145</v>
      </c>
      <c r="C41" s="155"/>
      <c r="D41" s="156"/>
      <c r="E41" s="154" t="s">
        <v>146</v>
      </c>
      <c r="F41" s="155"/>
      <c r="G41" s="156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56" t="s">
        <v>148</v>
      </c>
      <c r="F42" s="257"/>
      <c r="G42" s="258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54" t="s">
        <v>163</v>
      </c>
      <c r="C44" s="155"/>
      <c r="D44" s="156"/>
      <c r="E44" s="256" t="s">
        <v>152</v>
      </c>
      <c r="F44" s="257"/>
      <c r="G44" s="258"/>
      <c r="H44" s="5"/>
    </row>
    <row r="45" spans="1:8" s="2" customFormat="1" ht="12" customHeight="1" x14ac:dyDescent="0.25">
      <c r="A45" s="5"/>
      <c r="B45" s="113" t="s">
        <v>153</v>
      </c>
      <c r="C45" s="114"/>
      <c r="D45" s="115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155</v>
      </c>
      <c r="C47" s="254"/>
      <c r="D47" s="255"/>
      <c r="E47" s="267" t="s">
        <v>64</v>
      </c>
      <c r="F47" s="169"/>
      <c r="G47" s="170"/>
    </row>
    <row r="48" spans="1:8" s="2" customFormat="1" ht="12" customHeight="1" x14ac:dyDescent="0.2">
      <c r="B48" s="229" t="s">
        <v>269</v>
      </c>
      <c r="C48" s="230"/>
      <c r="D48" s="231"/>
      <c r="E48" s="154" t="s">
        <v>164</v>
      </c>
      <c r="F48" s="155"/>
      <c r="G48" s="156"/>
    </row>
    <row r="49" spans="1:8" s="2" customFormat="1" ht="12" customHeight="1" x14ac:dyDescent="0.2">
      <c r="B49" s="229" t="s">
        <v>270</v>
      </c>
      <c r="C49" s="230"/>
      <c r="D49" s="231"/>
      <c r="E49" s="154" t="s">
        <v>165</v>
      </c>
      <c r="F49" s="155"/>
      <c r="G49" s="156"/>
    </row>
    <row r="50" spans="1:8" s="2" customFormat="1" ht="12" customHeight="1" x14ac:dyDescent="0.2">
      <c r="B50" s="263" t="s">
        <v>159</v>
      </c>
      <c r="C50" s="264"/>
      <c r="D50" s="265"/>
      <c r="E50" s="268" t="s">
        <v>166</v>
      </c>
      <c r="F50" s="269"/>
      <c r="G50" s="270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+C61+C62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167</v>
      </c>
      <c r="E62" s="266"/>
      <c r="F62" s="266"/>
      <c r="G62" s="35">
        <f ca="1">E17+25</f>
        <v>45786</v>
      </c>
      <c r="H62" s="7" t="s">
        <v>81</v>
      </c>
    </row>
    <row r="63" spans="1:8" ht="12" customHeight="1" x14ac:dyDescent="0.25">
      <c r="A63" s="5"/>
      <c r="B63" s="105" t="s">
        <v>168</v>
      </c>
      <c r="C63" s="105"/>
      <c r="D63" s="105"/>
      <c r="E63" s="105"/>
      <c r="F63" s="105"/>
      <c r="G63" s="105"/>
      <c r="H63" s="4"/>
    </row>
    <row r="64" spans="1:8" ht="12" customHeight="1" x14ac:dyDescent="0.25">
      <c r="A64" s="3" t="s">
        <v>83</v>
      </c>
      <c r="B64" s="106" t="s">
        <v>84</v>
      </c>
      <c r="C64" s="106"/>
      <c r="D64" s="106"/>
      <c r="E64" s="106"/>
      <c r="F64" s="106"/>
      <c r="G64" s="106"/>
      <c r="H64" s="2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  <c r="H68" s="95"/>
    </row>
    <row r="69" spans="2:8" ht="15" customHeight="1" x14ac:dyDescent="0.25">
      <c r="B69" s="33"/>
      <c r="C69" s="33"/>
      <c r="D69" s="33"/>
      <c r="E69" s="33"/>
      <c r="F69" s="33"/>
      <c r="G69" s="33"/>
      <c r="H69" s="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28:D28"/>
    <mergeCell ref="E28:G28"/>
    <mergeCell ref="B29:D29"/>
    <mergeCell ref="E29:G29"/>
    <mergeCell ref="B30:D30"/>
    <mergeCell ref="E30:G3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38:D38"/>
    <mergeCell ref="E38:G38"/>
    <mergeCell ref="B39:D39"/>
    <mergeCell ref="E39:G39"/>
    <mergeCell ref="B40:D40"/>
    <mergeCell ref="E40:G40"/>
    <mergeCell ref="B47:D47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48:D48"/>
    <mergeCell ref="E48:G48"/>
    <mergeCell ref="B49:D49"/>
    <mergeCell ref="E49:G49"/>
    <mergeCell ref="B50:D50"/>
    <mergeCell ref="E50:G50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</mergeCells>
  <hyperlinks>
    <hyperlink ref="D7" r:id="rId1" xr:uid="{9D369D2E-6469-4BC3-A4E4-931A5E7424B2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24F09-EB13-45D1-9422-B0F10BED1D05}">
  <sheetPr codeName="Hoja26">
    <tabColor theme="1"/>
    <pageSetUpPr fitToPage="1"/>
  </sheetPr>
  <dimension ref="A3:K79"/>
  <sheetViews>
    <sheetView showGridLines="0" view="pageBreakPreview" topLeftCell="A4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11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11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11" ht="12" customHeight="1" x14ac:dyDescent="0.25">
      <c r="C7" s="26" t="s">
        <v>7</v>
      </c>
      <c r="D7" s="175" t="s">
        <v>8</v>
      </c>
      <c r="E7" s="175"/>
      <c r="F7" s="175"/>
      <c r="G7" s="25"/>
      <c r="K7" s="41"/>
    </row>
    <row r="8" spans="1:11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11" s="1" customFormat="1" ht="15.95" customHeight="1" x14ac:dyDescent="0.25">
      <c r="B9" s="171" t="s">
        <v>377</v>
      </c>
      <c r="C9" s="171"/>
      <c r="D9" s="171"/>
      <c r="E9" s="171"/>
      <c r="F9" s="171"/>
      <c r="G9" s="171"/>
      <c r="H9" s="24"/>
    </row>
    <row r="10" spans="1:11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11" s="14" customFormat="1" ht="12" customHeight="1" x14ac:dyDescent="0.25">
      <c r="A11" s="16" t="s">
        <v>10</v>
      </c>
      <c r="B11" s="159" t="s">
        <v>378</v>
      </c>
      <c r="C11" s="159"/>
      <c r="D11" s="159"/>
      <c r="E11" s="159"/>
      <c r="F11" s="29" t="s">
        <v>12</v>
      </c>
      <c r="G11" s="23"/>
      <c r="H11" s="5"/>
    </row>
    <row r="12" spans="1:11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11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11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11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11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334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379</v>
      </c>
      <c r="C30" s="188"/>
      <c r="D30" s="189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90" t="s">
        <v>380</v>
      </c>
      <c r="C31" s="191"/>
      <c r="D31" s="192"/>
      <c r="E31" s="128" t="s">
        <v>383</v>
      </c>
      <c r="F31" s="129"/>
      <c r="G31" s="130"/>
      <c r="H31" s="5"/>
    </row>
    <row r="32" spans="1:8" s="2" customFormat="1" ht="12" customHeight="1" x14ac:dyDescent="0.25">
      <c r="A32" s="12"/>
      <c r="B32" s="190"/>
      <c r="C32" s="191"/>
      <c r="D32" s="192"/>
      <c r="E32" s="128" t="s">
        <v>384</v>
      </c>
      <c r="F32" s="129"/>
      <c r="G32" s="130"/>
      <c r="H32" s="5"/>
    </row>
    <row r="33" spans="1:8" s="2" customFormat="1" ht="12" customHeight="1" x14ac:dyDescent="0.25">
      <c r="A33" s="5"/>
      <c r="B33" s="190" t="s">
        <v>503</v>
      </c>
      <c r="C33" s="191"/>
      <c r="D33" s="192"/>
      <c r="E33" s="128" t="s">
        <v>385</v>
      </c>
      <c r="F33" s="129"/>
      <c r="G33" s="130"/>
      <c r="H33" s="5"/>
    </row>
    <row r="34" spans="1:8" s="2" customFormat="1" ht="12" customHeight="1" x14ac:dyDescent="0.25">
      <c r="A34" s="5"/>
      <c r="B34" s="190"/>
      <c r="C34" s="191"/>
      <c r="D34" s="192"/>
      <c r="E34" s="128" t="s">
        <v>248</v>
      </c>
      <c r="F34" s="129"/>
      <c r="G34" s="130"/>
      <c r="H34" s="5"/>
    </row>
    <row r="35" spans="1:8" s="2" customFormat="1" ht="12" customHeight="1" x14ac:dyDescent="0.25">
      <c r="A35" s="5"/>
      <c r="B35" s="190"/>
      <c r="C35" s="191"/>
      <c r="D35" s="192"/>
      <c r="E35" s="128" t="s">
        <v>386</v>
      </c>
      <c r="F35" s="129"/>
      <c r="G35" s="130"/>
      <c r="H35" s="5"/>
    </row>
    <row r="36" spans="1:8" s="2" customFormat="1" ht="12" customHeight="1" x14ac:dyDescent="0.25">
      <c r="A36" s="5"/>
      <c r="B36" s="190" t="s">
        <v>381</v>
      </c>
      <c r="C36" s="191"/>
      <c r="D36" s="192"/>
      <c r="E36" s="128" t="s">
        <v>249</v>
      </c>
      <c r="F36" s="129"/>
      <c r="G36" s="130"/>
      <c r="H36" s="5"/>
    </row>
    <row r="37" spans="1:8" s="2" customFormat="1" ht="12" customHeight="1" x14ac:dyDescent="0.25">
      <c r="A37" s="5"/>
      <c r="B37" s="190" t="s">
        <v>382</v>
      </c>
      <c r="C37" s="191"/>
      <c r="D37" s="192"/>
      <c r="E37" s="128" t="s">
        <v>250</v>
      </c>
      <c r="F37" s="129"/>
      <c r="G37" s="130"/>
      <c r="H37" s="5"/>
    </row>
    <row r="38" spans="1:8" s="2" customFormat="1" ht="12" customHeight="1" x14ac:dyDescent="0.25">
      <c r="A38" s="5"/>
      <c r="B38" s="190"/>
      <c r="C38" s="191"/>
      <c r="D38" s="192"/>
      <c r="E38" s="137" t="s">
        <v>387</v>
      </c>
      <c r="F38" s="138"/>
      <c r="G38" s="13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91" t="s">
        <v>60</v>
      </c>
      <c r="F40" s="92"/>
      <c r="G40" s="93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364" t="s">
        <v>504</v>
      </c>
      <c r="C43" s="365"/>
      <c r="D43" s="366"/>
      <c r="E43" s="364" t="s">
        <v>388</v>
      </c>
      <c r="F43" s="365"/>
      <c r="G43" s="366"/>
      <c r="H43" s="5"/>
    </row>
    <row r="44" spans="1:8" s="2" customFormat="1" ht="12" customHeight="1" x14ac:dyDescent="0.25">
      <c r="A44" s="5"/>
      <c r="B44" s="367"/>
      <c r="C44" s="368"/>
      <c r="D44" s="369"/>
      <c r="E44" s="367"/>
      <c r="F44" s="368"/>
      <c r="G44" s="369"/>
      <c r="H44" s="5"/>
    </row>
    <row r="45" spans="1:8" s="2" customFormat="1" ht="12" customHeight="1" x14ac:dyDescent="0.25">
      <c r="A45" s="5"/>
      <c r="B45" s="367"/>
      <c r="C45" s="368"/>
      <c r="D45" s="369"/>
      <c r="E45" s="201" t="s">
        <v>389</v>
      </c>
      <c r="F45" s="202"/>
      <c r="G45" s="203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15"/>
      <c r="F46" s="316"/>
      <c r="G46" s="317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335</v>
      </c>
      <c r="E62" s="96"/>
      <c r="F62" s="96"/>
      <c r="G62" s="35">
        <f ca="1">E17+7</f>
        <v>45768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2">
    <mergeCell ref="D62:F62"/>
    <mergeCell ref="B63:G63"/>
    <mergeCell ref="B64:G64"/>
    <mergeCell ref="D61:F61"/>
    <mergeCell ref="B54:G54"/>
    <mergeCell ref="B55:G55"/>
    <mergeCell ref="B60:G60"/>
    <mergeCell ref="B56:G56"/>
    <mergeCell ref="B57:C57"/>
    <mergeCell ref="B58:G58"/>
    <mergeCell ref="B59:C59"/>
    <mergeCell ref="E59:F59"/>
    <mergeCell ref="B67:E67"/>
    <mergeCell ref="F67:H67"/>
    <mergeCell ref="B68:E68"/>
    <mergeCell ref="F68:G68"/>
    <mergeCell ref="B65:E65"/>
    <mergeCell ref="F65:H65"/>
    <mergeCell ref="B66:E66"/>
    <mergeCell ref="F66:H66"/>
    <mergeCell ref="B47:G47"/>
    <mergeCell ref="C52:G52"/>
    <mergeCell ref="B53:G53"/>
    <mergeCell ref="E37:G37"/>
    <mergeCell ref="E38:G38"/>
    <mergeCell ref="B39:D39"/>
    <mergeCell ref="E39:G39"/>
    <mergeCell ref="B40:D40"/>
    <mergeCell ref="E40:G40"/>
    <mergeCell ref="B41:D41"/>
    <mergeCell ref="E41:G41"/>
    <mergeCell ref="B42:G42"/>
    <mergeCell ref="E43:G44"/>
    <mergeCell ref="E45:G46"/>
    <mergeCell ref="B46:D46"/>
    <mergeCell ref="B43:D45"/>
    <mergeCell ref="B36:D36"/>
    <mergeCell ref="B33:D35"/>
    <mergeCell ref="B31:D32"/>
    <mergeCell ref="B37:D38"/>
    <mergeCell ref="E31:G31"/>
    <mergeCell ref="E32:G32"/>
    <mergeCell ref="E33:G33"/>
    <mergeCell ref="E34:G34"/>
    <mergeCell ref="E35:G35"/>
    <mergeCell ref="E36:G36"/>
    <mergeCell ref="B25:D25"/>
    <mergeCell ref="E25:G25"/>
    <mergeCell ref="B26:D26"/>
    <mergeCell ref="E26:G26"/>
    <mergeCell ref="B27:D27"/>
    <mergeCell ref="E27:G27"/>
    <mergeCell ref="B28:D28"/>
    <mergeCell ref="E28:G28"/>
    <mergeCell ref="B29:G29"/>
    <mergeCell ref="B30:D30"/>
    <mergeCell ref="E30:G30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C9B7E6FF-E753-410A-95C2-E315CA4409ED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8AD58-1B24-465C-A0F0-B930DF6C5B85}">
  <sheetPr codeName="Hoja27">
    <tabColor theme="1"/>
    <pageSetUpPr fitToPage="1"/>
  </sheetPr>
  <dimension ref="A3:H75"/>
  <sheetViews>
    <sheetView showGridLines="0" view="pageBreakPreview" topLeftCell="A58" zoomScale="175" zoomScaleNormal="100" zoomScaleSheetLayoutView="17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390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391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219" t="s">
        <v>107</v>
      </c>
      <c r="F20" s="220"/>
      <c r="G20" s="221"/>
      <c r="H20" s="5"/>
    </row>
    <row r="21" spans="1:8" s="2" customFormat="1" ht="12" customHeight="1" x14ac:dyDescent="0.25">
      <c r="A21" s="5"/>
      <c r="B21" s="215" t="s">
        <v>108</v>
      </c>
      <c r="C21" s="216"/>
      <c r="D21" s="216"/>
      <c r="E21" s="166" t="s">
        <v>109</v>
      </c>
      <c r="F21" s="167"/>
      <c r="G21" s="16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166" t="s">
        <v>111</v>
      </c>
      <c r="F22" s="167"/>
      <c r="G22" s="16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166" t="s">
        <v>113</v>
      </c>
      <c r="F23" s="167"/>
      <c r="G23" s="168"/>
      <c r="H23" s="5"/>
    </row>
    <row r="24" spans="1:8" s="2" customFormat="1" ht="12" customHeight="1" x14ac:dyDescent="0.25">
      <c r="A24" s="5"/>
      <c r="B24" s="219" t="s">
        <v>114</v>
      </c>
      <c r="C24" s="220"/>
      <c r="D24" s="221"/>
      <c r="E24" s="166" t="s">
        <v>115</v>
      </c>
      <c r="F24" s="167"/>
      <c r="G24" s="168"/>
      <c r="H24" s="5"/>
    </row>
    <row r="25" spans="1:8" s="2" customFormat="1" ht="12" customHeight="1" x14ac:dyDescent="0.25">
      <c r="A25" s="30"/>
      <c r="B25" s="166" t="s">
        <v>116</v>
      </c>
      <c r="C25" s="167"/>
      <c r="D25" s="168"/>
      <c r="E25" s="226" t="s">
        <v>267</v>
      </c>
      <c r="F25" s="227"/>
      <c r="G25" s="228"/>
      <c r="H25" s="5"/>
    </row>
    <row r="26" spans="1:8" s="2" customFormat="1" ht="12" customHeight="1" x14ac:dyDescent="0.25">
      <c r="A26" s="31"/>
      <c r="B26" s="166" t="s">
        <v>118</v>
      </c>
      <c r="C26" s="167"/>
      <c r="D26" s="168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166" t="s">
        <v>120</v>
      </c>
      <c r="C27" s="167"/>
      <c r="D27" s="168"/>
      <c r="E27" s="166" t="s">
        <v>121</v>
      </c>
      <c r="F27" s="167"/>
      <c r="G27" s="168"/>
      <c r="H27" s="5"/>
    </row>
    <row r="28" spans="1:8" s="2" customFormat="1" ht="12" customHeight="1" x14ac:dyDescent="0.25">
      <c r="A28" s="31"/>
      <c r="B28" s="166" t="s">
        <v>122</v>
      </c>
      <c r="C28" s="167"/>
      <c r="D28" s="168"/>
      <c r="E28" s="229" t="s">
        <v>123</v>
      </c>
      <c r="F28" s="230"/>
      <c r="G28" s="231"/>
      <c r="H28" s="5"/>
    </row>
    <row r="29" spans="1:8" s="2" customFormat="1" ht="12" customHeight="1" x14ac:dyDescent="0.25">
      <c r="A29" s="32"/>
      <c r="B29" s="166" t="s">
        <v>124</v>
      </c>
      <c r="C29" s="167"/>
      <c r="D29" s="168"/>
      <c r="E29" s="232" t="s">
        <v>125</v>
      </c>
      <c r="F29" s="233"/>
      <c r="G29" s="234"/>
      <c r="H29" s="5"/>
    </row>
    <row r="30" spans="1:8" s="2" customFormat="1" ht="12" customHeight="1" x14ac:dyDescent="0.25">
      <c r="A30" s="32"/>
      <c r="B30" s="166" t="s">
        <v>126</v>
      </c>
      <c r="C30" s="167"/>
      <c r="D30" s="168"/>
      <c r="E30" s="235"/>
      <c r="F30" s="95"/>
      <c r="G30" s="236"/>
      <c r="H30" s="5"/>
    </row>
    <row r="31" spans="1:8" s="2" customFormat="1" ht="12" customHeight="1" x14ac:dyDescent="0.25">
      <c r="A31" s="12"/>
      <c r="B31" s="166" t="s">
        <v>127</v>
      </c>
      <c r="C31" s="167"/>
      <c r="D31" s="168"/>
      <c r="E31" s="274" t="s">
        <v>128</v>
      </c>
      <c r="F31" s="275"/>
      <c r="G31" s="276"/>
      <c r="H31" s="5"/>
    </row>
    <row r="32" spans="1:8" s="2" customFormat="1" ht="12" customHeight="1" x14ac:dyDescent="0.25">
      <c r="A32" s="5"/>
      <c r="B32" s="166" t="s">
        <v>129</v>
      </c>
      <c r="C32" s="167"/>
      <c r="D32" s="168"/>
      <c r="E32" s="274" t="s">
        <v>130</v>
      </c>
      <c r="F32" s="275"/>
      <c r="G32" s="276"/>
      <c r="H32" s="5"/>
    </row>
    <row r="33" spans="1:8" s="2" customFormat="1" ht="12" customHeight="1" x14ac:dyDescent="0.25">
      <c r="A33" s="5"/>
      <c r="B33" s="243" t="s">
        <v>131</v>
      </c>
      <c r="C33" s="244"/>
      <c r="D33" s="244"/>
      <c r="E33" s="370" t="s">
        <v>132</v>
      </c>
      <c r="F33" s="371"/>
      <c r="G33" s="372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87" t="s">
        <v>133</v>
      </c>
      <c r="C35" s="188"/>
      <c r="D35" s="189"/>
      <c r="E35" s="250" t="s">
        <v>134</v>
      </c>
      <c r="F35" s="251"/>
      <c r="G35" s="252"/>
      <c r="H35" s="5"/>
    </row>
    <row r="36" spans="1:8" s="2" customFormat="1" ht="12" customHeight="1" x14ac:dyDescent="0.25">
      <c r="A36" s="5"/>
      <c r="B36" s="122" t="s">
        <v>135</v>
      </c>
      <c r="C36" s="123"/>
      <c r="D36" s="124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22" t="s">
        <v>137</v>
      </c>
      <c r="C37" s="123"/>
      <c r="D37" s="124"/>
      <c r="E37" s="122" t="s">
        <v>394</v>
      </c>
      <c r="F37" s="123"/>
      <c r="G37" s="124"/>
      <c r="H37" s="5"/>
    </row>
    <row r="38" spans="1:8" s="2" customFormat="1" ht="12" customHeight="1" x14ac:dyDescent="0.25">
      <c r="A38" s="5"/>
      <c r="B38" s="122" t="s">
        <v>139</v>
      </c>
      <c r="C38" s="123"/>
      <c r="D38" s="124"/>
      <c r="E38" s="122" t="s">
        <v>395</v>
      </c>
      <c r="F38" s="123"/>
      <c r="G38" s="124"/>
      <c r="H38" s="5"/>
    </row>
    <row r="39" spans="1:8" s="2" customFormat="1" ht="12" customHeight="1" x14ac:dyDescent="0.25">
      <c r="A39" s="5"/>
      <c r="B39" s="122" t="s">
        <v>141</v>
      </c>
      <c r="C39" s="123"/>
      <c r="D39" s="124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22" t="s">
        <v>143</v>
      </c>
      <c r="C40" s="123"/>
      <c r="D40" s="124"/>
      <c r="E40" s="154" t="s">
        <v>144</v>
      </c>
      <c r="F40" s="155"/>
      <c r="G40" s="156"/>
      <c r="H40" s="5"/>
    </row>
    <row r="41" spans="1:8" s="2" customFormat="1" ht="12" customHeight="1" x14ac:dyDescent="0.25">
      <c r="B41" s="122" t="s">
        <v>298</v>
      </c>
      <c r="C41" s="123"/>
      <c r="D41" s="124"/>
      <c r="E41" s="122" t="s">
        <v>146</v>
      </c>
      <c r="F41" s="123"/>
      <c r="G41" s="124"/>
      <c r="H41" s="5"/>
    </row>
    <row r="42" spans="1:8" s="2" customFormat="1" ht="12" customHeight="1" x14ac:dyDescent="0.25">
      <c r="A42" s="5"/>
      <c r="B42" s="122" t="s">
        <v>147</v>
      </c>
      <c r="C42" s="123"/>
      <c r="D42" s="124"/>
      <c r="E42" s="229" t="s">
        <v>396</v>
      </c>
      <c r="F42" s="230"/>
      <c r="G42" s="231"/>
      <c r="H42" s="5"/>
    </row>
    <row r="43" spans="1:8" s="2" customFormat="1" ht="12" customHeight="1" x14ac:dyDescent="0.25">
      <c r="A43" s="5"/>
      <c r="B43" s="122" t="s">
        <v>149</v>
      </c>
      <c r="C43" s="123"/>
      <c r="D43" s="124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22" t="s">
        <v>151</v>
      </c>
      <c r="C44" s="123"/>
      <c r="D44" s="124"/>
      <c r="E44" s="229" t="s">
        <v>299</v>
      </c>
      <c r="F44" s="230"/>
      <c r="G44" s="231"/>
      <c r="H44" s="5"/>
    </row>
    <row r="45" spans="1:8" s="2" customFormat="1" ht="12" customHeight="1" x14ac:dyDescent="0.25">
      <c r="A45" s="5"/>
      <c r="B45" s="210" t="s">
        <v>153</v>
      </c>
      <c r="C45" s="211"/>
      <c r="D45" s="212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401</v>
      </c>
      <c r="C47" s="254"/>
      <c r="D47" s="255"/>
      <c r="E47" s="250" t="s">
        <v>64</v>
      </c>
      <c r="F47" s="251"/>
      <c r="G47" s="252"/>
    </row>
    <row r="48" spans="1:8" s="2" customFormat="1" ht="12" customHeight="1" x14ac:dyDescent="0.2">
      <c r="B48" s="229" t="s">
        <v>402</v>
      </c>
      <c r="C48" s="230"/>
      <c r="D48" s="231"/>
      <c r="E48" s="122" t="s">
        <v>397</v>
      </c>
      <c r="F48" s="123"/>
      <c r="G48" s="124"/>
    </row>
    <row r="49" spans="1:8" s="2" customFormat="1" ht="12" customHeight="1" x14ac:dyDescent="0.2">
      <c r="B49" s="229" t="s">
        <v>403</v>
      </c>
      <c r="C49" s="230"/>
      <c r="D49" s="231"/>
      <c r="E49" s="122" t="s">
        <v>398</v>
      </c>
      <c r="F49" s="123"/>
      <c r="G49" s="124"/>
    </row>
    <row r="50" spans="1:8" s="2" customFormat="1" ht="12" customHeight="1" x14ac:dyDescent="0.2">
      <c r="B50" s="263" t="s">
        <v>400</v>
      </c>
      <c r="C50" s="264"/>
      <c r="D50" s="265"/>
      <c r="E50" s="210" t="s">
        <v>399</v>
      </c>
      <c r="F50" s="211"/>
      <c r="G50" s="212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10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392</v>
      </c>
      <c r="E62" s="266"/>
      <c r="F62" s="266"/>
      <c r="G62" s="35">
        <f ca="1">E17+8</f>
        <v>45769</v>
      </c>
      <c r="H62" s="7" t="s">
        <v>290</v>
      </c>
    </row>
    <row r="63" spans="1:8" ht="12" customHeight="1" x14ac:dyDescent="0.25">
      <c r="A63" s="9"/>
      <c r="B63" s="8" t="s">
        <v>78</v>
      </c>
      <c r="C63" s="37"/>
      <c r="D63" s="266" t="s">
        <v>393</v>
      </c>
      <c r="E63" s="266"/>
      <c r="F63" s="266"/>
      <c r="G63" s="35">
        <f ca="1">E17+28</f>
        <v>45789</v>
      </c>
      <c r="H63" s="7" t="s">
        <v>290</v>
      </c>
    </row>
    <row r="64" spans="1:8" ht="12" customHeight="1" x14ac:dyDescent="0.25">
      <c r="A64" s="5"/>
      <c r="B64" s="105" t="s">
        <v>102</v>
      </c>
      <c r="C64" s="105"/>
      <c r="D64" s="105"/>
      <c r="E64" s="105"/>
      <c r="F64" s="105"/>
      <c r="G64" s="105"/>
      <c r="H64" s="4"/>
    </row>
    <row r="65" spans="1:8" ht="12" customHeight="1" x14ac:dyDescent="0.25">
      <c r="A65" s="3" t="s">
        <v>83</v>
      </c>
      <c r="B65" s="106" t="s">
        <v>84</v>
      </c>
      <c r="C65" s="106"/>
      <c r="D65" s="106"/>
      <c r="E65" s="106"/>
      <c r="F65" s="106"/>
      <c r="G65" s="106"/>
      <c r="H65" s="2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  <c r="H69" s="95"/>
    </row>
    <row r="70" spans="1:8" ht="15" customHeight="1" x14ac:dyDescent="0.25">
      <c r="B70" s="33"/>
      <c r="C70" s="33"/>
      <c r="D70" s="33"/>
      <c r="E70" s="33"/>
      <c r="F70" s="33"/>
      <c r="G70" s="33"/>
      <c r="H70" s="33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28:D28"/>
    <mergeCell ref="E28:G28"/>
    <mergeCell ref="B29:D29"/>
    <mergeCell ref="E29:G29"/>
    <mergeCell ref="B30:D30"/>
    <mergeCell ref="E30:G3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38:D38"/>
    <mergeCell ref="E38:G38"/>
    <mergeCell ref="B39:D39"/>
    <mergeCell ref="E39:G39"/>
    <mergeCell ref="B40:D40"/>
    <mergeCell ref="E40:G40"/>
    <mergeCell ref="B47:D47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48:D48"/>
    <mergeCell ref="E48:G48"/>
    <mergeCell ref="B49:D49"/>
    <mergeCell ref="E49:G49"/>
    <mergeCell ref="B50:D50"/>
    <mergeCell ref="E50:G50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D62:F62"/>
    <mergeCell ref="D63:F63"/>
    <mergeCell ref="B64:G64"/>
    <mergeCell ref="B65:G65"/>
    <mergeCell ref="B66:E66"/>
    <mergeCell ref="F66:H66"/>
    <mergeCell ref="B67:E67"/>
    <mergeCell ref="F67:H67"/>
    <mergeCell ref="B68:E68"/>
    <mergeCell ref="F68:H68"/>
    <mergeCell ref="B69:E69"/>
    <mergeCell ref="F69:H69"/>
  </mergeCells>
  <hyperlinks>
    <hyperlink ref="D7" r:id="rId1" xr:uid="{512A9FE0-A735-4895-85BF-2F3603ACA21F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25E7A-290D-40C7-B7DA-A93D81D332C5}">
  <sheetPr codeName="Hoja29">
    <tabColor theme="1"/>
    <pageSetUpPr fitToPage="1"/>
  </sheetPr>
  <dimension ref="A3:H80"/>
  <sheetViews>
    <sheetView showGridLines="0" showRuler="0" view="pageBreakPreview" topLeftCell="A47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433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443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22" t="s">
        <v>23</v>
      </c>
      <c r="C20" s="123"/>
      <c r="D20" s="124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33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288" t="s">
        <v>434</v>
      </c>
      <c r="F30" s="289"/>
      <c r="G30" s="314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190"/>
      <c r="F31" s="191"/>
      <c r="G31" s="192"/>
      <c r="H31" s="5"/>
    </row>
    <row r="32" spans="1:8" s="2" customFormat="1" ht="12" customHeight="1" x14ac:dyDescent="0.25">
      <c r="A32" s="12"/>
      <c r="B32" s="190" t="s">
        <v>45</v>
      </c>
      <c r="C32" s="191"/>
      <c r="D32" s="192"/>
      <c r="E32" s="305" t="s">
        <v>435</v>
      </c>
      <c r="F32" s="306"/>
      <c r="G32" s="307"/>
      <c r="H32" s="5"/>
    </row>
    <row r="33" spans="1:8" s="2" customFormat="1" ht="12" customHeight="1" x14ac:dyDescent="0.25">
      <c r="A33" s="5"/>
      <c r="B33" s="190"/>
      <c r="C33" s="191"/>
      <c r="D33" s="192"/>
      <c r="E33" s="311" t="s">
        <v>436</v>
      </c>
      <c r="F33" s="312"/>
      <c r="G33" s="313"/>
      <c r="H33" s="5"/>
    </row>
    <row r="34" spans="1:8" s="2" customFormat="1" ht="12" customHeight="1" x14ac:dyDescent="0.25">
      <c r="A34" s="5"/>
      <c r="B34" s="128" t="s">
        <v>48</v>
      </c>
      <c r="C34" s="129"/>
      <c r="D34" s="130"/>
      <c r="E34" s="190" t="s">
        <v>437</v>
      </c>
      <c r="F34" s="191"/>
      <c r="G34" s="192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90"/>
      <c r="F35" s="191"/>
      <c r="G35" s="192"/>
      <c r="H35" s="5"/>
    </row>
    <row r="36" spans="1:8" s="2" customFormat="1" ht="12" customHeight="1" x14ac:dyDescent="0.25">
      <c r="A36" s="5"/>
      <c r="B36" s="147"/>
      <c r="C36" s="148"/>
      <c r="D36" s="149"/>
      <c r="E36" s="296" t="s">
        <v>438</v>
      </c>
      <c r="F36" s="297"/>
      <c r="G36" s="298"/>
      <c r="H36" s="5"/>
    </row>
    <row r="37" spans="1:8" s="2" customFormat="1" ht="12" customHeight="1" x14ac:dyDescent="0.25">
      <c r="A37" s="5"/>
      <c r="B37" s="154" t="s">
        <v>53</v>
      </c>
      <c r="C37" s="155"/>
      <c r="D37" s="156"/>
      <c r="E37" s="128" t="s">
        <v>439</v>
      </c>
      <c r="F37" s="129"/>
      <c r="G37" s="130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305" t="s">
        <v>440</v>
      </c>
      <c r="F38" s="306"/>
      <c r="G38" s="307"/>
      <c r="H38" s="5"/>
    </row>
    <row r="39" spans="1:8" s="2" customFormat="1" ht="12" customHeight="1" x14ac:dyDescent="0.25">
      <c r="A39" s="5"/>
      <c r="B39" s="128" t="s">
        <v>291</v>
      </c>
      <c r="C39" s="129"/>
      <c r="D39" s="130"/>
      <c r="E39" s="367" t="s">
        <v>508</v>
      </c>
      <c r="F39" s="368"/>
      <c r="G39" s="369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367"/>
      <c r="F40" s="368"/>
      <c r="G40" s="369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382" t="s">
        <v>509</v>
      </c>
      <c r="F41" s="383"/>
      <c r="G41" s="384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385" t="s">
        <v>510</v>
      </c>
      <c r="F42" s="386"/>
      <c r="G42" s="3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373" t="s">
        <v>511</v>
      </c>
      <c r="F43" s="374"/>
      <c r="G43" s="375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376"/>
      <c r="F44" s="377"/>
      <c r="G44" s="378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379" t="s">
        <v>429</v>
      </c>
      <c r="F45" s="380"/>
      <c r="G45" s="381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</v>
      </c>
      <c r="C47" s="120"/>
      <c r="D47" s="121"/>
      <c r="E47" s="119" t="s">
        <v>507</v>
      </c>
      <c r="F47" s="199"/>
      <c r="G47" s="200"/>
      <c r="H47" s="5"/>
    </row>
    <row r="48" spans="1:8" s="2" customFormat="1" ht="12" customHeight="1" x14ac:dyDescent="0.25">
      <c r="A48" s="5"/>
      <c r="B48" s="107" t="s">
        <v>65</v>
      </c>
      <c r="C48" s="108"/>
      <c r="D48" s="109"/>
      <c r="E48" s="201"/>
      <c r="F48" s="202"/>
      <c r="G48" s="203"/>
      <c r="H48" s="5"/>
    </row>
    <row r="49" spans="1:8" s="2" customFormat="1" ht="12" customHeight="1" x14ac:dyDescent="0.25">
      <c r="A49" s="5"/>
      <c r="B49" s="107" t="s">
        <v>67</v>
      </c>
      <c r="C49" s="108"/>
      <c r="D49" s="109"/>
      <c r="E49" s="201" t="s">
        <v>442</v>
      </c>
      <c r="F49" s="202"/>
      <c r="G49" s="203"/>
      <c r="H49" s="5"/>
    </row>
    <row r="50" spans="1:8" s="2" customFormat="1" ht="12" customHeight="1" x14ac:dyDescent="0.25">
      <c r="A50" s="5"/>
      <c r="B50" s="122" t="s">
        <v>441</v>
      </c>
      <c r="C50" s="123"/>
      <c r="D50" s="124"/>
      <c r="E50" s="201"/>
      <c r="F50" s="202"/>
      <c r="G50" s="203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461</v>
      </c>
      <c r="E62" s="96"/>
      <c r="F62" s="96"/>
      <c r="G62" s="35">
        <f ca="1">E17+7</f>
        <v>45768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96" t="s">
        <v>93</v>
      </c>
      <c r="E63" s="96"/>
      <c r="F63" s="96"/>
      <c r="G63" s="35">
        <f ca="1">+G62+26</f>
        <v>45794</v>
      </c>
      <c r="H63" s="7" t="s">
        <v>290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92">
    <mergeCell ref="B69:E69"/>
    <mergeCell ref="F69:G69"/>
    <mergeCell ref="E39:G40"/>
    <mergeCell ref="E30:G31"/>
    <mergeCell ref="E32:G32"/>
    <mergeCell ref="E34:G35"/>
    <mergeCell ref="E37:G37"/>
    <mergeCell ref="E38:G38"/>
    <mergeCell ref="E41:G41"/>
    <mergeCell ref="E42:G42"/>
    <mergeCell ref="B66:E66"/>
    <mergeCell ref="F66:H66"/>
    <mergeCell ref="B67:E67"/>
    <mergeCell ref="F67:H67"/>
    <mergeCell ref="B68:E68"/>
    <mergeCell ref="F68:H68"/>
    <mergeCell ref="B65:G65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D63:F63"/>
    <mergeCell ref="B64:G64"/>
    <mergeCell ref="B50:D50"/>
    <mergeCell ref="B51:G51"/>
    <mergeCell ref="C52:G52"/>
    <mergeCell ref="B53:G53"/>
    <mergeCell ref="B54:G54"/>
    <mergeCell ref="E49:G50"/>
    <mergeCell ref="B46:G46"/>
    <mergeCell ref="B47:D47"/>
    <mergeCell ref="B48:D48"/>
    <mergeCell ref="B49:D49"/>
    <mergeCell ref="E47:G48"/>
    <mergeCell ref="B43:D43"/>
    <mergeCell ref="E43:G43"/>
    <mergeCell ref="B44:D44"/>
    <mergeCell ref="E44:G44"/>
    <mergeCell ref="B45:D45"/>
    <mergeCell ref="E45:G45"/>
    <mergeCell ref="B39:D39"/>
    <mergeCell ref="B40:D40"/>
    <mergeCell ref="B41:D41"/>
    <mergeCell ref="B42:D42"/>
    <mergeCell ref="B34:D34"/>
    <mergeCell ref="B35:D36"/>
    <mergeCell ref="E36:G36"/>
    <mergeCell ref="B37:D37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81CAD8B6-C445-450C-89AF-2A81E21E9402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2CD84-D34F-4B48-B2C9-B1F4DA5BB91B}">
  <sheetPr codeName="Hoja30">
    <tabColor theme="1"/>
    <pageSetUpPr fitToPage="1"/>
  </sheetPr>
  <dimension ref="A3:I79"/>
  <sheetViews>
    <sheetView showGridLines="0" showRuler="0" view="pageBreakPreview" topLeftCell="A40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  <c r="H7" t="s">
        <v>279</v>
      </c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457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451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256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22" t="s">
        <v>252</v>
      </c>
      <c r="C25" s="123"/>
      <c r="D25" s="124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452</v>
      </c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307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308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456</v>
      </c>
      <c r="F30" s="194"/>
      <c r="G30" s="195"/>
      <c r="H30" s="5"/>
    </row>
    <row r="31" spans="1:8" s="2" customFormat="1" ht="12" customHeight="1" x14ac:dyDescent="0.25">
      <c r="A31" s="32"/>
      <c r="B31" s="137" t="s">
        <v>453</v>
      </c>
      <c r="C31" s="138"/>
      <c r="D31" s="139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455</v>
      </c>
      <c r="F32" s="129"/>
      <c r="G32" s="130"/>
      <c r="H32" s="5"/>
    </row>
    <row r="33" spans="1:9" s="2" customFormat="1" ht="12" customHeight="1" x14ac:dyDescent="0.25">
      <c r="A33" s="5"/>
      <c r="B33" s="147"/>
      <c r="C33" s="148"/>
      <c r="D33" s="149"/>
      <c r="E33" s="137" t="s">
        <v>47</v>
      </c>
      <c r="F33" s="138"/>
      <c r="G33" s="139"/>
      <c r="H33" s="5"/>
    </row>
    <row r="34" spans="1:9" s="2" customFormat="1" ht="12" customHeight="1" x14ac:dyDescent="0.25">
      <c r="A34" s="5"/>
      <c r="B34" s="128" t="s">
        <v>454</v>
      </c>
      <c r="C34" s="129"/>
      <c r="D34" s="130"/>
      <c r="E34" s="137" t="s">
        <v>49</v>
      </c>
      <c r="F34" s="138"/>
      <c r="G34" s="139"/>
      <c r="H34" s="5"/>
    </row>
    <row r="35" spans="1:9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9" s="2" customFormat="1" ht="12" customHeight="1" x14ac:dyDescent="0.25">
      <c r="A36" s="5"/>
      <c r="B36" s="147"/>
      <c r="C36" s="148"/>
      <c r="D36" s="149"/>
      <c r="E36" s="137" t="s">
        <v>52</v>
      </c>
      <c r="F36" s="138"/>
      <c r="G36" s="139"/>
      <c r="H36" s="5"/>
    </row>
    <row r="37" spans="1:9" s="2" customFormat="1" ht="12" customHeight="1" x14ac:dyDescent="0.25">
      <c r="A37" s="5"/>
      <c r="B37" s="125" t="s">
        <v>53</v>
      </c>
      <c r="C37" s="126"/>
      <c r="D37" s="127"/>
      <c r="E37" s="137" t="s">
        <v>54</v>
      </c>
      <c r="F37" s="138"/>
      <c r="G37" s="139"/>
      <c r="H37" s="5"/>
    </row>
    <row r="38" spans="1:9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9" s="2" customFormat="1" ht="12" customHeight="1" x14ac:dyDescent="0.25">
      <c r="A39" s="5"/>
      <c r="B39" s="128" t="s">
        <v>309</v>
      </c>
      <c r="C39" s="129"/>
      <c r="D39" s="130"/>
      <c r="E39" s="137" t="s">
        <v>58</v>
      </c>
      <c r="F39" s="138"/>
      <c r="G39" s="139"/>
      <c r="H39" s="5"/>
    </row>
    <row r="40" spans="1:9" s="2" customFormat="1" ht="12" customHeight="1" x14ac:dyDescent="0.25">
      <c r="A40" s="5"/>
      <c r="B40" s="128" t="s">
        <v>304</v>
      </c>
      <c r="C40" s="129"/>
      <c r="D40" s="130"/>
      <c r="E40" s="137" t="s">
        <v>60</v>
      </c>
      <c r="F40" s="138"/>
      <c r="G40" s="139"/>
      <c r="H40" s="5"/>
    </row>
    <row r="41" spans="1:9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9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9" s="2" customFormat="1" ht="12" customHeight="1" x14ac:dyDescent="0.25">
      <c r="A43" s="5"/>
      <c r="B43" s="119" t="s">
        <v>344</v>
      </c>
      <c r="C43" s="120"/>
      <c r="D43" s="121"/>
      <c r="E43" s="154" t="s">
        <v>64</v>
      </c>
      <c r="F43" s="155"/>
      <c r="G43" s="156"/>
      <c r="H43" s="5"/>
    </row>
    <row r="44" spans="1:9" s="2" customFormat="1" ht="12" customHeight="1" x14ac:dyDescent="0.25">
      <c r="A44" s="5"/>
      <c r="B44" s="107" t="s">
        <v>343</v>
      </c>
      <c r="C44" s="108"/>
      <c r="D44" s="109"/>
      <c r="E44" s="154" t="s">
        <v>254</v>
      </c>
      <c r="F44" s="155"/>
      <c r="G44" s="156"/>
      <c r="H44" s="5"/>
    </row>
    <row r="45" spans="1:9" s="2" customFormat="1" ht="12" customHeight="1" x14ac:dyDescent="0.25">
      <c r="A45" s="5"/>
      <c r="B45" s="107"/>
      <c r="C45" s="108"/>
      <c r="D45" s="109"/>
      <c r="E45" s="137" t="s">
        <v>257</v>
      </c>
      <c r="F45" s="138"/>
      <c r="G45" s="139"/>
      <c r="H45" s="5"/>
    </row>
    <row r="46" spans="1:9" s="2" customFormat="1" ht="12" customHeight="1" x14ac:dyDescent="0.25">
      <c r="A46" s="5"/>
      <c r="B46" s="113" t="s">
        <v>69</v>
      </c>
      <c r="C46" s="114"/>
      <c r="D46" s="115"/>
      <c r="E46" s="177"/>
      <c r="F46" s="178"/>
      <c r="G46" s="179"/>
      <c r="H46" s="5"/>
      <c r="I46" s="72"/>
    </row>
    <row r="47" spans="1:9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9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 t="s">
        <v>458</v>
      </c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hidden="1" customHeight="1" x14ac:dyDescent="0.25">
      <c r="A62" s="9"/>
      <c r="B62" s="8" t="s">
        <v>78</v>
      </c>
      <c r="C62" s="37"/>
      <c r="D62" s="96" t="s">
        <v>348</v>
      </c>
      <c r="E62" s="96"/>
      <c r="F62" s="96"/>
      <c r="G62" s="35">
        <f ca="1">E17+8</f>
        <v>45769</v>
      </c>
      <c r="H62" s="9"/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43:D43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44:D44"/>
    <mergeCell ref="E44:G44"/>
    <mergeCell ref="B45:D45"/>
    <mergeCell ref="E45:G45"/>
    <mergeCell ref="B46:D46"/>
    <mergeCell ref="E46:G46"/>
    <mergeCell ref="D61:F61"/>
    <mergeCell ref="B47:G47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</mergeCells>
  <hyperlinks>
    <hyperlink ref="D7" r:id="rId1" xr:uid="{AC4C7414-9E09-4FE0-A4E2-6ED3E716ACD7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FB5D3-E350-491F-BF7A-6CFDFDFEDBDB}">
  <sheetPr codeName="Hoja31">
    <tabColor theme="1"/>
    <pageSetUpPr fitToPage="1"/>
  </sheetPr>
  <dimension ref="A3:H75"/>
  <sheetViews>
    <sheetView showGridLines="0" view="pageBreakPreview" topLeftCell="A57" zoomScale="115" zoomScaleNormal="70" zoomScaleSheetLayoutView="11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462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104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219" t="s">
        <v>107</v>
      </c>
      <c r="F20" s="220"/>
      <c r="G20" s="221"/>
      <c r="H20" s="5"/>
    </row>
    <row r="21" spans="1:8" s="2" customFormat="1" ht="12" customHeight="1" x14ac:dyDescent="0.25">
      <c r="A21" s="5"/>
      <c r="B21" s="215" t="s">
        <v>108</v>
      </c>
      <c r="C21" s="216"/>
      <c r="D21" s="216"/>
      <c r="E21" s="166" t="s">
        <v>109</v>
      </c>
      <c r="F21" s="167"/>
      <c r="G21" s="16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166" t="s">
        <v>111</v>
      </c>
      <c r="F22" s="167"/>
      <c r="G22" s="16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166" t="s">
        <v>113</v>
      </c>
      <c r="F23" s="167"/>
      <c r="G23" s="168"/>
      <c r="H23" s="5"/>
    </row>
    <row r="24" spans="1:8" s="2" customFormat="1" ht="12" customHeight="1" x14ac:dyDescent="0.25">
      <c r="A24" s="5"/>
      <c r="B24" s="219" t="s">
        <v>114</v>
      </c>
      <c r="C24" s="220"/>
      <c r="D24" s="220"/>
      <c r="E24" s="166" t="s">
        <v>115</v>
      </c>
      <c r="F24" s="167"/>
      <c r="G24" s="168"/>
      <c r="H24" s="5"/>
    </row>
    <row r="25" spans="1:8" s="2" customFormat="1" ht="12" customHeight="1" x14ac:dyDescent="0.25">
      <c r="A25" s="30"/>
      <c r="B25" s="166" t="s">
        <v>116</v>
      </c>
      <c r="C25" s="167"/>
      <c r="D25" s="167"/>
      <c r="E25" s="166" t="s">
        <v>117</v>
      </c>
      <c r="F25" s="167"/>
      <c r="G25" s="168"/>
      <c r="H25" s="5"/>
    </row>
    <row r="26" spans="1:8" s="2" customFormat="1" ht="12" customHeight="1" x14ac:dyDescent="0.25">
      <c r="A26" s="31"/>
      <c r="B26" s="166" t="s">
        <v>118</v>
      </c>
      <c r="C26" s="167"/>
      <c r="D26" s="167"/>
      <c r="E26" s="166" t="s">
        <v>119</v>
      </c>
      <c r="F26" s="167"/>
      <c r="G26" s="168"/>
      <c r="H26" s="5"/>
    </row>
    <row r="27" spans="1:8" s="2" customFormat="1" ht="12" customHeight="1" x14ac:dyDescent="0.25">
      <c r="A27" s="31"/>
      <c r="B27" s="166" t="s">
        <v>120</v>
      </c>
      <c r="C27" s="167"/>
      <c r="D27" s="167"/>
      <c r="E27" s="166" t="s">
        <v>121</v>
      </c>
      <c r="F27" s="167"/>
      <c r="G27" s="168"/>
      <c r="H27" s="5"/>
    </row>
    <row r="28" spans="1:8" s="2" customFormat="1" ht="12" customHeight="1" x14ac:dyDescent="0.25">
      <c r="A28" s="31"/>
      <c r="B28" s="166" t="s">
        <v>122</v>
      </c>
      <c r="C28" s="167"/>
      <c r="D28" s="167"/>
      <c r="E28" s="229" t="s">
        <v>123</v>
      </c>
      <c r="F28" s="230"/>
      <c r="G28" s="231"/>
      <c r="H28" s="5"/>
    </row>
    <row r="29" spans="1:8" s="2" customFormat="1" ht="12" customHeight="1" x14ac:dyDescent="0.25">
      <c r="A29" s="32"/>
      <c r="B29" s="166" t="s">
        <v>328</v>
      </c>
      <c r="C29" s="167"/>
      <c r="D29" s="167"/>
      <c r="E29" s="333" t="s">
        <v>125</v>
      </c>
      <c r="F29" s="334"/>
      <c r="G29" s="335"/>
      <c r="H29" s="5"/>
    </row>
    <row r="30" spans="1:8" s="2" customFormat="1" ht="12" customHeight="1" x14ac:dyDescent="0.25">
      <c r="A30" s="32"/>
      <c r="B30" s="166" t="s">
        <v>126</v>
      </c>
      <c r="C30" s="167"/>
      <c r="D30" s="167"/>
      <c r="E30" s="277"/>
      <c r="F30" s="278"/>
      <c r="G30" s="279"/>
      <c r="H30" s="5"/>
    </row>
    <row r="31" spans="1:8" s="2" customFormat="1" ht="12" customHeight="1" x14ac:dyDescent="0.25">
      <c r="A31" s="12"/>
      <c r="B31" s="166" t="s">
        <v>127</v>
      </c>
      <c r="C31" s="167"/>
      <c r="D31" s="167"/>
      <c r="E31" s="274" t="s">
        <v>128</v>
      </c>
      <c r="F31" s="275"/>
      <c r="G31" s="276"/>
      <c r="H31" s="5"/>
    </row>
    <row r="32" spans="1:8" s="2" customFormat="1" ht="12" customHeight="1" x14ac:dyDescent="0.25">
      <c r="A32" s="5"/>
      <c r="B32" s="166" t="s">
        <v>129</v>
      </c>
      <c r="C32" s="167"/>
      <c r="D32" s="167"/>
      <c r="E32" s="274" t="s">
        <v>130</v>
      </c>
      <c r="F32" s="275"/>
      <c r="G32" s="276"/>
      <c r="H32" s="5"/>
    </row>
    <row r="33" spans="1:8" s="2" customFormat="1" ht="12" customHeight="1" x14ac:dyDescent="0.25">
      <c r="A33" s="5"/>
      <c r="B33" s="243" t="s">
        <v>131</v>
      </c>
      <c r="C33" s="244"/>
      <c r="D33" s="244"/>
      <c r="E33" s="280" t="s">
        <v>162</v>
      </c>
      <c r="F33" s="281"/>
      <c r="G33" s="282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50" t="s">
        <v>134</v>
      </c>
      <c r="F35" s="251"/>
      <c r="G35" s="252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22" t="s">
        <v>298</v>
      </c>
      <c r="C41" s="123"/>
      <c r="D41" s="124"/>
      <c r="E41" s="122" t="s">
        <v>146</v>
      </c>
      <c r="F41" s="123"/>
      <c r="G41" s="124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29" t="s">
        <v>465</v>
      </c>
      <c r="F42" s="230"/>
      <c r="G42" s="231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22" t="s">
        <v>163</v>
      </c>
      <c r="C44" s="123"/>
      <c r="D44" s="124"/>
      <c r="E44" s="256" t="s">
        <v>152</v>
      </c>
      <c r="F44" s="257"/>
      <c r="G44" s="258"/>
      <c r="H44" s="5"/>
    </row>
    <row r="45" spans="1:8" s="2" customFormat="1" ht="12" customHeight="1" x14ac:dyDescent="0.25">
      <c r="A45" s="5"/>
      <c r="B45" s="210" t="s">
        <v>153</v>
      </c>
      <c r="C45" s="211"/>
      <c r="D45" s="212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253" t="s">
        <v>321</v>
      </c>
      <c r="C47" s="254"/>
      <c r="D47" s="255"/>
      <c r="E47" s="250" t="s">
        <v>64</v>
      </c>
      <c r="F47" s="251"/>
      <c r="G47" s="252"/>
    </row>
    <row r="48" spans="1:8" s="2" customFormat="1" ht="12" customHeight="1" x14ac:dyDescent="0.2">
      <c r="B48" s="229" t="s">
        <v>156</v>
      </c>
      <c r="C48" s="230"/>
      <c r="D48" s="231"/>
      <c r="E48" s="122" t="s">
        <v>66</v>
      </c>
      <c r="F48" s="123"/>
      <c r="G48" s="124"/>
    </row>
    <row r="49" spans="1:8" s="2" customFormat="1" ht="12" customHeight="1" x14ac:dyDescent="0.2">
      <c r="B49" s="229" t="s">
        <v>157</v>
      </c>
      <c r="C49" s="230"/>
      <c r="D49" s="231"/>
      <c r="E49" s="122" t="s">
        <v>466</v>
      </c>
      <c r="F49" s="123"/>
      <c r="G49" s="124"/>
    </row>
    <row r="50" spans="1:8" s="2" customFormat="1" ht="12" customHeight="1" x14ac:dyDescent="0.2">
      <c r="B50" s="263" t="s">
        <v>159</v>
      </c>
      <c r="C50" s="264"/>
      <c r="D50" s="265"/>
      <c r="E50" s="210" t="s">
        <v>160</v>
      </c>
      <c r="F50" s="211"/>
      <c r="G50" s="212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99"/>
      <c r="C55" s="99"/>
      <c r="D55" s="99"/>
      <c r="E55" s="99"/>
      <c r="F55" s="99"/>
      <c r="G55" s="99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C61+C63+C62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6"/>
      <c r="D62" s="304" t="s">
        <v>463</v>
      </c>
      <c r="E62" s="304"/>
      <c r="F62" s="304"/>
      <c r="G62" s="35">
        <f ca="1">G61+15</f>
        <v>45776</v>
      </c>
      <c r="H62" s="7" t="s">
        <v>290</v>
      </c>
    </row>
    <row r="63" spans="1:8" ht="12" customHeight="1" x14ac:dyDescent="0.25">
      <c r="A63" s="9"/>
      <c r="B63" s="8" t="s">
        <v>78</v>
      </c>
      <c r="C63" s="37"/>
      <c r="D63" s="266" t="s">
        <v>464</v>
      </c>
      <c r="E63" s="266"/>
      <c r="F63" s="266"/>
      <c r="G63" s="35">
        <f ca="1">E17+23</f>
        <v>45784</v>
      </c>
      <c r="H63" s="7" t="s">
        <v>290</v>
      </c>
    </row>
    <row r="64" spans="1:8" ht="12" customHeight="1" x14ac:dyDescent="0.25">
      <c r="A64" s="5"/>
      <c r="B64" s="105" t="s">
        <v>168</v>
      </c>
      <c r="C64" s="105"/>
      <c r="D64" s="105"/>
      <c r="E64" s="105"/>
      <c r="F64" s="105"/>
      <c r="G64" s="105"/>
      <c r="H64" s="4"/>
    </row>
    <row r="65" spans="1:8" ht="12" customHeight="1" x14ac:dyDescent="0.25">
      <c r="A65" s="3" t="s">
        <v>83</v>
      </c>
      <c r="B65" s="106" t="s">
        <v>84</v>
      </c>
      <c r="C65" s="106"/>
      <c r="D65" s="106"/>
      <c r="E65" s="106"/>
      <c r="F65" s="106"/>
      <c r="G65" s="106"/>
      <c r="H65" s="2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  <c r="H69" s="95"/>
    </row>
    <row r="70" spans="1:8" ht="15" customHeight="1" x14ac:dyDescent="0.25">
      <c r="B70" s="33"/>
      <c r="C70" s="33"/>
      <c r="D70" s="33"/>
      <c r="E70" s="33"/>
      <c r="F70" s="33"/>
      <c r="G70" s="33"/>
      <c r="H70" s="33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67:E67"/>
    <mergeCell ref="F67:H67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B48:D48"/>
    <mergeCell ref="E48:G48"/>
    <mergeCell ref="B49:D49"/>
    <mergeCell ref="E49:G49"/>
    <mergeCell ref="B50:D50"/>
    <mergeCell ref="E50:G50"/>
    <mergeCell ref="B47:D47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38:D38"/>
    <mergeCell ref="E38:G38"/>
    <mergeCell ref="B39:D39"/>
    <mergeCell ref="E39:G39"/>
    <mergeCell ref="B40:D40"/>
    <mergeCell ref="E40:G4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36FA32C0-C357-4CE8-80C5-B738A6DDCB8A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70117-4B38-4494-9CC0-261274BC1BCC}">
  <sheetPr codeName="Hoja32">
    <tabColor theme="1"/>
    <pageSetUpPr fitToPage="1"/>
  </sheetPr>
  <dimension ref="A3:K79"/>
  <sheetViews>
    <sheetView showGridLines="0" view="pageBreakPreview" topLeftCell="A55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11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11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11" ht="12" customHeight="1" x14ac:dyDescent="0.25">
      <c r="C7" s="26" t="s">
        <v>7</v>
      </c>
      <c r="D7" s="175" t="s">
        <v>8</v>
      </c>
      <c r="E7" s="175"/>
      <c r="F7" s="175"/>
      <c r="G7" s="25"/>
      <c r="K7" s="41"/>
    </row>
    <row r="8" spans="1:11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11" s="1" customFormat="1" ht="15.95" customHeight="1" x14ac:dyDescent="0.25">
      <c r="B9" s="171" t="s">
        <v>520</v>
      </c>
      <c r="C9" s="171"/>
      <c r="D9" s="171"/>
      <c r="E9" s="171"/>
      <c r="F9" s="171"/>
      <c r="G9" s="171"/>
      <c r="H9" s="24"/>
    </row>
    <row r="10" spans="1:11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11" s="14" customFormat="1" ht="12" customHeight="1" x14ac:dyDescent="0.25">
      <c r="A11" s="16" t="s">
        <v>10</v>
      </c>
      <c r="B11" s="159" t="s">
        <v>521</v>
      </c>
      <c r="C11" s="159"/>
      <c r="D11" s="159"/>
      <c r="E11" s="159"/>
      <c r="F11" s="29" t="s">
        <v>12</v>
      </c>
      <c r="G11" s="23"/>
      <c r="H11" s="5"/>
    </row>
    <row r="12" spans="1:11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11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11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11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11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334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42</v>
      </c>
      <c r="F30" s="194"/>
      <c r="G30" s="195"/>
      <c r="H30" s="5"/>
    </row>
    <row r="31" spans="1:8" s="2" customFormat="1" ht="12" customHeight="1" x14ac:dyDescent="0.25">
      <c r="A31" s="32"/>
      <c r="B31" s="128" t="s">
        <v>522</v>
      </c>
      <c r="C31" s="129"/>
      <c r="D31" s="130"/>
      <c r="E31" s="128" t="s">
        <v>246</v>
      </c>
      <c r="F31" s="129"/>
      <c r="G31" s="130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47" t="s">
        <v>492</v>
      </c>
      <c r="F32" s="148"/>
      <c r="G32" s="149"/>
      <c r="H32" s="5"/>
    </row>
    <row r="33" spans="1:8" s="2" customFormat="1" ht="12" customHeight="1" x14ac:dyDescent="0.25">
      <c r="A33" s="5"/>
      <c r="B33" s="147"/>
      <c r="C33" s="148"/>
      <c r="D33" s="149"/>
      <c r="E33" s="147"/>
      <c r="F33" s="148"/>
      <c r="G33" s="14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28" t="s">
        <v>523</v>
      </c>
      <c r="F34" s="129"/>
      <c r="G34" s="130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22" t="s">
        <v>524</v>
      </c>
      <c r="F35" s="123"/>
      <c r="G35" s="124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525</v>
      </c>
      <c r="F36" s="129"/>
      <c r="G36" s="130"/>
      <c r="H36" s="5"/>
    </row>
    <row r="37" spans="1:8" s="2" customFormat="1" ht="12" customHeight="1" x14ac:dyDescent="0.25">
      <c r="A37" s="5"/>
      <c r="B37" s="147" t="s">
        <v>491</v>
      </c>
      <c r="C37" s="148"/>
      <c r="D37" s="149"/>
      <c r="E37" s="137" t="s">
        <v>494</v>
      </c>
      <c r="F37" s="138"/>
      <c r="G37" s="139"/>
      <c r="H37" s="5"/>
    </row>
    <row r="38" spans="1:8" s="2" customFormat="1" ht="12" customHeight="1" x14ac:dyDescent="0.25">
      <c r="A38" s="5"/>
      <c r="B38" s="147"/>
      <c r="C38" s="148"/>
      <c r="D38" s="149"/>
      <c r="E38" s="137" t="s">
        <v>495</v>
      </c>
      <c r="F38" s="138"/>
      <c r="G38" s="13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137" t="s">
        <v>496</v>
      </c>
      <c r="F39" s="138"/>
      <c r="G39" s="13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318" t="s">
        <v>500</v>
      </c>
      <c r="C43" s="319"/>
      <c r="D43" s="320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47"/>
      <c r="C44" s="148"/>
      <c r="D44" s="149"/>
      <c r="E44" s="107" t="s">
        <v>499</v>
      </c>
      <c r="F44" s="108"/>
      <c r="G44" s="109"/>
      <c r="H44" s="5"/>
    </row>
    <row r="45" spans="1:8" s="2" customFormat="1" ht="12" customHeight="1" x14ac:dyDescent="0.25">
      <c r="A45" s="5"/>
      <c r="B45" s="147"/>
      <c r="C45" s="148"/>
      <c r="D45" s="149"/>
      <c r="E45" s="137"/>
      <c r="F45" s="138"/>
      <c r="G45" s="139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21"/>
      <c r="F46" s="322"/>
      <c r="G46" s="323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526</v>
      </c>
      <c r="E62" s="96"/>
      <c r="F62" s="96"/>
      <c r="G62" s="35">
        <f ca="1">E17+15</f>
        <v>45776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40 E35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4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31:D31"/>
    <mergeCell ref="E31:G31"/>
    <mergeCell ref="B25:D25"/>
    <mergeCell ref="E25:G25"/>
    <mergeCell ref="B26:D26"/>
    <mergeCell ref="E26:G26"/>
    <mergeCell ref="B27:D27"/>
    <mergeCell ref="E27:G27"/>
    <mergeCell ref="B28:D28"/>
    <mergeCell ref="E28:G28"/>
    <mergeCell ref="B29:G29"/>
    <mergeCell ref="B30:D30"/>
    <mergeCell ref="E30:G30"/>
    <mergeCell ref="B40:D40"/>
    <mergeCell ref="E40:G40"/>
    <mergeCell ref="B32:D33"/>
    <mergeCell ref="E32:G33"/>
    <mergeCell ref="B34:D34"/>
    <mergeCell ref="E34:G34"/>
    <mergeCell ref="B35:D36"/>
    <mergeCell ref="E35:G35"/>
    <mergeCell ref="E36:G36"/>
    <mergeCell ref="B37:D38"/>
    <mergeCell ref="E37:G37"/>
    <mergeCell ref="E38:G38"/>
    <mergeCell ref="B39:D39"/>
    <mergeCell ref="E39:G39"/>
    <mergeCell ref="B54:G54"/>
    <mergeCell ref="B41:D41"/>
    <mergeCell ref="E41:G41"/>
    <mergeCell ref="B42:G42"/>
    <mergeCell ref="B43:D45"/>
    <mergeCell ref="E43:G43"/>
    <mergeCell ref="E44:G44"/>
    <mergeCell ref="E45:G45"/>
    <mergeCell ref="B46:D46"/>
    <mergeCell ref="E46:G46"/>
    <mergeCell ref="B47:G47"/>
    <mergeCell ref="C52:G52"/>
    <mergeCell ref="B53:G53"/>
    <mergeCell ref="B65:E65"/>
    <mergeCell ref="F65:H65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4:G64"/>
    <mergeCell ref="B66:E66"/>
    <mergeCell ref="F66:H66"/>
    <mergeCell ref="B67:E67"/>
    <mergeCell ref="F67:H67"/>
    <mergeCell ref="B68:E68"/>
    <mergeCell ref="F68:G68"/>
  </mergeCells>
  <hyperlinks>
    <hyperlink ref="D7" r:id="rId1" xr:uid="{D484167A-8394-4138-99DE-9FB465E84AD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608F2-3F70-49D1-9062-84B494314934}">
  <sheetPr codeName="Hoja33">
    <tabColor theme="1"/>
    <pageSetUpPr fitToPage="1"/>
  </sheetPr>
  <dimension ref="A3:H80"/>
  <sheetViews>
    <sheetView showGridLines="0" showRuler="0" view="pageBreakPreview" topLeftCell="A47" zoomScale="130" zoomScaleNormal="50" zoomScaleSheetLayoutView="13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540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470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527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22" t="s">
        <v>528</v>
      </c>
      <c r="C21" s="123"/>
      <c r="D21" s="124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529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252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530</v>
      </c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307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93" t="s">
        <v>469</v>
      </c>
      <c r="F30" s="194"/>
      <c r="G30" s="195"/>
      <c r="H30" s="5"/>
    </row>
    <row r="31" spans="1:8" s="2" customFormat="1" ht="12" customHeight="1" x14ac:dyDescent="0.25">
      <c r="A31" s="32"/>
      <c r="B31" s="128" t="s">
        <v>531</v>
      </c>
      <c r="C31" s="129"/>
      <c r="D31" s="130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28" t="s">
        <v>534</v>
      </c>
      <c r="F32" s="129"/>
      <c r="G32" s="130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473</v>
      </c>
      <c r="F33" s="138"/>
      <c r="G33" s="139"/>
      <c r="H33" s="5"/>
    </row>
    <row r="34" spans="1:8" s="2" customFormat="1" ht="12" customHeight="1" x14ac:dyDescent="0.25">
      <c r="A34" s="5"/>
      <c r="B34" s="137" t="s">
        <v>471</v>
      </c>
      <c r="C34" s="138"/>
      <c r="D34" s="139"/>
      <c r="E34" s="137" t="s">
        <v>474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37" t="s">
        <v>475</v>
      </c>
      <c r="F36" s="138"/>
      <c r="G36" s="139"/>
      <c r="H36" s="5"/>
    </row>
    <row r="37" spans="1:8" s="2" customFormat="1" ht="12" customHeight="1" x14ac:dyDescent="0.25">
      <c r="A37" s="5"/>
      <c r="B37" s="125" t="s">
        <v>472</v>
      </c>
      <c r="C37" s="126"/>
      <c r="D37" s="127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28" t="s">
        <v>532</v>
      </c>
      <c r="C39" s="129"/>
      <c r="D39" s="130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28" t="s">
        <v>533</v>
      </c>
      <c r="C40" s="129"/>
      <c r="D40" s="130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537</v>
      </c>
      <c r="C43" s="199"/>
      <c r="D43" s="200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201"/>
      <c r="C44" s="202"/>
      <c r="D44" s="203"/>
      <c r="E44" s="107" t="s">
        <v>535</v>
      </c>
      <c r="F44" s="108"/>
      <c r="G44" s="109"/>
      <c r="H44" s="5"/>
    </row>
    <row r="45" spans="1:8" s="2" customFormat="1" ht="12" customHeight="1" x14ac:dyDescent="0.25">
      <c r="A45" s="5"/>
      <c r="B45" s="107"/>
      <c r="C45" s="108"/>
      <c r="D45" s="109"/>
      <c r="E45" s="110" t="s">
        <v>536</v>
      </c>
      <c r="F45" s="111"/>
      <c r="G45" s="112"/>
      <c r="H45" s="5"/>
    </row>
    <row r="46" spans="1:8" s="2" customFormat="1" ht="12" customHeight="1" x14ac:dyDescent="0.25">
      <c r="A46" s="5"/>
      <c r="B46" s="113" t="s">
        <v>69</v>
      </c>
      <c r="C46" s="114"/>
      <c r="D46" s="115"/>
      <c r="E46" s="116"/>
      <c r="F46" s="117"/>
      <c r="G46" s="118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12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C62+C61+C63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538</v>
      </c>
      <c r="E62" s="96"/>
      <c r="F62" s="96"/>
      <c r="G62" s="35">
        <f ca="1">E$17+12</f>
        <v>45773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96" t="s">
        <v>539</v>
      </c>
      <c r="E63" s="96"/>
      <c r="F63" s="96"/>
      <c r="G63" s="35">
        <f ca="1">E17+22</f>
        <v>45783</v>
      </c>
      <c r="H63" s="7" t="s">
        <v>290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8:E68"/>
    <mergeCell ref="F68:H68"/>
    <mergeCell ref="B69:E69"/>
    <mergeCell ref="F69:G69"/>
    <mergeCell ref="B43:D44"/>
    <mergeCell ref="D62:F62"/>
    <mergeCell ref="D63:F63"/>
    <mergeCell ref="B64:G64"/>
    <mergeCell ref="B65:G65"/>
    <mergeCell ref="B66:E66"/>
    <mergeCell ref="F66:H66"/>
    <mergeCell ref="B67:E67"/>
    <mergeCell ref="F67:H67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E44:G44"/>
    <mergeCell ref="B45:D45"/>
    <mergeCell ref="E45:G45"/>
    <mergeCell ref="B46:D46"/>
    <mergeCell ref="E46:G46"/>
    <mergeCell ref="E43:G43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B6875876-B3BC-4D17-9170-2D50898E80B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9A7FB-C636-40AF-904C-C014C24F5620}">
  <sheetPr codeName="Hoja34">
    <tabColor theme="1"/>
    <pageSetUpPr fitToPage="1"/>
  </sheetPr>
  <dimension ref="A3:H80"/>
  <sheetViews>
    <sheetView showGridLines="0" showRuler="0" view="pageBreakPreview" topLeftCell="A56" zoomScale="145" zoomScaleNormal="5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541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11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28" t="s">
        <v>38</v>
      </c>
      <c r="C28" s="129"/>
      <c r="D28" s="130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44"/>
      <c r="F29" s="144"/>
      <c r="G29" s="153"/>
      <c r="H29" s="5"/>
    </row>
    <row r="30" spans="1:8" s="2" customFormat="1" ht="12" customHeight="1" x14ac:dyDescent="0.25">
      <c r="A30" s="32"/>
      <c r="B30" s="128" t="s">
        <v>41</v>
      </c>
      <c r="C30" s="129"/>
      <c r="D30" s="130"/>
      <c r="E30" s="53" t="s">
        <v>49</v>
      </c>
      <c r="F30" s="54"/>
      <c r="G30" s="55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90" t="s">
        <v>542</v>
      </c>
      <c r="C32" s="191"/>
      <c r="D32" s="192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90"/>
      <c r="C33" s="191"/>
      <c r="D33" s="192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28" t="s">
        <v>459</v>
      </c>
      <c r="C34" s="129"/>
      <c r="D34" s="130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532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B45" s="143" t="s">
        <v>62</v>
      </c>
      <c r="C45" s="144"/>
      <c r="D45" s="144"/>
      <c r="E45" s="144"/>
      <c r="F45" s="144"/>
      <c r="G45" s="153"/>
      <c r="H45" s="5"/>
    </row>
    <row r="46" spans="1:8" s="2" customFormat="1" ht="12" customHeight="1" x14ac:dyDescent="0.25">
      <c r="B46" s="288" t="s">
        <v>547</v>
      </c>
      <c r="C46" s="388"/>
      <c r="D46" s="389"/>
      <c r="E46" s="288" t="s">
        <v>64</v>
      </c>
      <c r="F46" s="289"/>
      <c r="G46" s="314"/>
      <c r="H46" s="5"/>
    </row>
    <row r="47" spans="1:8" s="2" customFormat="1" ht="12" customHeight="1" x14ac:dyDescent="0.25">
      <c r="A47" s="5"/>
      <c r="B47" s="390"/>
      <c r="C47" s="391"/>
      <c r="D47" s="392"/>
      <c r="E47" s="190" t="s">
        <v>543</v>
      </c>
      <c r="F47" s="191"/>
      <c r="G47" s="192"/>
      <c r="H47" s="5"/>
    </row>
    <row r="48" spans="1:8" s="2" customFormat="1" ht="12" customHeight="1" x14ac:dyDescent="0.25">
      <c r="A48" s="5"/>
      <c r="B48" s="390"/>
      <c r="C48" s="391"/>
      <c r="D48" s="392"/>
      <c r="E48" s="190"/>
      <c r="F48" s="191"/>
      <c r="G48" s="192"/>
      <c r="H48" s="5"/>
    </row>
    <row r="49" spans="1:8" s="2" customFormat="1" ht="12" customHeight="1" x14ac:dyDescent="0.25">
      <c r="A49" s="5"/>
      <c r="B49" s="390"/>
      <c r="C49" s="391"/>
      <c r="D49" s="392"/>
      <c r="E49" s="201" t="s">
        <v>544</v>
      </c>
      <c r="F49" s="202"/>
      <c r="G49" s="203"/>
      <c r="H49" s="5"/>
    </row>
    <row r="50" spans="1:8" s="2" customFormat="1" ht="12" customHeight="1" x14ac:dyDescent="0.25">
      <c r="A50" s="5"/>
      <c r="B50" s="393" t="s">
        <v>69</v>
      </c>
      <c r="C50" s="394"/>
      <c r="D50" s="395"/>
      <c r="E50" s="315"/>
      <c r="F50" s="316"/>
      <c r="G50" s="317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 t="e">
        <f>C61+C62+C63</f>
        <v>#VALUE!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 t="s">
        <v>287</v>
      </c>
      <c r="D62" s="96" t="s">
        <v>546</v>
      </c>
      <c r="E62" s="96"/>
      <c r="F62" s="96"/>
      <c r="G62" s="35">
        <f ca="1">E17+8</f>
        <v>45769</v>
      </c>
      <c r="H62" s="7" t="s">
        <v>81</v>
      </c>
    </row>
    <row r="63" spans="1:8" s="2" customFormat="1" ht="12" customHeight="1" x14ac:dyDescent="0.25">
      <c r="A63" s="9"/>
      <c r="B63" s="8" t="s">
        <v>78</v>
      </c>
      <c r="C63" s="37"/>
      <c r="D63" s="96" t="s">
        <v>545</v>
      </c>
      <c r="E63" s="96"/>
      <c r="F63" s="96"/>
      <c r="G63" s="35">
        <f ca="1">E17+35</f>
        <v>45796</v>
      </c>
      <c r="H63" s="7" t="s">
        <v>81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7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B43:D43"/>
    <mergeCell ref="E43:G43"/>
    <mergeCell ref="B44:D44"/>
    <mergeCell ref="E44:G44"/>
    <mergeCell ref="B39:D39"/>
    <mergeCell ref="E39:G39"/>
    <mergeCell ref="B40:D40"/>
    <mergeCell ref="E40:G40"/>
    <mergeCell ref="B41:D41"/>
    <mergeCell ref="E41:G42"/>
    <mergeCell ref="B42:D42"/>
    <mergeCell ref="B50:D50"/>
    <mergeCell ref="B51:G51"/>
    <mergeCell ref="C52:G52"/>
    <mergeCell ref="B53:G53"/>
    <mergeCell ref="B54:G54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69:E69"/>
    <mergeCell ref="F69:G69"/>
    <mergeCell ref="B45:G45"/>
    <mergeCell ref="B46:D49"/>
    <mergeCell ref="E46:G46"/>
    <mergeCell ref="E47:G48"/>
    <mergeCell ref="E49:G50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</mergeCells>
  <hyperlinks>
    <hyperlink ref="D7" r:id="rId1" xr:uid="{68271E24-70CD-45B1-B08F-5AA22AA05B6E}"/>
  </hyperlinks>
  <printOptions horizontalCentered="1"/>
  <pageMargins left="0.59055118110236227" right="0.59055118110236227" top="0.39370078740157483" bottom="0.39370078740157483" header="0" footer="0"/>
  <pageSetup paperSize="9" scale="90"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C264-4EEF-4CD9-B5BF-4A18640A840C}">
  <sheetPr codeName="Hoja35">
    <tabColor theme="1"/>
    <pageSetUpPr fitToPage="1"/>
  </sheetPr>
  <dimension ref="A3:H76"/>
  <sheetViews>
    <sheetView showGridLines="0" view="pageBreakPreview" topLeftCell="A62" zoomScale="130" zoomScaleNormal="10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2.8554687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548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549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411" t="s">
        <v>553</v>
      </c>
      <c r="F20" s="220"/>
      <c r="G20" s="221"/>
      <c r="H20" s="5"/>
    </row>
    <row r="21" spans="1:8" s="2" customFormat="1" ht="12" customHeight="1" x14ac:dyDescent="0.25">
      <c r="A21" s="5"/>
      <c r="B21" s="215" t="s">
        <v>555</v>
      </c>
      <c r="C21" s="216"/>
      <c r="D21" s="216"/>
      <c r="E21" s="226" t="s">
        <v>109</v>
      </c>
      <c r="F21" s="227"/>
      <c r="G21" s="228"/>
      <c r="H21" s="5"/>
    </row>
    <row r="22" spans="1:8" s="2" customFormat="1" ht="12" customHeight="1" x14ac:dyDescent="0.25">
      <c r="A22" s="5"/>
      <c r="B22" s="222" t="s">
        <v>556</v>
      </c>
      <c r="C22" s="223"/>
      <c r="D22" s="223"/>
      <c r="E22" s="226" t="s">
        <v>111</v>
      </c>
      <c r="F22" s="227"/>
      <c r="G22" s="22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226" t="s">
        <v>364</v>
      </c>
      <c r="F23" s="227"/>
      <c r="G23" s="228"/>
      <c r="H23" s="5"/>
    </row>
    <row r="24" spans="1:8" s="2" customFormat="1" ht="12" customHeight="1" x14ac:dyDescent="0.25">
      <c r="A24" s="5"/>
      <c r="B24" s="330" t="s">
        <v>271</v>
      </c>
      <c r="C24" s="331"/>
      <c r="D24" s="332"/>
      <c r="E24" s="226" t="s">
        <v>115</v>
      </c>
      <c r="F24" s="227"/>
      <c r="G24" s="228"/>
      <c r="H24" s="5"/>
    </row>
    <row r="25" spans="1:8" s="2" customFormat="1" ht="12" customHeight="1" x14ac:dyDescent="0.25">
      <c r="A25" s="30"/>
      <c r="B25" s="226" t="s">
        <v>359</v>
      </c>
      <c r="C25" s="227"/>
      <c r="D25" s="228"/>
      <c r="E25" s="226" t="s">
        <v>267</v>
      </c>
      <c r="F25" s="227"/>
      <c r="G25" s="228"/>
      <c r="H25" s="5"/>
    </row>
    <row r="26" spans="1:8" s="2" customFormat="1" ht="12" customHeight="1" x14ac:dyDescent="0.25">
      <c r="A26" s="31"/>
      <c r="B26" s="226" t="s">
        <v>118</v>
      </c>
      <c r="C26" s="227"/>
      <c r="D26" s="228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226" t="s">
        <v>360</v>
      </c>
      <c r="C27" s="227"/>
      <c r="D27" s="228"/>
      <c r="E27" s="226" t="s">
        <v>554</v>
      </c>
      <c r="F27" s="227"/>
      <c r="G27" s="228"/>
      <c r="H27" s="5"/>
    </row>
    <row r="28" spans="1:8" s="2" customFormat="1" ht="12" customHeight="1" x14ac:dyDescent="0.25">
      <c r="A28" s="31"/>
      <c r="B28" s="226" t="s">
        <v>122</v>
      </c>
      <c r="C28" s="227"/>
      <c r="D28" s="228"/>
      <c r="E28" s="256" t="s">
        <v>123</v>
      </c>
      <c r="F28" s="257"/>
      <c r="G28" s="258"/>
      <c r="H28" s="5"/>
    </row>
    <row r="29" spans="1:8" s="2" customFormat="1" ht="12" customHeight="1" x14ac:dyDescent="0.25">
      <c r="A29" s="32"/>
      <c r="B29" s="333" t="s">
        <v>563</v>
      </c>
      <c r="C29" s="167"/>
      <c r="D29" s="168"/>
      <c r="E29" s="410" t="s">
        <v>125</v>
      </c>
      <c r="F29" s="227"/>
      <c r="G29" s="228"/>
      <c r="H29" s="5"/>
    </row>
    <row r="30" spans="1:8" s="2" customFormat="1" ht="12" customHeight="1" x14ac:dyDescent="0.25">
      <c r="A30" s="32"/>
      <c r="B30" s="226" t="s">
        <v>126</v>
      </c>
      <c r="C30" s="227"/>
      <c r="D30" s="228"/>
      <c r="E30" s="226"/>
      <c r="F30" s="227"/>
      <c r="G30" s="228"/>
      <c r="H30" s="5"/>
    </row>
    <row r="31" spans="1:8" s="2" customFormat="1" ht="12" customHeight="1" x14ac:dyDescent="0.25">
      <c r="A31" s="12"/>
      <c r="B31" s="166" t="s">
        <v>550</v>
      </c>
      <c r="C31" s="167"/>
      <c r="D31" s="168"/>
      <c r="E31" s="274" t="s">
        <v>128</v>
      </c>
      <c r="F31" s="275"/>
      <c r="G31" s="276"/>
      <c r="H31" s="5"/>
    </row>
    <row r="32" spans="1:8" s="2" customFormat="1" ht="12" customHeight="1" x14ac:dyDescent="0.25">
      <c r="A32" s="5"/>
      <c r="B32" s="226" t="s">
        <v>129</v>
      </c>
      <c r="C32" s="227"/>
      <c r="D32" s="228"/>
      <c r="E32" s="404" t="s">
        <v>552</v>
      </c>
      <c r="F32" s="405"/>
      <c r="G32" s="406"/>
      <c r="H32" s="5"/>
    </row>
    <row r="33" spans="1:8" s="2" customFormat="1" ht="12" customHeight="1" x14ac:dyDescent="0.25">
      <c r="A33" s="5"/>
      <c r="B33" s="402" t="s">
        <v>551</v>
      </c>
      <c r="C33" s="403"/>
      <c r="D33" s="403"/>
      <c r="E33" s="407"/>
      <c r="F33" s="408"/>
      <c r="G33" s="409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67" t="s">
        <v>134</v>
      </c>
      <c r="F35" s="169"/>
      <c r="G35" s="170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122" t="s">
        <v>557</v>
      </c>
      <c r="F38" s="123"/>
      <c r="G38" s="124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54" t="s">
        <v>298</v>
      </c>
      <c r="C41" s="155"/>
      <c r="D41" s="156"/>
      <c r="E41" s="122" t="s">
        <v>146</v>
      </c>
      <c r="F41" s="123"/>
      <c r="G41" s="124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29" t="s">
        <v>558</v>
      </c>
      <c r="F42" s="230"/>
      <c r="G42" s="231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54" t="s">
        <v>151</v>
      </c>
      <c r="C44" s="155"/>
      <c r="D44" s="156"/>
      <c r="E44" s="256" t="s">
        <v>299</v>
      </c>
      <c r="F44" s="257"/>
      <c r="G44" s="258"/>
      <c r="H44" s="5"/>
    </row>
    <row r="45" spans="1:8" s="2" customFormat="1" ht="12" customHeight="1" x14ac:dyDescent="0.25">
      <c r="A45" s="5"/>
      <c r="B45" s="268" t="s">
        <v>153</v>
      </c>
      <c r="C45" s="269"/>
      <c r="D45" s="270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397" t="s">
        <v>559</v>
      </c>
      <c r="C47" s="398"/>
      <c r="D47" s="399"/>
      <c r="E47" s="267" t="s">
        <v>64</v>
      </c>
      <c r="F47" s="169"/>
      <c r="G47" s="170"/>
    </row>
    <row r="48" spans="1:8" s="2" customFormat="1" ht="12" customHeight="1" x14ac:dyDescent="0.2">
      <c r="B48" s="349"/>
      <c r="C48" s="400"/>
      <c r="D48" s="401"/>
      <c r="E48" s="154" t="s">
        <v>66</v>
      </c>
      <c r="F48" s="155"/>
      <c r="G48" s="156"/>
    </row>
    <row r="49" spans="1:8" s="2" customFormat="1" ht="12" customHeight="1" x14ac:dyDescent="0.2">
      <c r="B49" s="349"/>
      <c r="C49" s="400"/>
      <c r="D49" s="401"/>
      <c r="E49" s="154" t="s">
        <v>158</v>
      </c>
      <c r="F49" s="155"/>
      <c r="G49" s="156"/>
    </row>
    <row r="50" spans="1:8" s="2" customFormat="1" ht="12" customHeight="1" x14ac:dyDescent="0.2">
      <c r="B50" s="263" t="s">
        <v>159</v>
      </c>
      <c r="C50" s="264"/>
      <c r="D50" s="265"/>
      <c r="E50" s="268" t="s">
        <v>160</v>
      </c>
      <c r="F50" s="269"/>
      <c r="G50" s="270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C61+C62+C64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560</v>
      </c>
      <c r="E62" s="266"/>
      <c r="F62" s="266"/>
      <c r="G62" s="35">
        <f ca="1">E17+7</f>
        <v>45768</v>
      </c>
      <c r="H62" s="7" t="s">
        <v>290</v>
      </c>
    </row>
    <row r="63" spans="1:8" ht="12" customHeight="1" x14ac:dyDescent="0.25">
      <c r="A63" s="9"/>
      <c r="B63" s="8" t="s">
        <v>78</v>
      </c>
      <c r="C63" s="37"/>
      <c r="D63" s="396" t="s">
        <v>561</v>
      </c>
      <c r="E63" s="396"/>
      <c r="F63" s="396"/>
      <c r="G63" s="35">
        <f ca="1">E$17+35</f>
        <v>45796</v>
      </c>
      <c r="H63" s="7" t="s">
        <v>290</v>
      </c>
    </row>
    <row r="64" spans="1:8" ht="12" customHeight="1" x14ac:dyDescent="0.25">
      <c r="A64" s="9"/>
      <c r="B64" s="8" t="s">
        <v>78</v>
      </c>
      <c r="C64" s="37"/>
      <c r="D64" s="266" t="s">
        <v>562</v>
      </c>
      <c r="E64" s="266"/>
      <c r="F64" s="266"/>
      <c r="G64" s="35">
        <f ca="1">E17+60</f>
        <v>45821</v>
      </c>
      <c r="H64" s="7" t="s">
        <v>290</v>
      </c>
    </row>
    <row r="65" spans="1:8" ht="12" customHeight="1" x14ac:dyDescent="0.25">
      <c r="A65" s="5"/>
      <c r="B65" s="105" t="s">
        <v>102</v>
      </c>
      <c r="C65" s="105"/>
      <c r="D65" s="105"/>
      <c r="E65" s="105"/>
      <c r="F65" s="105"/>
      <c r="G65" s="105"/>
      <c r="H65" s="4"/>
    </row>
    <row r="66" spans="1:8" ht="12" customHeight="1" x14ac:dyDescent="0.25">
      <c r="A66" s="3" t="s">
        <v>83</v>
      </c>
      <c r="B66" s="106" t="s">
        <v>84</v>
      </c>
      <c r="C66" s="106"/>
      <c r="D66" s="106"/>
      <c r="E66" s="106"/>
      <c r="F66" s="106"/>
      <c r="G66" s="106"/>
      <c r="H66" s="2"/>
    </row>
    <row r="67" spans="1:8" ht="12" customHeight="1" x14ac:dyDescent="0.25">
      <c r="B67" s="95" t="s">
        <v>786</v>
      </c>
      <c r="C67" s="95"/>
      <c r="D67" s="95"/>
      <c r="E67" s="95"/>
      <c r="F67" s="95" t="s">
        <v>85</v>
      </c>
      <c r="G67" s="95"/>
      <c r="H67" s="95"/>
    </row>
    <row r="68" spans="1:8" ht="12" customHeight="1" x14ac:dyDescent="0.25">
      <c r="B68" s="94" t="s">
        <v>86</v>
      </c>
      <c r="C68" s="94"/>
      <c r="D68" s="94"/>
      <c r="E68" s="94"/>
      <c r="F68" s="95" t="s">
        <v>87</v>
      </c>
      <c r="G68" s="95"/>
      <c r="H68" s="95"/>
    </row>
    <row r="69" spans="1:8" ht="12" customHeight="1" x14ac:dyDescent="0.25">
      <c r="B69" s="94" t="s">
        <v>785</v>
      </c>
      <c r="C69" s="94"/>
      <c r="D69" s="94"/>
      <c r="E69" s="94"/>
      <c r="F69" s="95" t="s">
        <v>432</v>
      </c>
      <c r="G69" s="95"/>
      <c r="H69" s="95"/>
    </row>
    <row r="70" spans="1:8" ht="12" customHeight="1" x14ac:dyDescent="0.25">
      <c r="B70" s="95" t="s">
        <v>784</v>
      </c>
      <c r="C70" s="95"/>
      <c r="D70" s="95"/>
      <c r="E70" s="95"/>
      <c r="F70" s="95"/>
      <c r="G70" s="95"/>
      <c r="H70" s="95"/>
    </row>
    <row r="71" spans="1:8" ht="15" customHeight="1" x14ac:dyDescent="0.25">
      <c r="B71" s="33"/>
      <c r="C71" s="33"/>
      <c r="D71" s="33"/>
      <c r="E71" s="33"/>
      <c r="F71" s="33"/>
      <c r="G71" s="33"/>
      <c r="H71" s="33"/>
    </row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7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28:D28"/>
    <mergeCell ref="E28:G28"/>
    <mergeCell ref="B29:D29"/>
    <mergeCell ref="E29:G29"/>
    <mergeCell ref="B30:D30"/>
    <mergeCell ref="E30:G30"/>
    <mergeCell ref="B37:D37"/>
    <mergeCell ref="E37:G37"/>
    <mergeCell ref="B31:D31"/>
    <mergeCell ref="E31:G31"/>
    <mergeCell ref="B32:D32"/>
    <mergeCell ref="B33:D33"/>
    <mergeCell ref="E32:G33"/>
    <mergeCell ref="B34:G34"/>
    <mergeCell ref="B35:D35"/>
    <mergeCell ref="E35:G35"/>
    <mergeCell ref="B36:D36"/>
    <mergeCell ref="E36:G36"/>
    <mergeCell ref="B38:D38"/>
    <mergeCell ref="E38:G38"/>
    <mergeCell ref="B39:D39"/>
    <mergeCell ref="E39:G39"/>
    <mergeCell ref="B40:D40"/>
    <mergeCell ref="E40:G40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E48:G48"/>
    <mergeCell ref="E49:G49"/>
    <mergeCell ref="B50:D50"/>
    <mergeCell ref="E50:G50"/>
    <mergeCell ref="B47:D49"/>
    <mergeCell ref="E47:G47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D62:F62"/>
    <mergeCell ref="D64:F64"/>
    <mergeCell ref="B65:G65"/>
    <mergeCell ref="B66:G66"/>
    <mergeCell ref="B67:E67"/>
    <mergeCell ref="F67:H67"/>
    <mergeCell ref="D63:F63"/>
    <mergeCell ref="B68:E68"/>
    <mergeCell ref="F68:H68"/>
    <mergeCell ref="B69:E69"/>
    <mergeCell ref="F69:H69"/>
    <mergeCell ref="B70:E70"/>
    <mergeCell ref="F70:H70"/>
  </mergeCells>
  <hyperlinks>
    <hyperlink ref="D7" r:id="rId1" xr:uid="{6B73EA9E-5210-427A-B211-B8A0F46E7A5D}"/>
  </hyperlinks>
  <printOptions horizontalCentered="1" verticalCentered="1"/>
  <pageMargins left="0.59055118110236227" right="0.59055118110236227" top="0" bottom="0" header="0" footer="0"/>
  <pageSetup paperSize="9" scale="92"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C269A-447A-453A-88E9-EECEE2229A9A}">
  <sheetPr codeName="Hoja36">
    <tabColor theme="1"/>
    <pageSetUpPr fitToPage="1"/>
  </sheetPr>
  <dimension ref="A3:H81"/>
  <sheetViews>
    <sheetView showGridLines="0" showRuler="0" view="pageBreakPreview" topLeftCell="A58" zoomScale="130" zoomScaleNormal="5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9.285156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564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565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22" t="s">
        <v>23</v>
      </c>
      <c r="C20" s="123"/>
      <c r="D20" s="124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33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187" t="s">
        <v>568</v>
      </c>
      <c r="F30" s="188"/>
      <c r="G30" s="189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128" t="s">
        <v>569</v>
      </c>
      <c r="F31" s="129"/>
      <c r="G31" s="130"/>
      <c r="H31" s="5"/>
    </row>
    <row r="32" spans="1:8" s="2" customFormat="1" ht="12" customHeight="1" x14ac:dyDescent="0.25">
      <c r="A32" s="12"/>
      <c r="B32" s="190" t="s">
        <v>45</v>
      </c>
      <c r="C32" s="191"/>
      <c r="D32" s="192"/>
      <c r="E32" s="128" t="s">
        <v>570</v>
      </c>
      <c r="F32" s="129"/>
      <c r="G32" s="130"/>
      <c r="H32" s="5"/>
    </row>
    <row r="33" spans="1:8" s="2" customFormat="1" ht="12" customHeight="1" x14ac:dyDescent="0.25">
      <c r="A33" s="5"/>
      <c r="B33" s="190"/>
      <c r="C33" s="191"/>
      <c r="D33" s="192"/>
      <c r="E33" s="128" t="s">
        <v>571</v>
      </c>
      <c r="F33" s="129"/>
      <c r="G33" s="130"/>
      <c r="H33" s="5"/>
    </row>
    <row r="34" spans="1:8" s="2" customFormat="1" ht="12" customHeight="1" x14ac:dyDescent="0.25">
      <c r="A34" s="5"/>
      <c r="B34" s="128" t="s">
        <v>48</v>
      </c>
      <c r="C34" s="129"/>
      <c r="D34" s="130"/>
      <c r="E34" s="128" t="s">
        <v>572</v>
      </c>
      <c r="F34" s="129"/>
      <c r="G34" s="130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28" t="s">
        <v>573</v>
      </c>
      <c r="F35" s="129"/>
      <c r="G35" s="130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574</v>
      </c>
      <c r="F36" s="129"/>
      <c r="G36" s="130"/>
      <c r="H36" s="5"/>
    </row>
    <row r="37" spans="1:8" s="2" customFormat="1" ht="12" customHeight="1" x14ac:dyDescent="0.25">
      <c r="A37" s="5"/>
      <c r="B37" s="122" t="s">
        <v>53</v>
      </c>
      <c r="C37" s="123"/>
      <c r="D37" s="124"/>
      <c r="E37" s="308" t="s">
        <v>575</v>
      </c>
      <c r="F37" s="309"/>
      <c r="G37" s="310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308" t="s">
        <v>576</v>
      </c>
      <c r="F38" s="309"/>
      <c r="G38" s="310"/>
      <c r="H38" s="5"/>
    </row>
    <row r="39" spans="1:8" s="2" customFormat="1" ht="12" customHeight="1" x14ac:dyDescent="0.25">
      <c r="A39" s="5"/>
      <c r="B39" s="128" t="s">
        <v>532</v>
      </c>
      <c r="C39" s="129"/>
      <c r="D39" s="130"/>
      <c r="E39" s="412" t="s">
        <v>577</v>
      </c>
      <c r="F39" s="413"/>
      <c r="G39" s="414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311" t="s">
        <v>578</v>
      </c>
      <c r="F40" s="312"/>
      <c r="G40" s="313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308" t="s">
        <v>579</v>
      </c>
      <c r="F41" s="309"/>
      <c r="G41" s="310"/>
      <c r="H41" s="5"/>
    </row>
    <row r="42" spans="1:8" s="2" customFormat="1" ht="12" customHeight="1" x14ac:dyDescent="0.25">
      <c r="A42" s="5"/>
      <c r="B42" s="128" t="s">
        <v>566</v>
      </c>
      <c r="C42" s="129"/>
      <c r="D42" s="130"/>
      <c r="E42" s="296" t="s">
        <v>580</v>
      </c>
      <c r="F42" s="297"/>
      <c r="G42" s="298"/>
      <c r="H42" s="5"/>
    </row>
    <row r="43" spans="1:8" s="2" customFormat="1" ht="12" customHeight="1" x14ac:dyDescent="0.25">
      <c r="A43" s="5"/>
      <c r="B43" s="128" t="s">
        <v>567</v>
      </c>
      <c r="C43" s="129"/>
      <c r="D43" s="130"/>
      <c r="E43" s="73"/>
      <c r="F43" s="74"/>
      <c r="G43" s="75"/>
      <c r="H43" s="5"/>
    </row>
    <row r="44" spans="1:8" s="2" customFormat="1" ht="12" customHeight="1" x14ac:dyDescent="0.25">
      <c r="B44" s="143" t="s">
        <v>62</v>
      </c>
      <c r="C44" s="144"/>
      <c r="D44" s="144"/>
      <c r="E44" s="144"/>
      <c r="F44" s="144"/>
      <c r="G44" s="153"/>
      <c r="H44" s="5"/>
    </row>
    <row r="45" spans="1:8" s="2" customFormat="1" ht="12" customHeight="1" x14ac:dyDescent="0.25">
      <c r="A45" s="5"/>
      <c r="B45" s="119" t="s">
        <v>581</v>
      </c>
      <c r="C45" s="199"/>
      <c r="D45" s="200"/>
      <c r="E45" s="119" t="s">
        <v>583</v>
      </c>
      <c r="F45" s="199"/>
      <c r="G45" s="200"/>
      <c r="H45" s="5"/>
    </row>
    <row r="46" spans="1:8" s="2" customFormat="1" ht="12" customHeight="1" x14ac:dyDescent="0.25">
      <c r="A46" s="5"/>
      <c r="B46" s="201"/>
      <c r="C46" s="202"/>
      <c r="D46" s="203"/>
      <c r="E46" s="201"/>
      <c r="F46" s="202"/>
      <c r="G46" s="203"/>
      <c r="H46" s="5"/>
    </row>
    <row r="47" spans="1:8" s="2" customFormat="1" ht="12" customHeight="1" x14ac:dyDescent="0.25">
      <c r="A47" s="5"/>
      <c r="B47" s="201"/>
      <c r="C47" s="202"/>
      <c r="D47" s="203"/>
      <c r="E47" s="201" t="s">
        <v>585</v>
      </c>
      <c r="F47" s="202"/>
      <c r="G47" s="203"/>
      <c r="H47" s="5"/>
    </row>
    <row r="48" spans="1:8" s="2" customFormat="1" ht="12" customHeight="1" x14ac:dyDescent="0.25">
      <c r="A48" s="5"/>
      <c r="B48" s="201" t="s">
        <v>582</v>
      </c>
      <c r="C48" s="202"/>
      <c r="D48" s="203"/>
      <c r="E48" s="201"/>
      <c r="F48" s="202"/>
      <c r="G48" s="203"/>
      <c r="H48" s="5"/>
    </row>
    <row r="49" spans="1:8" s="2" customFormat="1" ht="12" customHeight="1" x14ac:dyDescent="0.25">
      <c r="A49" s="5"/>
      <c r="B49" s="201"/>
      <c r="C49" s="202"/>
      <c r="D49" s="203"/>
      <c r="E49" s="201" t="s">
        <v>586</v>
      </c>
      <c r="F49" s="202"/>
      <c r="G49" s="203"/>
      <c r="H49" s="5"/>
    </row>
    <row r="50" spans="1:8" s="2" customFormat="1" ht="12" customHeight="1" x14ac:dyDescent="0.25">
      <c r="A50" s="5"/>
      <c r="B50" s="107" t="s">
        <v>584</v>
      </c>
      <c r="C50" s="325"/>
      <c r="D50" s="326"/>
      <c r="E50" s="315"/>
      <c r="F50" s="316"/>
      <c r="G50" s="317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C61+C62+C64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587</v>
      </c>
      <c r="E62" s="96"/>
      <c r="F62" s="96"/>
      <c r="G62" s="35">
        <f ca="1">E17+7</f>
        <v>45768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304" t="s">
        <v>461</v>
      </c>
      <c r="E63" s="304"/>
      <c r="F63" s="304"/>
      <c r="G63" s="35">
        <f ca="1">E17+12</f>
        <v>45773</v>
      </c>
      <c r="H63" s="7" t="s">
        <v>290</v>
      </c>
    </row>
    <row r="64" spans="1:8" s="2" customFormat="1" ht="12" customHeight="1" x14ac:dyDescent="0.25">
      <c r="A64" s="9"/>
      <c r="B64" s="8" t="s">
        <v>78</v>
      </c>
      <c r="C64" s="37"/>
      <c r="D64" s="96" t="s">
        <v>93</v>
      </c>
      <c r="E64" s="96"/>
      <c r="F64" s="96"/>
      <c r="G64" s="35">
        <f ca="1">+G62+26</f>
        <v>45794</v>
      </c>
      <c r="H64" s="7" t="s">
        <v>290</v>
      </c>
    </row>
    <row r="65" spans="1:8" s="2" customFormat="1" ht="12" customHeight="1" x14ac:dyDescent="0.25">
      <c r="A65" s="5"/>
      <c r="B65" s="105" t="s">
        <v>82</v>
      </c>
      <c r="C65" s="105"/>
      <c r="D65" s="105"/>
      <c r="E65" s="105"/>
      <c r="F65" s="105"/>
      <c r="G65" s="105"/>
      <c r="H65" s="4"/>
    </row>
    <row r="66" spans="1:8" s="2" customFormat="1" ht="12" customHeight="1" x14ac:dyDescent="0.2">
      <c r="A66" s="3" t="s">
        <v>83</v>
      </c>
      <c r="B66" s="106" t="s">
        <v>84</v>
      </c>
      <c r="C66" s="106"/>
      <c r="D66" s="106"/>
      <c r="E66" s="106"/>
      <c r="F66" s="106"/>
      <c r="G66" s="106"/>
    </row>
    <row r="67" spans="1:8" ht="12" customHeight="1" x14ac:dyDescent="0.25">
      <c r="B67" s="95" t="s">
        <v>786</v>
      </c>
      <c r="C67" s="95"/>
      <c r="D67" s="95"/>
      <c r="E67" s="95"/>
      <c r="F67" s="95" t="s">
        <v>85</v>
      </c>
      <c r="G67" s="95"/>
      <c r="H67" s="95"/>
    </row>
    <row r="68" spans="1:8" ht="12" customHeight="1" x14ac:dyDescent="0.25">
      <c r="B68" s="94" t="s">
        <v>86</v>
      </c>
      <c r="C68" s="94"/>
      <c r="D68" s="94"/>
      <c r="E68" s="94"/>
      <c r="F68" s="95" t="s">
        <v>87</v>
      </c>
      <c r="G68" s="95"/>
      <c r="H68" s="95"/>
    </row>
    <row r="69" spans="1:8" ht="12" customHeight="1" x14ac:dyDescent="0.25">
      <c r="B69" s="94" t="s">
        <v>785</v>
      </c>
      <c r="C69" s="94"/>
      <c r="D69" s="94"/>
      <c r="E69" s="94"/>
      <c r="F69" s="95" t="s">
        <v>432</v>
      </c>
      <c r="G69" s="95"/>
      <c r="H69" s="95"/>
    </row>
    <row r="70" spans="1:8" ht="12" customHeight="1" x14ac:dyDescent="0.25">
      <c r="B70" s="95" t="s">
        <v>784</v>
      </c>
      <c r="C70" s="95"/>
      <c r="D70" s="95"/>
      <c r="E70" s="95"/>
      <c r="F70" s="95"/>
      <c r="G70" s="95"/>
    </row>
    <row r="71" spans="1:8" ht="12" customHeight="1" x14ac:dyDescent="0.25">
      <c r="B71" s="33"/>
      <c r="C71" s="33"/>
      <c r="D71" s="33"/>
      <c r="E71" s="33"/>
      <c r="F71" s="33"/>
      <c r="G71" s="33"/>
      <c r="H71" s="33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C43:D4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2:D42 B46:D4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1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7:D37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B43:D43"/>
    <mergeCell ref="E42:G42"/>
    <mergeCell ref="B39:D39"/>
    <mergeCell ref="E39:G39"/>
    <mergeCell ref="B40:D40"/>
    <mergeCell ref="E40:G40"/>
    <mergeCell ref="B41:D41"/>
    <mergeCell ref="B42:D42"/>
    <mergeCell ref="D64:F64"/>
    <mergeCell ref="B65:G65"/>
    <mergeCell ref="B66:G66"/>
    <mergeCell ref="B55:G55"/>
    <mergeCell ref="B56:G56"/>
    <mergeCell ref="B57:C57"/>
    <mergeCell ref="B58:G58"/>
    <mergeCell ref="B59:C59"/>
    <mergeCell ref="E59:F59"/>
    <mergeCell ref="B70:E70"/>
    <mergeCell ref="F70:G70"/>
    <mergeCell ref="E30:G30"/>
    <mergeCell ref="E31:G31"/>
    <mergeCell ref="E32:G32"/>
    <mergeCell ref="E37:G37"/>
    <mergeCell ref="E38:G38"/>
    <mergeCell ref="E41:G41"/>
    <mergeCell ref="B44:G44"/>
    <mergeCell ref="B67:E67"/>
    <mergeCell ref="F67:H67"/>
    <mergeCell ref="B68:E68"/>
    <mergeCell ref="F68:H68"/>
    <mergeCell ref="B69:E69"/>
    <mergeCell ref="F69:H69"/>
    <mergeCell ref="B60:G60"/>
    <mergeCell ref="B48:D49"/>
    <mergeCell ref="E45:G46"/>
    <mergeCell ref="E47:G48"/>
    <mergeCell ref="E49:G50"/>
    <mergeCell ref="D63:F63"/>
    <mergeCell ref="D61:F61"/>
    <mergeCell ref="D62:F62"/>
    <mergeCell ref="B50:D50"/>
    <mergeCell ref="B51:G51"/>
    <mergeCell ref="C52:G52"/>
    <mergeCell ref="B53:G53"/>
    <mergeCell ref="B54:G54"/>
    <mergeCell ref="B45:D47"/>
  </mergeCells>
  <hyperlinks>
    <hyperlink ref="D7" r:id="rId1" xr:uid="{689C387D-493D-45EE-8251-05D4AB5594E7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464B-9EF2-4882-B6D5-8789FE264276}">
  <sheetPr codeName="Hoja37">
    <tabColor theme="1"/>
    <pageSetUpPr fitToPage="1"/>
  </sheetPr>
  <dimension ref="A3:H78"/>
  <sheetViews>
    <sheetView showGridLines="0" view="pageBreakPreview" topLeftCell="A54" zoomScale="130" zoomScaleNormal="50" zoomScaleSheetLayoutView="130" workbookViewId="0">
      <selection activeCell="B64" sqref="B64:E64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588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589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99" t="s">
        <v>23</v>
      </c>
      <c r="C20" s="300"/>
      <c r="D20" s="301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209</v>
      </c>
      <c r="C30" s="188"/>
      <c r="D30" s="189"/>
      <c r="E30" s="250" t="s">
        <v>594</v>
      </c>
      <c r="F30" s="251"/>
      <c r="G30" s="252"/>
      <c r="H30" s="5"/>
    </row>
    <row r="31" spans="1:8" s="2" customFormat="1" ht="12" customHeight="1" x14ac:dyDescent="0.25">
      <c r="A31" s="32"/>
      <c r="B31" s="128" t="s">
        <v>210</v>
      </c>
      <c r="C31" s="129"/>
      <c r="D31" s="130"/>
      <c r="E31" s="53" t="s">
        <v>430</v>
      </c>
      <c r="F31" s="54"/>
      <c r="G31" s="55"/>
      <c r="H31" s="5"/>
    </row>
    <row r="32" spans="1:8" s="2" customFormat="1" ht="12" customHeight="1" x14ac:dyDescent="0.25">
      <c r="A32" s="12"/>
      <c r="B32" s="190" t="s">
        <v>590</v>
      </c>
      <c r="C32" s="191"/>
      <c r="D32" s="192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90"/>
      <c r="C33" s="191"/>
      <c r="D33" s="192"/>
      <c r="E33" s="137" t="s">
        <v>310</v>
      </c>
      <c r="F33" s="138"/>
      <c r="G33" s="139"/>
      <c r="H33" s="5"/>
    </row>
    <row r="34" spans="1:8" s="2" customFormat="1" ht="12" customHeight="1" x14ac:dyDescent="0.25">
      <c r="A34" s="5"/>
      <c r="B34" s="137" t="s">
        <v>212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10" t="s">
        <v>60</v>
      </c>
      <c r="F36" s="138"/>
      <c r="G36" s="139"/>
      <c r="H36" s="5"/>
    </row>
    <row r="37" spans="1:8" s="2" customFormat="1" ht="12" customHeight="1" x14ac:dyDescent="0.25">
      <c r="A37" s="5"/>
      <c r="B37" s="296" t="s">
        <v>591</v>
      </c>
      <c r="C37" s="297"/>
      <c r="D37" s="298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28" t="s">
        <v>592</v>
      </c>
      <c r="C38" s="129"/>
      <c r="D38" s="130"/>
      <c r="E38" s="85"/>
      <c r="F38" s="86"/>
      <c r="G38" s="87"/>
      <c r="H38" s="5"/>
    </row>
    <row r="39" spans="1:8" s="2" customFormat="1" ht="12" customHeight="1" x14ac:dyDescent="0.25">
      <c r="A39" s="5"/>
      <c r="B39" s="201" t="s">
        <v>593</v>
      </c>
      <c r="C39" s="202"/>
      <c r="D39" s="203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201"/>
      <c r="C40" s="202"/>
      <c r="D40" s="203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311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140"/>
      <c r="F45" s="141"/>
      <c r="G45" s="142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595</v>
      </c>
      <c r="C47" s="199"/>
      <c r="D47" s="200"/>
      <c r="E47" s="154" t="s">
        <v>64</v>
      </c>
      <c r="F47" s="155"/>
      <c r="G47" s="156"/>
      <c r="H47" s="5"/>
    </row>
    <row r="48" spans="1:8" s="2" customFormat="1" ht="12" customHeight="1" x14ac:dyDescent="0.25">
      <c r="A48" s="5"/>
      <c r="B48" s="201"/>
      <c r="C48" s="202"/>
      <c r="D48" s="203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201"/>
      <c r="C49" s="202"/>
      <c r="D49" s="203"/>
      <c r="E49" s="110" t="s">
        <v>219</v>
      </c>
      <c r="F49" s="111"/>
      <c r="G49" s="112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16"/>
      <c r="F50" s="117"/>
      <c r="G50" s="118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42">
        <f>SUM(C61:C61)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5"/>
      <c r="B62" s="105" t="s">
        <v>82</v>
      </c>
      <c r="C62" s="105"/>
      <c r="D62" s="105"/>
      <c r="E62" s="105"/>
      <c r="F62" s="105"/>
      <c r="G62" s="105"/>
      <c r="H62" s="4"/>
    </row>
    <row r="63" spans="1:8" s="2" customFormat="1" ht="12" customHeight="1" x14ac:dyDescent="0.2">
      <c r="A63" s="3" t="s">
        <v>83</v>
      </c>
      <c r="B63" s="106" t="s">
        <v>84</v>
      </c>
      <c r="C63" s="106"/>
      <c r="D63" s="106"/>
      <c r="E63" s="106"/>
      <c r="F63" s="106"/>
      <c r="G63" s="106"/>
    </row>
    <row r="64" spans="1:8" ht="12" customHeight="1" x14ac:dyDescent="0.25">
      <c r="B64" s="95" t="s">
        <v>786</v>
      </c>
      <c r="C64" s="95"/>
      <c r="D64" s="95"/>
      <c r="E64" s="95"/>
      <c r="F64" s="95" t="s">
        <v>85</v>
      </c>
      <c r="G64" s="95"/>
      <c r="H64" s="95"/>
    </row>
    <row r="65" spans="2:8" ht="12" customHeight="1" x14ac:dyDescent="0.25">
      <c r="B65" s="94" t="s">
        <v>86</v>
      </c>
      <c r="C65" s="94"/>
      <c r="D65" s="94"/>
      <c r="E65" s="94"/>
      <c r="F65" s="95" t="s">
        <v>87</v>
      </c>
      <c r="G65" s="95"/>
      <c r="H65" s="95"/>
    </row>
    <row r="66" spans="2:8" ht="12" customHeight="1" x14ac:dyDescent="0.25">
      <c r="B66" s="94" t="s">
        <v>785</v>
      </c>
      <c r="C66" s="94"/>
      <c r="D66" s="94"/>
      <c r="E66" s="94"/>
      <c r="F66" s="95" t="s">
        <v>432</v>
      </c>
      <c r="G66" s="95"/>
      <c r="H66" s="95"/>
    </row>
    <row r="67" spans="2:8" ht="12" customHeight="1" x14ac:dyDescent="0.25">
      <c r="B67" s="95" t="s">
        <v>784</v>
      </c>
      <c r="C67" s="95"/>
      <c r="D67" s="95"/>
      <c r="E67" s="95"/>
      <c r="F67" s="95"/>
      <c r="G67" s="95"/>
    </row>
    <row r="68" spans="2:8" ht="12" customHeight="1" x14ac:dyDescent="0.25">
      <c r="B68" s="33"/>
      <c r="C68" s="33"/>
      <c r="D68" s="33"/>
      <c r="E68" s="33"/>
      <c r="F68" s="33"/>
      <c r="G68" s="33"/>
      <c r="H68" s="33"/>
    </row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3 C45:D45 C42:D42 F32:G35 F31 E31:E3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jRsd99E24Wg0cREusBHWfr8AogbmoKcBAiIEI/AkVrYZ6d3Zv1r365CvDnomnIuIagvCXHSwta3CL7/ZYpI/1A==" saltValue="4GoUJy3q9tod8g93O8nnng==" spinCount="100000" sqref="E36:G36" name="Rango1_2"/>
    <protectedRange algorithmName="SHA-512" hashValue="jRsd99E24Wg0cREusBHWfr8AogbmoKcBAiIEI/AkVrYZ6d3Zv1r365CvDnomnIuIagvCXHSwta3CL7/ZYpI/1A==" saltValue="4GoUJy3q9tod8g93O8nnng==" spinCount="100000" sqref="B49:D49" name="Rango1_3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8">
    <mergeCell ref="B65:E65"/>
    <mergeCell ref="F65:H65"/>
    <mergeCell ref="B66:E66"/>
    <mergeCell ref="F66:H66"/>
    <mergeCell ref="B67:E67"/>
    <mergeCell ref="F67:G67"/>
    <mergeCell ref="B60:G60"/>
    <mergeCell ref="D61:F61"/>
    <mergeCell ref="B62:G62"/>
    <mergeCell ref="B63:G63"/>
    <mergeCell ref="B64:E64"/>
    <mergeCell ref="F64:H64"/>
    <mergeCell ref="B55:G55"/>
    <mergeCell ref="B56:G56"/>
    <mergeCell ref="B57:C57"/>
    <mergeCell ref="B58:G58"/>
    <mergeCell ref="B59:C59"/>
    <mergeCell ref="E59:F59"/>
    <mergeCell ref="B54:G54"/>
    <mergeCell ref="B46:G46"/>
    <mergeCell ref="E47:G47"/>
    <mergeCell ref="E48:G48"/>
    <mergeCell ref="E49:G49"/>
    <mergeCell ref="B47:D49"/>
    <mergeCell ref="B50:D50"/>
    <mergeCell ref="E50:G50"/>
    <mergeCell ref="B51:G51"/>
    <mergeCell ref="C52:G52"/>
    <mergeCell ref="B53:G53"/>
    <mergeCell ref="B43:D43"/>
    <mergeCell ref="E43:G43"/>
    <mergeCell ref="B44:D44"/>
    <mergeCell ref="E44:G44"/>
    <mergeCell ref="B45:D45"/>
    <mergeCell ref="E45:G45"/>
    <mergeCell ref="E39:G39"/>
    <mergeCell ref="E40:G40"/>
    <mergeCell ref="B41:D41"/>
    <mergeCell ref="E41:G42"/>
    <mergeCell ref="B42:D42"/>
    <mergeCell ref="B39:D40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E30:G30"/>
    <mergeCell ref="B34:D34"/>
    <mergeCell ref="E34:G34"/>
    <mergeCell ref="B35:D36"/>
    <mergeCell ref="E35:G35"/>
    <mergeCell ref="E36:G36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A9068221-AB0B-4D69-B91E-4105F5EC4476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DEDC-E9A5-4867-92B1-7474C43BBC5E}">
  <sheetPr codeName="Hoja28">
    <tabColor theme="1"/>
    <pageSetUpPr fitToPage="1"/>
  </sheetPr>
  <dimension ref="A3:H79"/>
  <sheetViews>
    <sheetView showGridLines="0" view="pageBreakPreview" topLeftCell="A61" zoomScale="115" zoomScaleNormal="50" zoomScaleSheetLayoutView="11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404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405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409</v>
      </c>
      <c r="C30" s="188"/>
      <c r="D30" s="189"/>
      <c r="E30" s="187" t="s">
        <v>415</v>
      </c>
      <c r="F30" s="188"/>
      <c r="G30" s="189"/>
      <c r="H30" s="5"/>
    </row>
    <row r="31" spans="1:8" s="2" customFormat="1" ht="12" customHeight="1" x14ac:dyDescent="0.25">
      <c r="A31" s="32"/>
      <c r="B31" s="190" t="s">
        <v>236</v>
      </c>
      <c r="C31" s="191"/>
      <c r="D31" s="192"/>
      <c r="E31" s="305" t="s">
        <v>416</v>
      </c>
      <c r="F31" s="306"/>
      <c r="G31" s="307"/>
      <c r="H31" s="5"/>
    </row>
    <row r="32" spans="1:8" s="2" customFormat="1" ht="12" customHeight="1" x14ac:dyDescent="0.25">
      <c r="A32" s="12"/>
      <c r="B32" s="190"/>
      <c r="C32" s="191"/>
      <c r="D32" s="192"/>
      <c r="E32" s="128" t="s">
        <v>417</v>
      </c>
      <c r="F32" s="129"/>
      <c r="G32" s="130"/>
      <c r="H32" s="5"/>
    </row>
    <row r="33" spans="1:8" s="2" customFormat="1" ht="12" customHeight="1" x14ac:dyDescent="0.25">
      <c r="A33" s="5"/>
      <c r="B33" s="305" t="s">
        <v>406</v>
      </c>
      <c r="C33" s="306"/>
      <c r="D33" s="307"/>
      <c r="E33" s="128" t="s">
        <v>418</v>
      </c>
      <c r="F33" s="129"/>
      <c r="G33" s="130"/>
      <c r="H33" s="5"/>
    </row>
    <row r="34" spans="1:8" s="2" customFormat="1" ht="12" customHeight="1" x14ac:dyDescent="0.25">
      <c r="A34" s="5"/>
      <c r="B34" s="311" t="s">
        <v>410</v>
      </c>
      <c r="C34" s="312"/>
      <c r="D34" s="313"/>
      <c r="E34" s="128" t="s">
        <v>419</v>
      </c>
      <c r="F34" s="129"/>
      <c r="G34" s="130"/>
      <c r="H34" s="5"/>
    </row>
    <row r="35" spans="1:8" s="2" customFormat="1" ht="12" customHeight="1" x14ac:dyDescent="0.25">
      <c r="A35" s="5"/>
      <c r="B35" s="190" t="s">
        <v>238</v>
      </c>
      <c r="C35" s="191"/>
      <c r="D35" s="192"/>
      <c r="E35" s="128" t="s">
        <v>420</v>
      </c>
      <c r="F35" s="129"/>
      <c r="G35" s="130"/>
      <c r="H35" s="5"/>
    </row>
    <row r="36" spans="1:8" s="2" customFormat="1" ht="12" customHeight="1" x14ac:dyDescent="0.25">
      <c r="A36" s="5"/>
      <c r="B36" s="50" t="s">
        <v>407</v>
      </c>
      <c r="C36" s="51"/>
      <c r="D36" s="52"/>
      <c r="E36" s="128" t="s">
        <v>421</v>
      </c>
      <c r="F36" s="129"/>
      <c r="G36" s="130"/>
      <c r="H36" s="5"/>
    </row>
    <row r="37" spans="1:8" s="2" customFormat="1" ht="12" customHeight="1" x14ac:dyDescent="0.25">
      <c r="A37" s="5"/>
      <c r="B37" s="47" t="s">
        <v>408</v>
      </c>
      <c r="C37" s="49"/>
      <c r="D37" s="48"/>
      <c r="E37" s="128" t="s">
        <v>422</v>
      </c>
      <c r="F37" s="129"/>
      <c r="G37" s="130"/>
      <c r="H37" s="5"/>
    </row>
    <row r="38" spans="1:8" s="2" customFormat="1" ht="12" customHeight="1" x14ac:dyDescent="0.25">
      <c r="A38" s="5"/>
      <c r="B38" s="47" t="s">
        <v>411</v>
      </c>
      <c r="C38" s="49"/>
      <c r="D38" s="48"/>
      <c r="E38" s="128" t="s">
        <v>423</v>
      </c>
      <c r="F38" s="129"/>
      <c r="G38" s="130"/>
      <c r="H38" s="5"/>
    </row>
    <row r="39" spans="1:8" s="2" customFormat="1" ht="12" customHeight="1" x14ac:dyDescent="0.25">
      <c r="A39" s="5"/>
      <c r="B39" s="47" t="s">
        <v>412</v>
      </c>
      <c r="C39" s="49"/>
      <c r="D39" s="48"/>
      <c r="E39" s="128" t="s">
        <v>424</v>
      </c>
      <c r="F39" s="129"/>
      <c r="G39" s="130"/>
      <c r="H39" s="5"/>
    </row>
    <row r="40" spans="1:8" s="2" customFormat="1" ht="12" customHeight="1" x14ac:dyDescent="0.25">
      <c r="A40" s="5"/>
      <c r="B40" s="128" t="s">
        <v>413</v>
      </c>
      <c r="C40" s="129"/>
      <c r="D40" s="130"/>
      <c r="E40" s="128" t="s">
        <v>596</v>
      </c>
      <c r="F40" s="129"/>
      <c r="G40" s="130"/>
      <c r="H40" s="5"/>
    </row>
    <row r="41" spans="1:8" s="2" customFormat="1" ht="12" customHeight="1" x14ac:dyDescent="0.25">
      <c r="A41" s="5"/>
      <c r="B41" s="128" t="s">
        <v>414</v>
      </c>
      <c r="C41" s="129"/>
      <c r="D41" s="130"/>
      <c r="E41" s="305" t="s">
        <v>597</v>
      </c>
      <c r="F41" s="306"/>
      <c r="G41" s="307"/>
      <c r="H41" s="5"/>
    </row>
    <row r="42" spans="1:8" s="2" customFormat="1" ht="12" customHeight="1" x14ac:dyDescent="0.25">
      <c r="B42" s="143" t="s">
        <v>62</v>
      </c>
      <c r="C42" s="144"/>
      <c r="D42" s="144"/>
      <c r="E42" s="144"/>
      <c r="F42" s="144"/>
      <c r="G42" s="153"/>
      <c r="H42" s="5"/>
    </row>
    <row r="43" spans="1:8" s="2" customFormat="1" ht="12" customHeight="1" x14ac:dyDescent="0.25">
      <c r="A43" s="5"/>
      <c r="B43" s="318" t="s">
        <v>63</v>
      </c>
      <c r="C43" s="319"/>
      <c r="D43" s="320"/>
      <c r="E43" s="288" t="s">
        <v>241</v>
      </c>
      <c r="F43" s="289"/>
      <c r="G43" s="314"/>
      <c r="H43" s="5"/>
    </row>
    <row r="44" spans="1:8" s="2" customFormat="1" ht="12" customHeight="1" x14ac:dyDescent="0.25">
      <c r="A44" s="5"/>
      <c r="B44" s="154" t="s">
        <v>65</v>
      </c>
      <c r="C44" s="155"/>
      <c r="D44" s="156"/>
      <c r="E44" s="190"/>
      <c r="F44" s="191"/>
      <c r="G44" s="192"/>
      <c r="H44" s="5"/>
    </row>
    <row r="45" spans="1:8" s="2" customFormat="1" ht="12" customHeight="1" x14ac:dyDescent="0.25">
      <c r="A45" s="5"/>
      <c r="B45" s="154" t="s">
        <v>67</v>
      </c>
      <c r="C45" s="155"/>
      <c r="D45" s="156"/>
      <c r="E45" s="201" t="s">
        <v>242</v>
      </c>
      <c r="F45" s="202"/>
      <c r="G45" s="203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15"/>
      <c r="F46" s="316"/>
      <c r="G46" s="317"/>
      <c r="H46" s="5"/>
    </row>
    <row r="47" spans="1:8" s="2" customFormat="1" ht="12" hidden="1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SUM(C61:C62)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333</v>
      </c>
      <c r="E62" s="96"/>
      <c r="F62" s="96"/>
      <c r="G62" s="35">
        <f ca="1">E17+15</f>
        <v>45776</v>
      </c>
      <c r="H62" s="9" t="s">
        <v>81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 F41:G41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1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6:E66"/>
    <mergeCell ref="F66:H66"/>
    <mergeCell ref="B67:E67"/>
    <mergeCell ref="F67:H67"/>
    <mergeCell ref="B68:E68"/>
    <mergeCell ref="F68:G68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4:G64"/>
    <mergeCell ref="B53:G53"/>
    <mergeCell ref="B40:D40"/>
    <mergeCell ref="E40:G40"/>
    <mergeCell ref="B41:D41"/>
    <mergeCell ref="E41:G41"/>
    <mergeCell ref="B42:G42"/>
    <mergeCell ref="B43:D43"/>
    <mergeCell ref="E43:G44"/>
    <mergeCell ref="B44:D44"/>
    <mergeCell ref="B45:D45"/>
    <mergeCell ref="E45:G46"/>
    <mergeCell ref="B46:D46"/>
    <mergeCell ref="B47:G47"/>
    <mergeCell ref="C52:G52"/>
    <mergeCell ref="E37:G37"/>
    <mergeCell ref="E38:G38"/>
    <mergeCell ref="E39:G39"/>
    <mergeCell ref="B33:D33"/>
    <mergeCell ref="E33:G33"/>
    <mergeCell ref="B34:D34"/>
    <mergeCell ref="E34:G34"/>
    <mergeCell ref="E35:G35"/>
    <mergeCell ref="E36:G36"/>
    <mergeCell ref="B35:D35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8:D28"/>
    <mergeCell ref="E28:G28"/>
    <mergeCell ref="B29:G29"/>
    <mergeCell ref="B30:D30"/>
    <mergeCell ref="E30:G30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A930278F-B21A-4E4F-9E41-93415A716DC3}"/>
  </hyperlinks>
  <printOptions horizontalCentered="1"/>
  <pageMargins left="0.59055118110236227" right="0.59055118110236227" top="0.59055118110236227" bottom="0" header="0" footer="0"/>
  <pageSetup paperSize="9" scale="86"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125A-C960-415B-BC3A-01D28C01DEA2}">
  <sheetPr codeName="Hoja38">
    <tabColor theme="1"/>
    <pageSetUpPr fitToPage="1"/>
  </sheetPr>
  <dimension ref="A3:H81"/>
  <sheetViews>
    <sheetView showGridLines="0" showRuler="0" view="pageBreakPreview" topLeftCell="A59" zoomScale="130" zoomScaleNormal="5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615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598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22" t="s">
        <v>23</v>
      </c>
      <c r="C20" s="123"/>
      <c r="D20" s="124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30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33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87" t="s">
        <v>41</v>
      </c>
      <c r="C30" s="188"/>
      <c r="D30" s="189"/>
      <c r="E30" s="288" t="s">
        <v>599</v>
      </c>
      <c r="F30" s="289"/>
      <c r="G30" s="314"/>
      <c r="H30" s="5"/>
    </row>
    <row r="31" spans="1:8" s="2" customFormat="1" ht="12" customHeight="1" x14ac:dyDescent="0.25">
      <c r="A31" s="32"/>
      <c r="B31" s="128" t="s">
        <v>43</v>
      </c>
      <c r="C31" s="129"/>
      <c r="D31" s="130"/>
      <c r="E31" s="190"/>
      <c r="F31" s="191"/>
      <c r="G31" s="192"/>
      <c r="H31" s="5"/>
    </row>
    <row r="32" spans="1:8" s="2" customFormat="1" ht="12" customHeight="1" x14ac:dyDescent="0.25">
      <c r="A32" s="12"/>
      <c r="B32" s="190" t="s">
        <v>45</v>
      </c>
      <c r="C32" s="191"/>
      <c r="D32" s="192"/>
      <c r="E32" s="305" t="s">
        <v>600</v>
      </c>
      <c r="F32" s="306"/>
      <c r="G32" s="307"/>
      <c r="H32" s="5"/>
    </row>
    <row r="33" spans="1:8" s="2" customFormat="1" ht="12" customHeight="1" x14ac:dyDescent="0.25">
      <c r="A33" s="5"/>
      <c r="B33" s="190"/>
      <c r="C33" s="191"/>
      <c r="D33" s="192"/>
      <c r="E33" s="311" t="s">
        <v>601</v>
      </c>
      <c r="F33" s="312"/>
      <c r="G33" s="313"/>
      <c r="H33" s="5"/>
    </row>
    <row r="34" spans="1:8" s="2" customFormat="1" ht="12" customHeight="1" x14ac:dyDescent="0.25">
      <c r="A34" s="5"/>
      <c r="B34" s="128" t="s">
        <v>48</v>
      </c>
      <c r="C34" s="129"/>
      <c r="D34" s="130"/>
      <c r="E34" s="190" t="s">
        <v>602</v>
      </c>
      <c r="F34" s="191"/>
      <c r="G34" s="192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90"/>
      <c r="F35" s="191"/>
      <c r="G35" s="192"/>
      <c r="H35" s="5"/>
    </row>
    <row r="36" spans="1:8" s="2" customFormat="1" ht="12" customHeight="1" x14ac:dyDescent="0.25">
      <c r="A36" s="5"/>
      <c r="B36" s="147"/>
      <c r="C36" s="148"/>
      <c r="D36" s="149"/>
      <c r="E36" s="296" t="s">
        <v>438</v>
      </c>
      <c r="F36" s="297"/>
      <c r="G36" s="298"/>
      <c r="H36" s="5"/>
    </row>
    <row r="37" spans="1:8" s="2" customFormat="1" ht="12" customHeight="1" x14ac:dyDescent="0.25">
      <c r="A37" s="5"/>
      <c r="B37" s="154" t="s">
        <v>53</v>
      </c>
      <c r="C37" s="155"/>
      <c r="D37" s="156"/>
      <c r="E37" s="128" t="s">
        <v>439</v>
      </c>
      <c r="F37" s="129"/>
      <c r="G37" s="130"/>
      <c r="H37" s="5"/>
    </row>
    <row r="38" spans="1:8" s="2" customFormat="1" ht="12" customHeight="1" x14ac:dyDescent="0.25">
      <c r="A38" s="5"/>
      <c r="B38" s="128" t="s">
        <v>55</v>
      </c>
      <c r="C38" s="129"/>
      <c r="D38" s="130"/>
      <c r="E38" s="305" t="s">
        <v>603</v>
      </c>
      <c r="F38" s="306"/>
      <c r="G38" s="307"/>
      <c r="H38" s="5"/>
    </row>
    <row r="39" spans="1:8" s="2" customFormat="1" ht="12" customHeight="1" x14ac:dyDescent="0.25">
      <c r="A39" s="5"/>
      <c r="B39" s="128" t="s">
        <v>291</v>
      </c>
      <c r="C39" s="129"/>
      <c r="D39" s="130"/>
      <c r="E39" s="367" t="s">
        <v>604</v>
      </c>
      <c r="F39" s="368"/>
      <c r="G39" s="369"/>
      <c r="H39" s="5"/>
    </row>
    <row r="40" spans="1:8" s="2" customFormat="1" ht="12" customHeight="1" x14ac:dyDescent="0.25">
      <c r="A40" s="5"/>
      <c r="B40" s="128" t="s">
        <v>59</v>
      </c>
      <c r="C40" s="129"/>
      <c r="D40" s="130"/>
      <c r="E40" s="367"/>
      <c r="F40" s="368"/>
      <c r="G40" s="369"/>
      <c r="H40" s="5"/>
    </row>
    <row r="41" spans="1:8" s="2" customFormat="1" ht="12" customHeight="1" x14ac:dyDescent="0.25">
      <c r="A41" s="5"/>
      <c r="B41" s="128" t="s">
        <v>61</v>
      </c>
      <c r="C41" s="129"/>
      <c r="D41" s="130"/>
      <c r="E41" s="382" t="s">
        <v>605</v>
      </c>
      <c r="F41" s="383"/>
      <c r="G41" s="384"/>
      <c r="H41" s="5"/>
    </row>
    <row r="42" spans="1:8" s="2" customFormat="1" ht="12" customHeight="1" x14ac:dyDescent="0.25">
      <c r="A42" s="5"/>
      <c r="B42" s="128" t="s">
        <v>42</v>
      </c>
      <c r="C42" s="129"/>
      <c r="D42" s="130"/>
      <c r="E42" s="385" t="s">
        <v>606</v>
      </c>
      <c r="F42" s="386"/>
      <c r="G42" s="3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367" t="s">
        <v>607</v>
      </c>
      <c r="F43" s="368"/>
      <c r="G43" s="369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367"/>
      <c r="F44" s="368"/>
      <c r="G44" s="369"/>
      <c r="H44" s="5"/>
    </row>
    <row r="45" spans="1:8" s="2" customFormat="1" ht="12" customHeight="1" x14ac:dyDescent="0.25">
      <c r="A45" s="5"/>
      <c r="B45" s="128" t="s">
        <v>609</v>
      </c>
      <c r="C45" s="129"/>
      <c r="D45" s="130"/>
      <c r="E45" s="415" t="s">
        <v>608</v>
      </c>
      <c r="F45" s="416"/>
      <c r="G45" s="417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581</v>
      </c>
      <c r="C47" s="199"/>
      <c r="D47" s="200"/>
      <c r="E47" s="119" t="s">
        <v>610</v>
      </c>
      <c r="F47" s="199"/>
      <c r="G47" s="200"/>
      <c r="H47" s="5"/>
    </row>
    <row r="48" spans="1:8" s="2" customFormat="1" ht="12" customHeight="1" x14ac:dyDescent="0.25">
      <c r="A48" s="5"/>
      <c r="B48" s="201"/>
      <c r="C48" s="202"/>
      <c r="D48" s="203"/>
      <c r="E48" s="201"/>
      <c r="F48" s="202"/>
      <c r="G48" s="203"/>
      <c r="H48" s="5"/>
    </row>
    <row r="49" spans="1:8" s="2" customFormat="1" ht="12" customHeight="1" x14ac:dyDescent="0.25">
      <c r="A49" s="5"/>
      <c r="B49" s="201"/>
      <c r="C49" s="202"/>
      <c r="D49" s="203"/>
      <c r="E49" s="201" t="s">
        <v>611</v>
      </c>
      <c r="F49" s="202"/>
      <c r="G49" s="203"/>
      <c r="H49" s="5"/>
    </row>
    <row r="50" spans="1:8" s="2" customFormat="1" ht="12" customHeight="1" x14ac:dyDescent="0.25">
      <c r="A50" s="5"/>
      <c r="B50" s="122" t="s">
        <v>441</v>
      </c>
      <c r="C50" s="123"/>
      <c r="D50" s="124"/>
      <c r="E50" s="201"/>
      <c r="F50" s="202"/>
      <c r="G50" s="203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C61+C63+C64+C62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s="2" customFormat="1" ht="12" customHeight="1" x14ac:dyDescent="0.25">
      <c r="A62" s="9"/>
      <c r="B62" s="8"/>
      <c r="C62" s="36"/>
      <c r="D62" s="304" t="s">
        <v>612</v>
      </c>
      <c r="E62" s="304"/>
      <c r="F62" s="304"/>
      <c r="G62" s="35">
        <f ca="1">E$17+7</f>
        <v>45768</v>
      </c>
      <c r="H62" s="9"/>
    </row>
    <row r="63" spans="1:8" s="2" customFormat="1" ht="12" customHeight="1" x14ac:dyDescent="0.25">
      <c r="A63" s="9"/>
      <c r="B63" s="8" t="s">
        <v>78</v>
      </c>
      <c r="C63" s="37"/>
      <c r="D63" s="96" t="s">
        <v>613</v>
      </c>
      <c r="E63" s="96"/>
      <c r="F63" s="96"/>
      <c r="G63" s="35">
        <f ca="1">E$17+20</f>
        <v>45781</v>
      </c>
      <c r="H63" s="7" t="s">
        <v>290</v>
      </c>
    </row>
    <row r="64" spans="1:8" s="2" customFormat="1" ht="12" customHeight="1" x14ac:dyDescent="0.25">
      <c r="A64" s="9"/>
      <c r="B64" s="8" t="s">
        <v>78</v>
      </c>
      <c r="C64" s="37"/>
      <c r="D64" s="96" t="s">
        <v>614</v>
      </c>
      <c r="E64" s="96"/>
      <c r="F64" s="96"/>
      <c r="G64" s="35">
        <f ca="1">E$17+30</f>
        <v>45791</v>
      </c>
      <c r="H64" s="7" t="s">
        <v>290</v>
      </c>
    </row>
    <row r="65" spans="1:8" s="2" customFormat="1" ht="12" customHeight="1" x14ac:dyDescent="0.25">
      <c r="A65" s="5"/>
      <c r="B65" s="105" t="s">
        <v>82</v>
      </c>
      <c r="C65" s="105"/>
      <c r="D65" s="105"/>
      <c r="E65" s="105"/>
      <c r="F65" s="105"/>
      <c r="G65" s="105"/>
      <c r="H65" s="4"/>
    </row>
    <row r="66" spans="1:8" s="2" customFormat="1" ht="12" customHeight="1" x14ac:dyDescent="0.2">
      <c r="A66" s="3" t="s">
        <v>83</v>
      </c>
      <c r="B66" s="106" t="s">
        <v>84</v>
      </c>
      <c r="C66" s="106"/>
      <c r="D66" s="106"/>
      <c r="E66" s="106"/>
      <c r="F66" s="106"/>
      <c r="G66" s="106"/>
    </row>
    <row r="67" spans="1:8" ht="12" customHeight="1" x14ac:dyDescent="0.25">
      <c r="B67" s="95" t="s">
        <v>786</v>
      </c>
      <c r="C67" s="95"/>
      <c r="D67" s="95"/>
      <c r="E67" s="95"/>
      <c r="F67" s="95" t="s">
        <v>85</v>
      </c>
      <c r="G67" s="95"/>
      <c r="H67" s="95"/>
    </row>
    <row r="68" spans="1:8" ht="12" customHeight="1" x14ac:dyDescent="0.25">
      <c r="B68" s="94" t="s">
        <v>86</v>
      </c>
      <c r="C68" s="94"/>
      <c r="D68" s="94"/>
      <c r="E68" s="94"/>
      <c r="F68" s="95" t="s">
        <v>87</v>
      </c>
      <c r="G68" s="95"/>
      <c r="H68" s="95"/>
    </row>
    <row r="69" spans="1:8" ht="12" customHeight="1" x14ac:dyDescent="0.25">
      <c r="B69" s="94" t="s">
        <v>785</v>
      </c>
      <c r="C69" s="94"/>
      <c r="D69" s="94"/>
      <c r="E69" s="94"/>
      <c r="F69" s="95" t="s">
        <v>432</v>
      </c>
      <c r="G69" s="95"/>
      <c r="H69" s="95"/>
    </row>
    <row r="70" spans="1:8" ht="12" customHeight="1" x14ac:dyDescent="0.25">
      <c r="B70" s="95" t="s">
        <v>784</v>
      </c>
      <c r="C70" s="95"/>
      <c r="D70" s="95"/>
      <c r="E70" s="95"/>
      <c r="F70" s="95"/>
      <c r="G70" s="95"/>
    </row>
    <row r="71" spans="1:8" ht="12" customHeight="1" x14ac:dyDescent="0.25">
      <c r="B71" s="33"/>
      <c r="C71" s="33"/>
      <c r="D71" s="33"/>
      <c r="E71" s="33"/>
      <c r="F71" s="33"/>
      <c r="G71" s="33"/>
      <c r="H71" s="33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90">
    <mergeCell ref="B54:G54"/>
    <mergeCell ref="B55:G55"/>
    <mergeCell ref="B56:G56"/>
    <mergeCell ref="E49:G50"/>
    <mergeCell ref="B70:E70"/>
    <mergeCell ref="F70:G70"/>
    <mergeCell ref="B69:E69"/>
    <mergeCell ref="F69:H69"/>
    <mergeCell ref="B59:C59"/>
    <mergeCell ref="E59:F59"/>
    <mergeCell ref="B67:E67"/>
    <mergeCell ref="F67:H67"/>
    <mergeCell ref="B68:E68"/>
    <mergeCell ref="F68:H68"/>
    <mergeCell ref="B66:G66"/>
    <mergeCell ref="B65:G65"/>
    <mergeCell ref="B57:C57"/>
    <mergeCell ref="B58:G58"/>
    <mergeCell ref="B60:G60"/>
    <mergeCell ref="D61:F61"/>
    <mergeCell ref="D63:F63"/>
    <mergeCell ref="D64:F64"/>
    <mergeCell ref="D62:F62"/>
    <mergeCell ref="B41:D41"/>
    <mergeCell ref="E41:G41"/>
    <mergeCell ref="B42:D42"/>
    <mergeCell ref="E42:G42"/>
    <mergeCell ref="B43:D43"/>
    <mergeCell ref="B50:D50"/>
    <mergeCell ref="B51:G51"/>
    <mergeCell ref="C52:G52"/>
    <mergeCell ref="B53:G53"/>
    <mergeCell ref="E43:G44"/>
    <mergeCell ref="B47:D49"/>
    <mergeCell ref="B44:D44"/>
    <mergeCell ref="B45:D45"/>
    <mergeCell ref="E45:G45"/>
    <mergeCell ref="B46:G46"/>
    <mergeCell ref="E47:G48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1F8C5ADC-AC0C-4562-AF2E-084BEEEE90DF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7BF1E-44E1-4A20-A4F1-EF9D4F57BB84}">
  <sheetPr codeName="Hoja39">
    <tabColor theme="1"/>
    <pageSetUpPr fitToPage="1"/>
  </sheetPr>
  <dimension ref="A3:H73"/>
  <sheetViews>
    <sheetView showGridLines="0" view="pageBreakPreview" topLeftCell="A59" zoomScaleNormal="70" zoomScaleSheetLayoutView="100" workbookViewId="0">
      <selection activeCell="B64" sqref="B64:E64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619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620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330" t="s">
        <v>363</v>
      </c>
      <c r="F20" s="331"/>
      <c r="G20" s="332"/>
      <c r="H20" s="5"/>
    </row>
    <row r="21" spans="1:8" s="2" customFormat="1" ht="12" customHeight="1" x14ac:dyDescent="0.25">
      <c r="A21" s="5"/>
      <c r="B21" s="362" t="s">
        <v>108</v>
      </c>
      <c r="C21" s="363"/>
      <c r="D21" s="363"/>
      <c r="E21" s="226" t="s">
        <v>109</v>
      </c>
      <c r="F21" s="227"/>
      <c r="G21" s="228"/>
      <c r="H21" s="5"/>
    </row>
    <row r="22" spans="1:8" s="2" customFormat="1" ht="12" customHeight="1" x14ac:dyDescent="0.25">
      <c r="A22" s="5"/>
      <c r="B22" s="222" t="s">
        <v>616</v>
      </c>
      <c r="C22" s="223"/>
      <c r="D22" s="223"/>
      <c r="E22" s="226" t="s">
        <v>111</v>
      </c>
      <c r="F22" s="227"/>
      <c r="G22" s="22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226" t="s">
        <v>364</v>
      </c>
      <c r="F23" s="227"/>
      <c r="G23" s="228"/>
      <c r="H23" s="5"/>
    </row>
    <row r="24" spans="1:8" s="2" customFormat="1" ht="12" customHeight="1" x14ac:dyDescent="0.25">
      <c r="A24" s="5"/>
      <c r="B24" s="330" t="s">
        <v>271</v>
      </c>
      <c r="C24" s="331"/>
      <c r="D24" s="331"/>
      <c r="E24" s="226" t="s">
        <v>115</v>
      </c>
      <c r="F24" s="227"/>
      <c r="G24" s="228"/>
      <c r="H24" s="5"/>
    </row>
    <row r="25" spans="1:8" s="2" customFormat="1" ht="12" customHeight="1" x14ac:dyDescent="0.25">
      <c r="A25" s="30"/>
      <c r="B25" s="226" t="s">
        <v>359</v>
      </c>
      <c r="C25" s="227"/>
      <c r="D25" s="227"/>
      <c r="E25" s="226" t="s">
        <v>267</v>
      </c>
      <c r="F25" s="227"/>
      <c r="G25" s="228"/>
      <c r="H25" s="5"/>
    </row>
    <row r="26" spans="1:8" s="2" customFormat="1" ht="12" customHeight="1" x14ac:dyDescent="0.25">
      <c r="A26" s="31"/>
      <c r="B26" s="226" t="s">
        <v>118</v>
      </c>
      <c r="C26" s="227"/>
      <c r="D26" s="227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226" t="s">
        <v>360</v>
      </c>
      <c r="C27" s="227"/>
      <c r="D27" s="227"/>
      <c r="E27" s="226" t="s">
        <v>554</v>
      </c>
      <c r="F27" s="227"/>
      <c r="G27" s="228"/>
      <c r="H27" s="5"/>
    </row>
    <row r="28" spans="1:8" s="2" customFormat="1" ht="12" customHeight="1" x14ac:dyDescent="0.25">
      <c r="A28" s="31"/>
      <c r="B28" s="226" t="s">
        <v>122</v>
      </c>
      <c r="C28" s="227"/>
      <c r="D28" s="227"/>
      <c r="E28" s="256" t="s">
        <v>123</v>
      </c>
      <c r="F28" s="257"/>
      <c r="G28" s="258"/>
      <c r="H28" s="5"/>
    </row>
    <row r="29" spans="1:8" s="2" customFormat="1" ht="12" customHeight="1" x14ac:dyDescent="0.25">
      <c r="A29" s="32"/>
      <c r="B29" s="226" t="s">
        <v>374</v>
      </c>
      <c r="C29" s="227"/>
      <c r="D29" s="227"/>
      <c r="E29" s="226" t="s">
        <v>125</v>
      </c>
      <c r="F29" s="227"/>
      <c r="G29" s="228"/>
      <c r="H29" s="5"/>
    </row>
    <row r="30" spans="1:8" s="2" customFormat="1" ht="12" customHeight="1" x14ac:dyDescent="0.25">
      <c r="A30" s="32"/>
      <c r="B30" s="226" t="s">
        <v>126</v>
      </c>
      <c r="C30" s="227"/>
      <c r="D30" s="227"/>
      <c r="E30" s="359"/>
      <c r="F30" s="360"/>
      <c r="G30" s="361"/>
      <c r="H30" s="5"/>
    </row>
    <row r="31" spans="1:8" s="2" customFormat="1" ht="12" customHeight="1" x14ac:dyDescent="0.25">
      <c r="A31" s="12"/>
      <c r="B31" s="226" t="s">
        <v>362</v>
      </c>
      <c r="C31" s="227"/>
      <c r="D31" s="227"/>
      <c r="E31" s="240" t="s">
        <v>128</v>
      </c>
      <c r="F31" s="241"/>
      <c r="G31" s="242"/>
      <c r="H31" s="5"/>
    </row>
    <row r="32" spans="1:8" s="2" customFormat="1" ht="12" customHeight="1" x14ac:dyDescent="0.25">
      <c r="A32" s="5"/>
      <c r="B32" s="226" t="s">
        <v>129</v>
      </c>
      <c r="C32" s="227"/>
      <c r="D32" s="227"/>
      <c r="E32" s="240" t="s">
        <v>130</v>
      </c>
      <c r="F32" s="241"/>
      <c r="G32" s="242"/>
      <c r="H32" s="5"/>
    </row>
    <row r="33" spans="1:8" s="2" customFormat="1" ht="12" customHeight="1" x14ac:dyDescent="0.25">
      <c r="A33" s="5"/>
      <c r="B33" s="339" t="s">
        <v>131</v>
      </c>
      <c r="C33" s="340"/>
      <c r="D33" s="340"/>
      <c r="E33" s="280" t="s">
        <v>617</v>
      </c>
      <c r="F33" s="281"/>
      <c r="G33" s="282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71" t="s">
        <v>134</v>
      </c>
      <c r="F35" s="272"/>
      <c r="G35" s="273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54" t="s">
        <v>145</v>
      </c>
      <c r="C41" s="155"/>
      <c r="D41" s="156"/>
      <c r="E41" s="154" t="s">
        <v>146</v>
      </c>
      <c r="F41" s="155"/>
      <c r="G41" s="156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56" t="s">
        <v>148</v>
      </c>
      <c r="F42" s="257"/>
      <c r="G42" s="258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54" t="s">
        <v>163</v>
      </c>
      <c r="C44" s="155"/>
      <c r="D44" s="156"/>
      <c r="E44" s="256" t="s">
        <v>152</v>
      </c>
      <c r="F44" s="257"/>
      <c r="G44" s="258"/>
      <c r="H44" s="5"/>
    </row>
    <row r="45" spans="1:8" s="2" customFormat="1" ht="12" customHeight="1" x14ac:dyDescent="0.25">
      <c r="A45" s="5"/>
      <c r="B45" s="113" t="s">
        <v>153</v>
      </c>
      <c r="C45" s="114"/>
      <c r="D45" s="115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397" t="s">
        <v>618</v>
      </c>
      <c r="C47" s="398"/>
      <c r="D47" s="399"/>
      <c r="E47" s="267" t="s">
        <v>64</v>
      </c>
      <c r="F47" s="169"/>
      <c r="G47" s="170"/>
    </row>
    <row r="48" spans="1:8" s="2" customFormat="1" ht="12" customHeight="1" x14ac:dyDescent="0.2">
      <c r="B48" s="349"/>
      <c r="C48" s="400"/>
      <c r="D48" s="401"/>
      <c r="E48" s="154" t="s">
        <v>164</v>
      </c>
      <c r="F48" s="155"/>
      <c r="G48" s="156"/>
    </row>
    <row r="49" spans="1:8" s="2" customFormat="1" ht="12" customHeight="1" x14ac:dyDescent="0.2">
      <c r="B49" s="256" t="s">
        <v>270</v>
      </c>
      <c r="C49" s="257"/>
      <c r="D49" s="258"/>
      <c r="E49" s="154" t="s">
        <v>165</v>
      </c>
      <c r="F49" s="155"/>
      <c r="G49" s="156"/>
    </row>
    <row r="50" spans="1:8" s="2" customFormat="1" ht="12" customHeight="1" x14ac:dyDescent="0.2">
      <c r="B50" s="418" t="s">
        <v>159</v>
      </c>
      <c r="C50" s="419"/>
      <c r="D50" s="420"/>
      <c r="E50" s="268" t="s">
        <v>166</v>
      </c>
      <c r="F50" s="269"/>
      <c r="G50" s="270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+C61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5"/>
      <c r="B62" s="105" t="s">
        <v>168</v>
      </c>
      <c r="C62" s="105"/>
      <c r="D62" s="105"/>
      <c r="E62" s="105"/>
      <c r="F62" s="105"/>
      <c r="G62" s="105"/>
      <c r="H62" s="4"/>
    </row>
    <row r="63" spans="1:8" ht="12" customHeight="1" x14ac:dyDescent="0.25">
      <c r="A63" s="3" t="s">
        <v>83</v>
      </c>
      <c r="B63" s="106" t="s">
        <v>84</v>
      </c>
      <c r="C63" s="106"/>
      <c r="D63" s="106"/>
      <c r="E63" s="106"/>
      <c r="F63" s="106"/>
      <c r="G63" s="106"/>
      <c r="H63" s="2"/>
    </row>
    <row r="64" spans="1:8" ht="12" customHeight="1" x14ac:dyDescent="0.25">
      <c r="B64" s="95" t="s">
        <v>786</v>
      </c>
      <c r="C64" s="95"/>
      <c r="D64" s="95"/>
      <c r="E64" s="95"/>
      <c r="F64" s="95" t="s">
        <v>85</v>
      </c>
      <c r="G64" s="95"/>
      <c r="H64" s="95"/>
    </row>
    <row r="65" spans="2:8" ht="12" customHeight="1" x14ac:dyDescent="0.25">
      <c r="B65" s="94" t="s">
        <v>86</v>
      </c>
      <c r="C65" s="94"/>
      <c r="D65" s="94"/>
      <c r="E65" s="94"/>
      <c r="F65" s="95" t="s">
        <v>87</v>
      </c>
      <c r="G65" s="95"/>
      <c r="H65" s="95"/>
    </row>
    <row r="66" spans="2:8" ht="12" customHeight="1" x14ac:dyDescent="0.25">
      <c r="B66" s="94" t="s">
        <v>785</v>
      </c>
      <c r="C66" s="94"/>
      <c r="D66" s="94"/>
      <c r="E66" s="94"/>
      <c r="F66" s="95" t="s">
        <v>432</v>
      </c>
      <c r="G66" s="95"/>
      <c r="H66" s="95"/>
    </row>
    <row r="67" spans="2:8" ht="12" customHeight="1" x14ac:dyDescent="0.25">
      <c r="B67" s="95" t="s">
        <v>784</v>
      </c>
      <c r="C67" s="95"/>
      <c r="D67" s="95"/>
      <c r="E67" s="95"/>
      <c r="F67" s="95"/>
      <c r="G67" s="95"/>
      <c r="H67" s="95"/>
    </row>
    <row r="68" spans="2:8" ht="15" customHeight="1" x14ac:dyDescent="0.25">
      <c r="B68" s="33"/>
      <c r="C68" s="33"/>
      <c r="D68" s="33"/>
      <c r="E68" s="33"/>
      <c r="F68" s="33"/>
      <c r="G68" s="33"/>
      <c r="H68" s="33"/>
    </row>
    <row r="69" spans="2:8" ht="15" customHeight="1" x14ac:dyDescent="0.25"/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6">
    <mergeCell ref="B66:E66"/>
    <mergeCell ref="F66:H66"/>
    <mergeCell ref="B67:E67"/>
    <mergeCell ref="F67:H67"/>
    <mergeCell ref="B47:D48"/>
    <mergeCell ref="B62:G62"/>
    <mergeCell ref="B63:G63"/>
    <mergeCell ref="B64:E64"/>
    <mergeCell ref="F64:H64"/>
    <mergeCell ref="B65:E65"/>
    <mergeCell ref="F65:H65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E48:G48"/>
    <mergeCell ref="B49:D49"/>
    <mergeCell ref="E49:G49"/>
    <mergeCell ref="B50:D50"/>
    <mergeCell ref="E50:G50"/>
    <mergeCell ref="E47:G47"/>
    <mergeCell ref="B41:D41"/>
    <mergeCell ref="E41:G41"/>
    <mergeCell ref="B42:D42"/>
    <mergeCell ref="E42:G42"/>
    <mergeCell ref="B43:D43"/>
    <mergeCell ref="E43:G43"/>
    <mergeCell ref="B44:D44"/>
    <mergeCell ref="E44:G44"/>
    <mergeCell ref="B45:D45"/>
    <mergeCell ref="E45:G45"/>
    <mergeCell ref="B46:G46"/>
    <mergeCell ref="B38:D38"/>
    <mergeCell ref="E38:G38"/>
    <mergeCell ref="B39:D39"/>
    <mergeCell ref="E39:G39"/>
    <mergeCell ref="B40:D40"/>
    <mergeCell ref="E40:G4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AD1B19DC-5309-457F-9679-4F78BAE2EA86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CA298-703F-4850-BB93-8F2BA64B0B49}">
  <sheetPr codeName="Hoja40">
    <tabColor theme="1"/>
    <pageSetUpPr fitToPage="1"/>
  </sheetPr>
  <dimension ref="A3:H79"/>
  <sheetViews>
    <sheetView showGridLines="0" showRuler="0" view="pageBreakPreview" topLeftCell="A60" zoomScale="145" zoomScaleNormal="50" zoomScaleSheetLayoutView="14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3" max="3" width="10.28515625" customWidth="1"/>
    <col min="4" max="4" width="14.28515625" customWidth="1"/>
    <col min="5" max="5" width="13.7109375" customWidth="1"/>
    <col min="6" max="6" width="21.5703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621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622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23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22" t="s">
        <v>623</v>
      </c>
      <c r="C24" s="123"/>
      <c r="D24" s="124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252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253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445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28" t="s">
        <v>506</v>
      </c>
      <c r="C30" s="129"/>
      <c r="D30" s="130"/>
      <c r="E30" s="193" t="s">
        <v>449</v>
      </c>
      <c r="F30" s="194"/>
      <c r="G30" s="195"/>
      <c r="H30" s="5"/>
    </row>
    <row r="31" spans="1:8" s="2" customFormat="1" ht="12" customHeight="1" x14ac:dyDescent="0.25">
      <c r="A31" s="32"/>
      <c r="B31" s="128" t="s">
        <v>531</v>
      </c>
      <c r="C31" s="129"/>
      <c r="D31" s="130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37" t="s">
        <v>339</v>
      </c>
      <c r="F32" s="138"/>
      <c r="G32" s="139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47</v>
      </c>
      <c r="F33" s="138"/>
      <c r="G33" s="139"/>
      <c r="H33" s="5"/>
    </row>
    <row r="34" spans="1:8" s="2" customFormat="1" ht="12" customHeight="1" x14ac:dyDescent="0.25">
      <c r="A34" s="5"/>
      <c r="B34" s="137" t="s">
        <v>446</v>
      </c>
      <c r="C34" s="138"/>
      <c r="D34" s="139"/>
      <c r="E34" s="137" t="s">
        <v>49</v>
      </c>
      <c r="F34" s="138"/>
      <c r="G34" s="139"/>
      <c r="H34" s="5"/>
    </row>
    <row r="35" spans="1:8" s="2" customFormat="1" ht="12" customHeight="1" x14ac:dyDescent="0.25">
      <c r="A35" s="5"/>
      <c r="B35" s="147" t="s">
        <v>447</v>
      </c>
      <c r="C35" s="148"/>
      <c r="D35" s="149"/>
      <c r="E35" s="137" t="s">
        <v>51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37" t="s">
        <v>52</v>
      </c>
      <c r="F36" s="138"/>
      <c r="G36" s="139"/>
      <c r="H36" s="5"/>
    </row>
    <row r="37" spans="1:8" s="2" customFormat="1" ht="12" customHeight="1" x14ac:dyDescent="0.25">
      <c r="A37" s="5"/>
      <c r="B37" s="125" t="s">
        <v>448</v>
      </c>
      <c r="C37" s="126"/>
      <c r="D37" s="127"/>
      <c r="E37" s="137" t="s">
        <v>54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56</v>
      </c>
      <c r="F38" s="138"/>
      <c r="G38" s="139"/>
      <c r="H38" s="5"/>
    </row>
    <row r="39" spans="1:8" s="2" customFormat="1" ht="12" customHeight="1" x14ac:dyDescent="0.25">
      <c r="A39" s="5"/>
      <c r="B39" s="128" t="s">
        <v>336</v>
      </c>
      <c r="C39" s="129"/>
      <c r="D39" s="130"/>
      <c r="E39" s="137" t="s">
        <v>58</v>
      </c>
      <c r="F39" s="138"/>
      <c r="G39" s="139"/>
      <c r="H39" s="5"/>
    </row>
    <row r="40" spans="1:8" s="2" customFormat="1" ht="12" customHeight="1" x14ac:dyDescent="0.25">
      <c r="A40" s="5"/>
      <c r="B40" s="128" t="s">
        <v>304</v>
      </c>
      <c r="C40" s="129"/>
      <c r="D40" s="130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119" t="s">
        <v>624</v>
      </c>
      <c r="C43" s="199"/>
      <c r="D43" s="200"/>
      <c r="E43" s="122" t="s">
        <v>64</v>
      </c>
      <c r="F43" s="123"/>
      <c r="G43" s="124"/>
      <c r="H43" s="5"/>
    </row>
    <row r="44" spans="1:8" s="2" customFormat="1" ht="12" customHeight="1" x14ac:dyDescent="0.25">
      <c r="A44" s="5"/>
      <c r="B44" s="201"/>
      <c r="C44" s="202"/>
      <c r="D44" s="203"/>
      <c r="E44" s="201" t="s">
        <v>625</v>
      </c>
      <c r="F44" s="202"/>
      <c r="G44" s="203"/>
      <c r="H44" s="5"/>
    </row>
    <row r="45" spans="1:8" s="2" customFormat="1" ht="12" customHeight="1" x14ac:dyDescent="0.25">
      <c r="A45" s="5"/>
      <c r="B45" s="201"/>
      <c r="C45" s="202"/>
      <c r="D45" s="203"/>
      <c r="E45" s="201"/>
      <c r="F45" s="202"/>
      <c r="G45" s="203"/>
      <c r="H45" s="5"/>
    </row>
    <row r="46" spans="1:8" s="2" customFormat="1" ht="12" customHeight="1" x14ac:dyDescent="0.25">
      <c r="A46" s="5"/>
      <c r="B46" s="76" t="s">
        <v>69</v>
      </c>
      <c r="C46" s="77"/>
      <c r="D46" s="78"/>
      <c r="E46" s="315"/>
      <c r="F46" s="316"/>
      <c r="G46" s="317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626</v>
      </c>
      <c r="E62" s="96"/>
      <c r="F62" s="96"/>
      <c r="G62" s="35">
        <f ca="1">E17+8</f>
        <v>45769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1:D21 E20:G22 E36:E40 F36:G40" name="Rango1"/>
    <protectedRange algorithmName="SHA-512" hashValue="zUrWTGEZiJFMgzDqDTBlVt+5/9aQcTuJw4/Tg0qXKmOEBmnAPkc2PftdRKWEJAjo6Tejl/2GECle77oEWrFAIQ==" saltValue="IwcVdvVtxL7J72Vc6oLNHQ==" spinCount="100000" sqref="E47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1IwEtpPovyRjspz9ti3J5udl070IPZ9gDlGmM3ZH/lFyQlLVVL2qbaMds7kHvZZkPq7VvowLV2MqpNnf8owpjQ==" saltValue="SwYyjj//I75seGLqQP0hyQ==" spinCount="100000" sqref="E32:E33 F31:G32" name="Rango2_2"/>
    <protectedRange algorithmName="SHA-512" hashValue="jRsd99E24Wg0cREusBHWfr8AogbmoKcBAiIEI/AkVrYZ6d3Zv1r365CvDnomnIuIagvCXHSwta3CL7/ZYpI/1A==" saltValue="4GoUJy3q9tod8g93O8nnng==" spinCount="100000" sqref="E31 E34:E35 F35 F33:G34 F30:G30" name="Rango1_2"/>
    <protectedRange algorithmName="SHA-512" hashValue="jRsd99E24Wg0cREusBHWfr8AogbmoKcBAiIEI/AkVrYZ6d3Zv1r365CvDnomnIuIagvCXHSwta3CL7/ZYpI/1A==" saltValue="4GoUJy3q9tod8g93O8nnng==" spinCount="100000" sqref="C45:D45" name="Rango1_3"/>
  </protectedRanges>
  <mergeCells count="83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32:D33"/>
    <mergeCell ref="E32:G32"/>
    <mergeCell ref="E33:G33"/>
    <mergeCell ref="B34:D34"/>
    <mergeCell ref="E34:G34"/>
    <mergeCell ref="B37:D37"/>
    <mergeCell ref="E37:G37"/>
    <mergeCell ref="B38:D38"/>
    <mergeCell ref="E38:G38"/>
    <mergeCell ref="B39:D39"/>
    <mergeCell ref="E39:G39"/>
    <mergeCell ref="B40:D40"/>
    <mergeCell ref="E40:G40"/>
    <mergeCell ref="B41:D41"/>
    <mergeCell ref="E41:G41"/>
    <mergeCell ref="B42:G42"/>
    <mergeCell ref="B47:G47"/>
    <mergeCell ref="C52:G52"/>
    <mergeCell ref="B53:G53"/>
    <mergeCell ref="B43:D45"/>
    <mergeCell ref="E44:G46"/>
    <mergeCell ref="E43:G43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4:G64"/>
    <mergeCell ref="B66:E66"/>
    <mergeCell ref="F66:H66"/>
    <mergeCell ref="B67:E67"/>
    <mergeCell ref="F67:H67"/>
    <mergeCell ref="B68:E68"/>
    <mergeCell ref="F68:G68"/>
  </mergeCells>
  <hyperlinks>
    <hyperlink ref="D7" r:id="rId1" xr:uid="{E6DD9DEC-C623-4F2E-B627-4D73530D4F01}"/>
  </hyperlinks>
  <printOptions horizontalCentered="1"/>
  <pageMargins left="0.59055118110236227" right="0.59055118110236227" top="0.59055118110236227" bottom="0" header="0" footer="0"/>
  <pageSetup paperSize="9" scale="85"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5791D-6B7B-4545-AB1F-69F0FA56FE50}">
  <sheetPr codeName="Hoja41">
    <tabColor theme="1"/>
    <pageSetUpPr fitToPage="1"/>
  </sheetPr>
  <dimension ref="A3:H80"/>
  <sheetViews>
    <sheetView showGridLines="0" view="pageBreakPreview" topLeftCell="A55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627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628</v>
      </c>
      <c r="C11" s="159"/>
      <c r="D11" s="159"/>
      <c r="E11" s="159"/>
      <c r="F11" s="29" t="s">
        <v>12</v>
      </c>
      <c r="G11" s="46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 t="s">
        <v>98</v>
      </c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96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295</v>
      </c>
      <c r="F23" s="155"/>
      <c r="G23" s="156"/>
      <c r="H23" s="5"/>
    </row>
    <row r="24" spans="1:8" s="2" customFormat="1" ht="12" customHeight="1" x14ac:dyDescent="0.25">
      <c r="A24" s="5"/>
      <c r="B24" s="190" t="s">
        <v>629</v>
      </c>
      <c r="C24" s="123"/>
      <c r="D24" s="124"/>
      <c r="E24" s="154" t="s">
        <v>34</v>
      </c>
      <c r="F24" s="155"/>
      <c r="G24" s="156"/>
      <c r="H24" s="5"/>
    </row>
    <row r="25" spans="1:8" s="2" customFormat="1" ht="12" customHeight="1" x14ac:dyDescent="0.25">
      <c r="A25" s="30"/>
      <c r="B25" s="122"/>
      <c r="C25" s="123"/>
      <c r="D25" s="124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/>
      <c r="C26" s="123"/>
      <c r="D26" s="124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37" t="s">
        <v>38</v>
      </c>
      <c r="C28" s="138"/>
      <c r="D28" s="139"/>
      <c r="E28" s="204"/>
      <c r="F28" s="205"/>
      <c r="G28" s="206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37" t="s">
        <v>60</v>
      </c>
      <c r="F36" s="138"/>
      <c r="G36" s="139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147" t="s">
        <v>425</v>
      </c>
      <c r="F37" s="148"/>
      <c r="G37" s="14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47"/>
      <c r="F38" s="148"/>
      <c r="G38" s="149"/>
      <c r="H38" s="5"/>
    </row>
    <row r="39" spans="1:8" s="2" customFormat="1" ht="12" customHeight="1" x14ac:dyDescent="0.25">
      <c r="A39" s="5"/>
      <c r="B39" s="137" t="s">
        <v>297</v>
      </c>
      <c r="C39" s="138"/>
      <c r="D39" s="139"/>
      <c r="E39" s="421" t="s">
        <v>426</v>
      </c>
      <c r="F39" s="422"/>
      <c r="G39" s="423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37" t="s">
        <v>292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207"/>
      <c r="F45" s="208"/>
      <c r="G45" s="209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630</v>
      </c>
      <c r="C47" s="199"/>
      <c r="D47" s="200"/>
      <c r="E47" s="154" t="s">
        <v>99</v>
      </c>
      <c r="F47" s="155"/>
      <c r="G47" s="156"/>
      <c r="H47" s="5"/>
    </row>
    <row r="48" spans="1:8" s="2" customFormat="1" ht="12" customHeight="1" x14ac:dyDescent="0.25">
      <c r="A48" s="5"/>
      <c r="B48" s="201"/>
      <c r="C48" s="202"/>
      <c r="D48" s="203"/>
      <c r="E48" s="154" t="s">
        <v>66</v>
      </c>
      <c r="F48" s="155"/>
      <c r="G48" s="156"/>
      <c r="H48" s="5"/>
    </row>
    <row r="49" spans="1:8" s="2" customFormat="1" ht="12" customHeight="1" x14ac:dyDescent="0.25">
      <c r="A49" s="5"/>
      <c r="B49" s="201"/>
      <c r="C49" s="202"/>
      <c r="D49" s="203"/>
      <c r="E49" s="137" t="s">
        <v>68</v>
      </c>
      <c r="F49" s="138"/>
      <c r="G49" s="139"/>
      <c r="H49" s="5"/>
    </row>
    <row r="50" spans="1:8" s="2" customFormat="1" ht="12" customHeight="1" x14ac:dyDescent="0.25">
      <c r="A50" s="5"/>
      <c r="B50" s="210" t="s">
        <v>69</v>
      </c>
      <c r="C50" s="211"/>
      <c r="D50" s="212"/>
      <c r="E50" s="177"/>
      <c r="F50" s="178"/>
      <c r="G50" s="179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25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101</v>
      </c>
      <c r="E62" s="96"/>
      <c r="F62" s="96"/>
      <c r="G62" s="35">
        <f ca="1">E17+8</f>
        <v>45769</v>
      </c>
      <c r="H62" s="7" t="s">
        <v>81</v>
      </c>
    </row>
    <row r="63" spans="1:8" s="2" customFormat="1" ht="12" customHeight="1" x14ac:dyDescent="0.25">
      <c r="A63" s="9"/>
      <c r="B63" s="8" t="s">
        <v>78</v>
      </c>
      <c r="C63" s="37"/>
      <c r="D63" s="96" t="s">
        <v>319</v>
      </c>
      <c r="E63" s="96"/>
      <c r="F63" s="96"/>
      <c r="G63" s="35">
        <f ca="1">E17+35</f>
        <v>45796</v>
      </c>
      <c r="H63" s="7" t="s">
        <v>81</v>
      </c>
    </row>
    <row r="64" spans="1:8" s="2" customFormat="1" ht="12" customHeight="1" x14ac:dyDescent="0.25">
      <c r="A64" s="5"/>
      <c r="B64" s="105" t="s">
        <v>102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8">
    <mergeCell ref="B69:E69"/>
    <mergeCell ref="F69:G69"/>
    <mergeCell ref="B24:D26"/>
    <mergeCell ref="B47:D4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4:G54"/>
    <mergeCell ref="B46:G46"/>
    <mergeCell ref="E47:G47"/>
    <mergeCell ref="E48:G48"/>
    <mergeCell ref="E49:G49"/>
    <mergeCell ref="B50:D50"/>
    <mergeCell ref="E50:G50"/>
    <mergeCell ref="B51:G51"/>
    <mergeCell ref="C52:G52"/>
    <mergeCell ref="B53:G53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E25:G25"/>
    <mergeCell ref="E26:G26"/>
    <mergeCell ref="B27:D27"/>
    <mergeCell ref="E27:G27"/>
    <mergeCell ref="B22:D22"/>
    <mergeCell ref="E22:G22"/>
    <mergeCell ref="B23:D23"/>
    <mergeCell ref="E23:G23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DD2393F5-4EEC-439E-8EC2-6950F47CBAEC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EC014-EF24-41C7-BFE3-BB7F18304EC6}">
  <sheetPr codeName="Hoja42">
    <tabColor theme="1"/>
    <pageSetUpPr fitToPage="1"/>
  </sheetPr>
  <dimension ref="A3:H79"/>
  <sheetViews>
    <sheetView showGridLines="0" showRuler="0" view="pageBreakPreview" topLeftCell="A55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631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632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54" t="s">
        <v>23</v>
      </c>
      <c r="C20" s="155"/>
      <c r="D20" s="156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47" t="s">
        <v>635</v>
      </c>
      <c r="F32" s="49"/>
      <c r="G32" s="48"/>
      <c r="H32" s="5"/>
    </row>
    <row r="33" spans="1:8" s="2" customFormat="1" ht="12" customHeight="1" x14ac:dyDescent="0.25">
      <c r="A33" s="5"/>
      <c r="B33" s="147"/>
      <c r="C33" s="148"/>
      <c r="D33" s="149"/>
      <c r="E33" s="128" t="s">
        <v>636</v>
      </c>
      <c r="F33" s="129"/>
      <c r="G33" s="130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28" t="s">
        <v>637</v>
      </c>
      <c r="F34" s="129"/>
      <c r="G34" s="130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28" t="s">
        <v>638</v>
      </c>
      <c r="F35" s="129"/>
      <c r="G35" s="130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639</v>
      </c>
      <c r="F36" s="129"/>
      <c r="G36" s="130"/>
      <c r="H36" s="5"/>
    </row>
    <row r="37" spans="1:8" s="2" customFormat="1" ht="12" customHeight="1" x14ac:dyDescent="0.25">
      <c r="A37" s="5"/>
      <c r="B37" s="154" t="s">
        <v>53</v>
      </c>
      <c r="C37" s="155"/>
      <c r="D37" s="156"/>
      <c r="E37" s="190" t="s">
        <v>640</v>
      </c>
      <c r="F37" s="191"/>
      <c r="G37" s="192"/>
      <c r="H37" s="5"/>
    </row>
    <row r="38" spans="1:8" s="2" customFormat="1" ht="12" customHeight="1" x14ac:dyDescent="0.25">
      <c r="A38" s="5"/>
      <c r="B38" s="128" t="s">
        <v>633</v>
      </c>
      <c r="C38" s="129"/>
      <c r="D38" s="130"/>
      <c r="E38" s="190"/>
      <c r="F38" s="191"/>
      <c r="G38" s="192"/>
      <c r="H38" s="5"/>
    </row>
    <row r="39" spans="1:8" s="2" customFormat="1" ht="12" customHeight="1" x14ac:dyDescent="0.25">
      <c r="A39" s="5"/>
      <c r="B39" s="128" t="s">
        <v>634</v>
      </c>
      <c r="C39" s="129"/>
      <c r="D39" s="130"/>
      <c r="E39" s="305" t="s">
        <v>641</v>
      </c>
      <c r="F39" s="306"/>
      <c r="G39" s="307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311" t="s">
        <v>642</v>
      </c>
      <c r="F40" s="312"/>
      <c r="G40" s="313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190" t="s">
        <v>643</v>
      </c>
      <c r="F41" s="191"/>
      <c r="G41" s="192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190"/>
      <c r="F42" s="191"/>
      <c r="G42" s="192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296" t="s">
        <v>644</v>
      </c>
      <c r="F43" s="297"/>
      <c r="G43" s="298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140"/>
      <c r="F45" s="141"/>
      <c r="G45" s="142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645</v>
      </c>
      <c r="C47" s="120"/>
      <c r="D47" s="121"/>
      <c r="E47" s="122" t="s">
        <v>64</v>
      </c>
      <c r="F47" s="123"/>
      <c r="G47" s="124"/>
      <c r="H47" s="5"/>
    </row>
    <row r="48" spans="1:8" s="2" customFormat="1" ht="12" customHeight="1" x14ac:dyDescent="0.25">
      <c r="A48" s="5"/>
      <c r="B48" s="107" t="s">
        <v>646</v>
      </c>
      <c r="C48" s="108"/>
      <c r="D48" s="109"/>
      <c r="E48" s="154" t="s">
        <v>66</v>
      </c>
      <c r="F48" s="155"/>
      <c r="G48" s="156"/>
      <c r="H48" s="5"/>
    </row>
    <row r="49" spans="1:8" s="2" customFormat="1" ht="12" customHeight="1" x14ac:dyDescent="0.25">
      <c r="A49" s="5"/>
      <c r="B49" s="154" t="s">
        <v>67</v>
      </c>
      <c r="C49" s="155"/>
      <c r="D49" s="156"/>
      <c r="E49" s="137" t="s">
        <v>68</v>
      </c>
      <c r="F49" s="138"/>
      <c r="G49" s="139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77"/>
      <c r="F50" s="178"/>
      <c r="G50" s="179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10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647</v>
      </c>
      <c r="E62" s="96"/>
      <c r="F62" s="96"/>
      <c r="G62" s="35">
        <f ca="1">E17+7</f>
        <v>45768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4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C45:D4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 C43:D43" name="Rango2_1"/>
    <protectedRange algorithmName="SHA-512" hashValue="jRsd99E24Wg0cREusBHWfr8AogbmoKcBAiIEI/AkVrYZ6d3Zv1r365CvDnomnIuIagvCXHSwta3CL7/ZYpI/1A==" saltValue="4GoUJy3q9tod8g93O8nnng==" spinCount="100000" sqref="B43 C42:D42" name="Rango1_2"/>
    <protectedRange algorithmName="SHA-512" hashValue="jRsd99E24Wg0cREusBHWfr8AogbmoKcBAiIEI/AkVrYZ6d3Zv1r365CvDnomnIuIagvCXHSwta3CL7/ZYpI/1A==" saltValue="4GoUJy3q9tod8g93O8nnng==" spinCount="100000" sqref="F32:G36 F31 F30:G30 E30:E36" name="Rango1_1_1"/>
    <protectedRange algorithmName="SHA-512" hashValue="1IwEtpPovyRjspz9ti3J5udl070IPZ9gDlGmM3ZH/lFyQlLVVL2qbaMds7kHvZZkPq7VvowLV2MqpNnf8owpjQ==" saltValue="SwYyjj//I75seGLqQP0hyQ==" spinCount="100000" sqref="E37:G38 E39" name="Rango2_2_1"/>
    <protectedRange algorithmName="SHA-512" hashValue="jRsd99E24Wg0cREusBHWfr8AogbmoKcBAiIEI/AkVrYZ6d3Zv1r365CvDnomnIuIagvCXHSwta3CL7/ZYpI/1A==" saltValue="4GoUJy3q9tod8g93O8nnng==" spinCount="100000" sqref="B49:D49" name="Rango1_3"/>
  </protectedRanges>
  <mergeCells count="91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B39:D39"/>
    <mergeCell ref="E39:G39"/>
    <mergeCell ref="B40:D40"/>
    <mergeCell ref="E40:G40"/>
    <mergeCell ref="B41:D41"/>
    <mergeCell ref="E41:G42"/>
    <mergeCell ref="B42:D42"/>
    <mergeCell ref="B43:D43"/>
    <mergeCell ref="E43:G43"/>
    <mergeCell ref="B44:D44"/>
    <mergeCell ref="E44:G44"/>
    <mergeCell ref="B45:D45"/>
    <mergeCell ref="E45:G45"/>
    <mergeCell ref="B54:G54"/>
    <mergeCell ref="B46:G46"/>
    <mergeCell ref="B47:D47"/>
    <mergeCell ref="E47:G47"/>
    <mergeCell ref="B48:D48"/>
    <mergeCell ref="E48:G48"/>
    <mergeCell ref="B49:D49"/>
    <mergeCell ref="E49:G49"/>
    <mergeCell ref="B50:D50"/>
    <mergeCell ref="E50:G50"/>
    <mergeCell ref="B51:G51"/>
    <mergeCell ref="C52:G52"/>
    <mergeCell ref="B53:G53"/>
    <mergeCell ref="B64:G64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8:E68"/>
    <mergeCell ref="F68:G68"/>
    <mergeCell ref="B65:E65"/>
    <mergeCell ref="F65:H65"/>
    <mergeCell ref="B66:E66"/>
    <mergeCell ref="F66:H66"/>
    <mergeCell ref="B67:E67"/>
    <mergeCell ref="F67:H67"/>
  </mergeCells>
  <hyperlinks>
    <hyperlink ref="D7" r:id="rId1" xr:uid="{16A232A3-A688-4DBC-A5DA-B1D0221E08C1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B4D77-9F62-4E71-AAA1-958445F716D3}">
  <sheetPr codeName="Hoja44">
    <tabColor theme="1"/>
    <pageSetUpPr fitToPage="1"/>
  </sheetPr>
  <dimension ref="A3:H79"/>
  <sheetViews>
    <sheetView showGridLines="0" showRuler="0" view="pageBreakPreview" topLeftCell="A60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673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672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54" t="s">
        <v>23</v>
      </c>
      <c r="C20" s="155"/>
      <c r="D20" s="156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288" t="s">
        <v>599</v>
      </c>
      <c r="F30" s="289"/>
      <c r="G30" s="314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190"/>
      <c r="F31" s="191"/>
      <c r="G31" s="192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305" t="s">
        <v>600</v>
      </c>
      <c r="F32" s="306"/>
      <c r="G32" s="307"/>
      <c r="H32" s="5"/>
    </row>
    <row r="33" spans="1:8" s="2" customFormat="1" ht="12" customHeight="1" x14ac:dyDescent="0.25">
      <c r="A33" s="5"/>
      <c r="B33" s="147"/>
      <c r="C33" s="148"/>
      <c r="D33" s="149"/>
      <c r="E33" s="311" t="s">
        <v>601</v>
      </c>
      <c r="F33" s="312"/>
      <c r="G33" s="313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90" t="s">
        <v>602</v>
      </c>
      <c r="F34" s="191"/>
      <c r="G34" s="192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90"/>
      <c r="F35" s="191"/>
      <c r="G35" s="192"/>
      <c r="H35" s="5"/>
    </row>
    <row r="36" spans="1:8" s="2" customFormat="1" ht="12" customHeight="1" x14ac:dyDescent="0.25">
      <c r="A36" s="5"/>
      <c r="B36" s="147"/>
      <c r="C36" s="148"/>
      <c r="D36" s="149"/>
      <c r="E36" s="296" t="s">
        <v>438</v>
      </c>
      <c r="F36" s="297"/>
      <c r="G36" s="298"/>
      <c r="H36" s="5"/>
    </row>
    <row r="37" spans="1:8" s="2" customFormat="1" ht="12" customHeight="1" x14ac:dyDescent="0.25">
      <c r="A37" s="5"/>
      <c r="B37" s="154" t="s">
        <v>53</v>
      </c>
      <c r="C37" s="155"/>
      <c r="D37" s="156"/>
      <c r="E37" s="128" t="s">
        <v>439</v>
      </c>
      <c r="F37" s="129"/>
      <c r="G37" s="130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305" t="s">
        <v>603</v>
      </c>
      <c r="F38" s="306"/>
      <c r="G38" s="307"/>
      <c r="H38" s="5"/>
    </row>
    <row r="39" spans="1:8" s="2" customFormat="1" ht="12" customHeight="1" x14ac:dyDescent="0.25">
      <c r="A39" s="5"/>
      <c r="B39" s="137" t="s">
        <v>291</v>
      </c>
      <c r="C39" s="138"/>
      <c r="D39" s="139"/>
      <c r="E39" s="367" t="s">
        <v>604</v>
      </c>
      <c r="F39" s="368"/>
      <c r="G39" s="369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367"/>
      <c r="F40" s="368"/>
      <c r="G40" s="369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382" t="s">
        <v>605</v>
      </c>
      <c r="F41" s="383"/>
      <c r="G41" s="384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385" t="s">
        <v>606</v>
      </c>
      <c r="F42" s="386"/>
      <c r="G42" s="3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367" t="s">
        <v>607</v>
      </c>
      <c r="F43" s="368"/>
      <c r="G43" s="369"/>
      <c r="H43" s="5"/>
    </row>
    <row r="44" spans="1:8" s="2" customFormat="1" ht="12" customHeight="1" x14ac:dyDescent="0.25">
      <c r="A44" s="5"/>
      <c r="B44" s="137" t="s">
        <v>46</v>
      </c>
      <c r="C44" s="138"/>
      <c r="D44" s="139"/>
      <c r="E44" s="367"/>
      <c r="F44" s="368"/>
      <c r="G44" s="369"/>
      <c r="H44" s="5"/>
    </row>
    <row r="45" spans="1:8" s="2" customFormat="1" ht="12" customHeight="1" x14ac:dyDescent="0.25">
      <c r="A45" s="5"/>
      <c r="B45" s="128" t="s">
        <v>609</v>
      </c>
      <c r="C45" s="129"/>
      <c r="D45" s="130"/>
      <c r="E45" s="415" t="s">
        <v>608</v>
      </c>
      <c r="F45" s="416"/>
      <c r="G45" s="417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671</v>
      </c>
      <c r="C47" s="199"/>
      <c r="D47" s="200"/>
      <c r="E47" s="318" t="s">
        <v>610</v>
      </c>
      <c r="F47" s="319"/>
      <c r="G47" s="320"/>
      <c r="H47" s="5"/>
    </row>
    <row r="48" spans="1:8" s="2" customFormat="1" ht="12" customHeight="1" x14ac:dyDescent="0.25">
      <c r="A48" s="5"/>
      <c r="B48" s="201"/>
      <c r="C48" s="202"/>
      <c r="D48" s="203"/>
      <c r="E48" s="147"/>
      <c r="F48" s="148"/>
      <c r="G48" s="149"/>
      <c r="H48" s="5"/>
    </row>
    <row r="49" spans="1:8" s="2" customFormat="1" ht="12" customHeight="1" x14ac:dyDescent="0.25">
      <c r="A49" s="5"/>
      <c r="B49" s="201"/>
      <c r="C49" s="202"/>
      <c r="D49" s="203"/>
      <c r="E49" s="201" t="s">
        <v>611</v>
      </c>
      <c r="F49" s="202"/>
      <c r="G49" s="203"/>
      <c r="H49" s="5"/>
    </row>
    <row r="50" spans="1:8" s="2" customFormat="1" ht="12" customHeight="1" x14ac:dyDescent="0.25">
      <c r="A50" s="5"/>
      <c r="B50" s="154" t="s">
        <v>441</v>
      </c>
      <c r="C50" s="155"/>
      <c r="D50" s="156"/>
      <c r="E50" s="201"/>
      <c r="F50" s="202"/>
      <c r="G50" s="203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6"/>
      <c r="D62" s="304" t="s">
        <v>614</v>
      </c>
      <c r="E62" s="304"/>
      <c r="F62" s="304"/>
      <c r="G62" s="35">
        <f ca="1">E$17+7</f>
        <v>45768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88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28:D28"/>
    <mergeCell ref="E28:G28"/>
    <mergeCell ref="B29:G29"/>
    <mergeCell ref="B30:D30"/>
    <mergeCell ref="E30:G31"/>
    <mergeCell ref="B31:D31"/>
    <mergeCell ref="B32:D33"/>
    <mergeCell ref="E32:G32"/>
    <mergeCell ref="E33:G33"/>
    <mergeCell ref="B34:D34"/>
    <mergeCell ref="E34:G35"/>
    <mergeCell ref="B35:D36"/>
    <mergeCell ref="E36:G36"/>
    <mergeCell ref="B37:D37"/>
    <mergeCell ref="E37:G37"/>
    <mergeCell ref="B38:D38"/>
    <mergeCell ref="E38:G38"/>
    <mergeCell ref="B39:D39"/>
    <mergeCell ref="E39:G40"/>
    <mergeCell ref="B40:D40"/>
    <mergeCell ref="B41:D41"/>
    <mergeCell ref="E41:G41"/>
    <mergeCell ref="B42:D42"/>
    <mergeCell ref="E42:G42"/>
    <mergeCell ref="B43:D43"/>
    <mergeCell ref="E43:G44"/>
    <mergeCell ref="B44:D44"/>
    <mergeCell ref="B45:D45"/>
    <mergeCell ref="E45:G45"/>
    <mergeCell ref="B46:G46"/>
    <mergeCell ref="B47:D49"/>
    <mergeCell ref="E47:G48"/>
    <mergeCell ref="E49:G50"/>
    <mergeCell ref="B50:D50"/>
    <mergeCell ref="D61:F61"/>
    <mergeCell ref="B51:G51"/>
    <mergeCell ref="C52:G52"/>
    <mergeCell ref="B53:G53"/>
    <mergeCell ref="B54:G54"/>
    <mergeCell ref="B55:G55"/>
    <mergeCell ref="B56:G56"/>
    <mergeCell ref="B57:C57"/>
    <mergeCell ref="B58:G58"/>
    <mergeCell ref="B59:C59"/>
    <mergeCell ref="E59:F59"/>
    <mergeCell ref="B60:G60"/>
    <mergeCell ref="D62:F62"/>
    <mergeCell ref="B63:G63"/>
    <mergeCell ref="B64:G64"/>
    <mergeCell ref="B65:E65"/>
    <mergeCell ref="F65:H65"/>
    <mergeCell ref="B66:E66"/>
    <mergeCell ref="F66:H66"/>
    <mergeCell ref="B67:E67"/>
    <mergeCell ref="F67:H67"/>
    <mergeCell ref="B68:E68"/>
    <mergeCell ref="F68:G68"/>
  </mergeCells>
  <hyperlinks>
    <hyperlink ref="D7" r:id="rId1" xr:uid="{907EA800-D756-484C-B4E8-0FB582A34257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ED7F4-8B8F-42DF-A1A2-74E55CEAA8D3}">
  <sheetPr codeName="Hoja43">
    <tabColor theme="1"/>
    <pageSetUpPr fitToPage="1"/>
  </sheetPr>
  <dimension ref="A3:H80"/>
  <sheetViews>
    <sheetView showGridLines="0" showRuler="0" view="pageBreakPreview" topLeftCell="A59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648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649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96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22" t="s">
        <v>650</v>
      </c>
      <c r="F23" s="123"/>
      <c r="G23" s="124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22" t="s">
        <v>651</v>
      </c>
      <c r="F24" s="123"/>
      <c r="G24" s="124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22" t="s">
        <v>652</v>
      </c>
      <c r="F25" s="123"/>
      <c r="G25" s="124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427" t="s">
        <v>653</v>
      </c>
      <c r="F26" s="428"/>
      <c r="G26" s="429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81" t="s">
        <v>38</v>
      </c>
      <c r="C28" s="182"/>
      <c r="D28" s="183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324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187" t="s">
        <v>42</v>
      </c>
      <c r="F30" s="188"/>
      <c r="G30" s="189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137" t="s">
        <v>44</v>
      </c>
      <c r="F31" s="138"/>
      <c r="G31" s="139"/>
      <c r="H31" s="5"/>
    </row>
    <row r="32" spans="1:8" s="2" customFormat="1" ht="12" customHeight="1" x14ac:dyDescent="0.25">
      <c r="A32" s="12"/>
      <c r="B32" s="367" t="s">
        <v>654</v>
      </c>
      <c r="C32" s="368"/>
      <c r="D32" s="369"/>
      <c r="E32" s="424" t="s">
        <v>655</v>
      </c>
      <c r="F32" s="425"/>
      <c r="G32" s="426"/>
      <c r="H32" s="5"/>
    </row>
    <row r="33" spans="1:8" s="2" customFormat="1" ht="12" customHeight="1" x14ac:dyDescent="0.25">
      <c r="A33" s="5"/>
      <c r="B33" s="367"/>
      <c r="C33" s="368"/>
      <c r="D33" s="369"/>
      <c r="E33" s="137" t="s">
        <v>656</v>
      </c>
      <c r="F33" s="138"/>
      <c r="G33" s="139"/>
      <c r="H33" s="5"/>
    </row>
    <row r="34" spans="1:8" s="2" customFormat="1" ht="12" customHeight="1" x14ac:dyDescent="0.25">
      <c r="A34" s="5"/>
      <c r="B34" s="424" t="s">
        <v>657</v>
      </c>
      <c r="C34" s="425"/>
      <c r="D34" s="426"/>
      <c r="E34" s="137" t="s">
        <v>658</v>
      </c>
      <c r="F34" s="138"/>
      <c r="G34" s="139"/>
      <c r="H34" s="5"/>
    </row>
    <row r="35" spans="1:8" s="2" customFormat="1" ht="12" customHeight="1" x14ac:dyDescent="0.25">
      <c r="A35" s="5"/>
      <c r="B35" s="367" t="s">
        <v>659</v>
      </c>
      <c r="C35" s="368"/>
      <c r="D35" s="369"/>
      <c r="E35" s="137" t="s">
        <v>660</v>
      </c>
      <c r="F35" s="138"/>
      <c r="G35" s="139"/>
      <c r="H35" s="5"/>
    </row>
    <row r="36" spans="1:8" s="2" customFormat="1" ht="12" customHeight="1" x14ac:dyDescent="0.25">
      <c r="A36" s="5"/>
      <c r="B36" s="367"/>
      <c r="C36" s="368"/>
      <c r="D36" s="369"/>
      <c r="E36" s="137" t="s">
        <v>661</v>
      </c>
      <c r="F36" s="138"/>
      <c r="G36" s="139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137" t="s">
        <v>662</v>
      </c>
      <c r="F37" s="138"/>
      <c r="G37" s="13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137" t="s">
        <v>663</v>
      </c>
      <c r="F38" s="138"/>
      <c r="G38" s="139"/>
      <c r="H38" s="5"/>
    </row>
    <row r="39" spans="1:8" s="2" customFormat="1" ht="12" customHeight="1" x14ac:dyDescent="0.25">
      <c r="A39" s="5"/>
      <c r="B39" s="128" t="s">
        <v>291</v>
      </c>
      <c r="C39" s="129"/>
      <c r="D39" s="130"/>
      <c r="E39" s="137" t="s">
        <v>664</v>
      </c>
      <c r="F39" s="138"/>
      <c r="G39" s="139"/>
      <c r="H39" s="5"/>
    </row>
    <row r="40" spans="1:8" s="2" customFormat="1" ht="12" customHeight="1" x14ac:dyDescent="0.25">
      <c r="A40" s="5"/>
      <c r="B40" s="424" t="s">
        <v>665</v>
      </c>
      <c r="C40" s="425"/>
      <c r="D40" s="426"/>
      <c r="E40" s="128" t="s">
        <v>60</v>
      </c>
      <c r="F40" s="129"/>
      <c r="G40" s="130"/>
      <c r="H40" s="5"/>
    </row>
    <row r="41" spans="1:8" s="2" customFormat="1" ht="12" customHeight="1" x14ac:dyDescent="0.25">
      <c r="A41" s="5"/>
      <c r="B41" s="177" t="s">
        <v>61</v>
      </c>
      <c r="C41" s="178"/>
      <c r="D41" s="179"/>
      <c r="E41" s="137"/>
      <c r="F41" s="138"/>
      <c r="G41" s="139"/>
      <c r="H41" s="5"/>
    </row>
    <row r="42" spans="1:8" s="2" customFormat="1" ht="12" hidden="1" customHeight="1" x14ac:dyDescent="0.25">
      <c r="A42" s="5"/>
      <c r="B42" s="47"/>
      <c r="C42" s="49"/>
      <c r="D42" s="48"/>
      <c r="E42" s="79"/>
      <c r="F42" s="80"/>
      <c r="G42" s="81"/>
      <c r="H42" s="5"/>
    </row>
    <row r="43" spans="1:8" s="2" customFormat="1" ht="12" hidden="1" customHeight="1" x14ac:dyDescent="0.25">
      <c r="A43" s="5"/>
      <c r="B43" s="137"/>
      <c r="C43" s="138"/>
      <c r="D43" s="139"/>
      <c r="E43" s="88"/>
      <c r="F43" s="89"/>
      <c r="G43" s="90"/>
      <c r="H43" s="5"/>
    </row>
    <row r="44" spans="1:8" s="2" customFormat="1" ht="12" hidden="1" customHeight="1" x14ac:dyDescent="0.25">
      <c r="A44" s="5"/>
      <c r="B44" s="128"/>
      <c r="C44" s="129"/>
      <c r="D44" s="130"/>
      <c r="E44" s="91"/>
      <c r="F44" s="92"/>
      <c r="G44" s="93"/>
      <c r="H44" s="5"/>
    </row>
    <row r="45" spans="1:8" s="2" customFormat="1" ht="12" hidden="1" customHeight="1" x14ac:dyDescent="0.25">
      <c r="A45" s="5"/>
      <c r="B45" s="177"/>
      <c r="C45" s="178"/>
      <c r="D45" s="179"/>
      <c r="E45" s="196"/>
      <c r="F45" s="197"/>
      <c r="G45" s="198"/>
      <c r="H45" s="5"/>
    </row>
    <row r="46" spans="1:8" s="2" customFormat="1" ht="12" customHeight="1" x14ac:dyDescent="0.25">
      <c r="B46" s="143" t="s">
        <v>62</v>
      </c>
      <c r="C46" s="144"/>
      <c r="D46" s="144"/>
      <c r="E46" s="144"/>
      <c r="F46" s="144"/>
      <c r="G46" s="153"/>
      <c r="H46" s="5"/>
    </row>
    <row r="47" spans="1:8" s="2" customFormat="1" ht="12" customHeight="1" x14ac:dyDescent="0.25">
      <c r="A47" s="5"/>
      <c r="B47" s="119" t="s">
        <v>666</v>
      </c>
      <c r="C47" s="120"/>
      <c r="D47" s="121"/>
      <c r="E47" s="154" t="s">
        <v>64</v>
      </c>
      <c r="F47" s="155"/>
      <c r="G47" s="156"/>
      <c r="H47" s="5"/>
    </row>
    <row r="48" spans="1:8" s="2" customFormat="1" ht="12" customHeight="1" x14ac:dyDescent="0.25">
      <c r="A48" s="5"/>
      <c r="B48" s="107" t="s">
        <v>667</v>
      </c>
      <c r="C48" s="108"/>
      <c r="D48" s="109"/>
      <c r="E48" s="154" t="s">
        <v>66</v>
      </c>
      <c r="F48" s="155"/>
      <c r="G48" s="156"/>
      <c r="H48" s="5"/>
    </row>
    <row r="49" spans="1:8" s="2" customFormat="1" ht="12" customHeight="1" x14ac:dyDescent="0.25">
      <c r="A49" s="5"/>
      <c r="B49" s="107" t="s">
        <v>668</v>
      </c>
      <c r="C49" s="108"/>
      <c r="D49" s="109"/>
      <c r="E49" s="137" t="s">
        <v>68</v>
      </c>
      <c r="F49" s="138"/>
      <c r="G49" s="139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77"/>
      <c r="F50" s="178"/>
      <c r="G50" s="179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6"/>
      <c r="D62" s="304" t="s">
        <v>669</v>
      </c>
      <c r="E62" s="304"/>
      <c r="F62" s="304"/>
      <c r="G62" s="35">
        <f ca="1">E$17+2</f>
        <v>45763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96" t="s">
        <v>670</v>
      </c>
      <c r="E63" s="96"/>
      <c r="F63" s="96"/>
      <c r="G63" s="35">
        <f ca="1">E$17+25</f>
        <v>45786</v>
      </c>
      <c r="H63" s="7" t="s">
        <v>290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1:D21 E20:G22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E32:E33 B31:D32 F31:G32" name="Rango2_1"/>
    <protectedRange algorithmName="SHA-512" hashValue="jRsd99E24Wg0cREusBHWfr8AogbmoKcBAiIEI/AkVrYZ6d3Zv1r365CvDnomnIuIagvCXHSwta3CL7/ZYpI/1A==" saltValue="4GoUJy3q9tod8g93O8nnng==" spinCount="100000" sqref="E31 F36:G39 F35 F33:G34 F30:G30 E34:E39 E40:G41" name="Rango1_2"/>
    <protectedRange algorithmName="SHA-512" hashValue="jRsd99E24Wg0cREusBHWfr8AogbmoKcBAiIEI/AkVrYZ6d3Zv1r365CvDnomnIuIagvCXHSwta3CL7/ZYpI/1A==" saltValue="4GoUJy3q9tod8g93O8nnng==" spinCount="100000" sqref="B49:D49" name="Rango1_1_1"/>
  </protectedRanges>
  <mergeCells count="95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7:D37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E30:G30"/>
    <mergeCell ref="E31:G31"/>
    <mergeCell ref="B39:D39"/>
    <mergeCell ref="E39:G39"/>
    <mergeCell ref="B40:D40"/>
    <mergeCell ref="E40:G40"/>
    <mergeCell ref="B41:D41"/>
    <mergeCell ref="E41:G41"/>
    <mergeCell ref="B43:D43"/>
    <mergeCell ref="E43:G43"/>
    <mergeCell ref="B44:D44"/>
    <mergeCell ref="E44:G44"/>
    <mergeCell ref="B45:D45"/>
    <mergeCell ref="E45:G45"/>
    <mergeCell ref="B46:G46"/>
    <mergeCell ref="E47:G47"/>
    <mergeCell ref="E48:G48"/>
    <mergeCell ref="E49:G49"/>
    <mergeCell ref="B50:D50"/>
    <mergeCell ref="E50:G50"/>
    <mergeCell ref="B47:D47"/>
    <mergeCell ref="B48:D48"/>
    <mergeCell ref="B49:D49"/>
    <mergeCell ref="B64:G64"/>
    <mergeCell ref="B65:G65"/>
    <mergeCell ref="B66:E66"/>
    <mergeCell ref="F66:H66"/>
    <mergeCell ref="B55:G55"/>
    <mergeCell ref="B56:G56"/>
    <mergeCell ref="B58:G58"/>
    <mergeCell ref="B59:C59"/>
    <mergeCell ref="E59:F59"/>
    <mergeCell ref="B60:G60"/>
    <mergeCell ref="D63:F63"/>
    <mergeCell ref="B69:E69"/>
    <mergeCell ref="F69:G69"/>
    <mergeCell ref="B67:E67"/>
    <mergeCell ref="F67:H67"/>
    <mergeCell ref="E32:G32"/>
    <mergeCell ref="E37:G37"/>
    <mergeCell ref="E38:G38"/>
    <mergeCell ref="D62:F62"/>
    <mergeCell ref="B68:E68"/>
    <mergeCell ref="F68:H68"/>
    <mergeCell ref="D61:F61"/>
    <mergeCell ref="B51:G51"/>
    <mergeCell ref="C52:G52"/>
    <mergeCell ref="B53:G53"/>
    <mergeCell ref="B54:G54"/>
    <mergeCell ref="B57:C57"/>
  </mergeCells>
  <hyperlinks>
    <hyperlink ref="D7" r:id="rId1" xr:uid="{A4CB4FC9-ADD9-4167-9BD8-39028BCBC9E2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81500-4BB8-486D-B7B8-D41D18470F1D}">
  <sheetPr codeName="Hoja45">
    <tabColor theme="1"/>
    <pageSetUpPr fitToPage="1"/>
  </sheetPr>
  <dimension ref="A3:H79"/>
  <sheetViews>
    <sheetView showGridLines="0" showRuler="0" view="pageBreakPreview" topLeftCell="A54" zoomScale="178" zoomScaleNormal="50" zoomScaleSheetLayoutView="178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674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675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96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22" t="s">
        <v>676</v>
      </c>
      <c r="C21" s="123"/>
      <c r="D21" s="124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22" t="s">
        <v>677</v>
      </c>
      <c r="F23" s="123"/>
      <c r="G23" s="124"/>
      <c r="H23" s="5"/>
    </row>
    <row r="24" spans="1:8" s="2" customFormat="1" ht="12" customHeight="1" x14ac:dyDescent="0.25">
      <c r="A24" s="5"/>
      <c r="B24" s="122" t="s">
        <v>293</v>
      </c>
      <c r="C24" s="123"/>
      <c r="D24" s="124"/>
      <c r="E24" s="427" t="s">
        <v>678</v>
      </c>
      <c r="F24" s="428"/>
      <c r="G24" s="429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37" t="s">
        <v>38</v>
      </c>
      <c r="C28" s="138"/>
      <c r="D28" s="13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317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82" t="s">
        <v>679</v>
      </c>
      <c r="F31" s="83"/>
      <c r="G31" s="84"/>
      <c r="H31" s="5"/>
    </row>
    <row r="32" spans="1:8" s="2" customFormat="1" ht="12" customHeight="1" x14ac:dyDescent="0.25">
      <c r="A32" s="12"/>
      <c r="B32" s="367" t="s">
        <v>680</v>
      </c>
      <c r="C32" s="368"/>
      <c r="D32" s="369"/>
      <c r="E32" s="82" t="s">
        <v>681</v>
      </c>
      <c r="F32" s="83"/>
      <c r="G32" s="84"/>
      <c r="H32" s="5"/>
    </row>
    <row r="33" spans="1:8" s="2" customFormat="1" ht="12" customHeight="1" x14ac:dyDescent="0.25">
      <c r="A33" s="5"/>
      <c r="B33" s="367"/>
      <c r="C33" s="368"/>
      <c r="D33" s="369"/>
      <c r="E33" s="424" t="s">
        <v>682</v>
      </c>
      <c r="F33" s="425"/>
      <c r="G33" s="426"/>
      <c r="H33" s="5"/>
    </row>
    <row r="34" spans="1:8" s="2" customFormat="1" ht="12" customHeight="1" x14ac:dyDescent="0.25">
      <c r="A34" s="5"/>
      <c r="B34" s="137" t="s">
        <v>683</v>
      </c>
      <c r="C34" s="138"/>
      <c r="D34" s="139"/>
      <c r="E34" s="424" t="s">
        <v>684</v>
      </c>
      <c r="F34" s="425"/>
      <c r="G34" s="426"/>
      <c r="H34" s="5"/>
    </row>
    <row r="35" spans="1:8" s="2" customFormat="1" ht="12" customHeight="1" x14ac:dyDescent="0.25">
      <c r="A35" s="5"/>
      <c r="B35" s="147" t="s">
        <v>685</v>
      </c>
      <c r="C35" s="148"/>
      <c r="D35" s="149"/>
      <c r="E35" s="424" t="s">
        <v>686</v>
      </c>
      <c r="F35" s="425"/>
      <c r="G35" s="426"/>
      <c r="H35" s="5"/>
    </row>
    <row r="36" spans="1:8" s="2" customFormat="1" ht="12" customHeight="1" x14ac:dyDescent="0.25">
      <c r="A36" s="5"/>
      <c r="B36" s="147"/>
      <c r="C36" s="148"/>
      <c r="D36" s="149"/>
      <c r="E36" s="424" t="s">
        <v>687</v>
      </c>
      <c r="F36" s="425"/>
      <c r="G36" s="426"/>
      <c r="H36" s="5"/>
    </row>
    <row r="37" spans="1:8" s="2" customFormat="1" ht="12" customHeight="1" x14ac:dyDescent="0.25">
      <c r="A37" s="5"/>
      <c r="B37" s="125" t="s">
        <v>688</v>
      </c>
      <c r="C37" s="126"/>
      <c r="D37" s="127"/>
      <c r="E37" s="367" t="s">
        <v>689</v>
      </c>
      <c r="F37" s="368"/>
      <c r="G37" s="369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367"/>
      <c r="F38" s="368"/>
      <c r="G38" s="369"/>
      <c r="H38" s="5"/>
    </row>
    <row r="39" spans="1:8" s="2" customFormat="1" ht="12" customHeight="1" x14ac:dyDescent="0.25">
      <c r="A39" s="5"/>
      <c r="B39" s="137" t="s">
        <v>57</v>
      </c>
      <c r="C39" s="138"/>
      <c r="D39" s="139"/>
      <c r="E39" s="431" t="s">
        <v>690</v>
      </c>
      <c r="F39" s="432"/>
      <c r="G39" s="433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385" t="s">
        <v>691</v>
      </c>
      <c r="F40" s="386"/>
      <c r="G40" s="387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367" t="s">
        <v>692</v>
      </c>
      <c r="F41" s="368"/>
      <c r="G41" s="369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367"/>
      <c r="F42" s="368"/>
      <c r="G42" s="369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286" t="s">
        <v>693</v>
      </c>
      <c r="F43" s="287"/>
      <c r="G43" s="430"/>
      <c r="H43" s="5"/>
    </row>
    <row r="44" spans="1:8" s="2" customFormat="1" ht="12" customHeight="1" x14ac:dyDescent="0.25">
      <c r="A44" s="5"/>
      <c r="B44" s="137" t="s">
        <v>292</v>
      </c>
      <c r="C44" s="138"/>
      <c r="D44" s="139"/>
      <c r="E44" s="286" t="s">
        <v>694</v>
      </c>
      <c r="F44" s="287"/>
      <c r="G44" s="430"/>
      <c r="H44" s="5"/>
    </row>
    <row r="45" spans="1:8" s="2" customFormat="1" ht="12" customHeight="1" x14ac:dyDescent="0.25">
      <c r="A45" s="5"/>
      <c r="B45" s="177" t="s">
        <v>47</v>
      </c>
      <c r="C45" s="178"/>
      <c r="D45" s="179"/>
      <c r="E45" s="196"/>
      <c r="F45" s="197"/>
      <c r="G45" s="198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695</v>
      </c>
      <c r="C47" s="120"/>
      <c r="D47" s="121"/>
      <c r="E47" s="154" t="s">
        <v>64</v>
      </c>
      <c r="F47" s="155"/>
      <c r="G47" s="156"/>
      <c r="H47" s="5"/>
    </row>
    <row r="48" spans="1:8" s="2" customFormat="1" ht="12" customHeight="1" x14ac:dyDescent="0.25">
      <c r="A48" s="5"/>
      <c r="B48" s="107" t="s">
        <v>696</v>
      </c>
      <c r="C48" s="108"/>
      <c r="D48" s="109"/>
      <c r="E48" s="154" t="s">
        <v>66</v>
      </c>
      <c r="F48" s="155"/>
      <c r="G48" s="156"/>
      <c r="H48" s="5"/>
    </row>
    <row r="49" spans="1:8" s="2" customFormat="1" ht="12" customHeight="1" x14ac:dyDescent="0.25">
      <c r="A49" s="5"/>
      <c r="B49" s="107" t="s">
        <v>697</v>
      </c>
      <c r="C49" s="325"/>
      <c r="D49" s="326"/>
      <c r="E49" s="137" t="s">
        <v>68</v>
      </c>
      <c r="F49" s="138"/>
      <c r="G49" s="139"/>
      <c r="H49" s="5"/>
    </row>
    <row r="50" spans="1:8" s="2" customFormat="1" ht="12" customHeight="1" x14ac:dyDescent="0.25">
      <c r="A50" s="5"/>
      <c r="B50" s="113" t="s">
        <v>69</v>
      </c>
      <c r="C50" s="114"/>
      <c r="D50" s="115"/>
      <c r="E50" s="177"/>
      <c r="F50" s="178"/>
      <c r="G50" s="179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698</v>
      </c>
      <c r="E62" s="96"/>
      <c r="F62" s="96"/>
      <c r="G62" s="35">
        <f ca="1">E17+7</f>
        <v>45768</v>
      </c>
      <c r="H62" s="7" t="s">
        <v>290</v>
      </c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E22:G2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1:D21 E20:G21" name="Rango1_1"/>
    <protectedRange algorithmName="SHA-512" hashValue="jRsd99E24Wg0cREusBHWfr8AogbmoKcBAiIEI/AkVrYZ6d3Zv1r365CvDnomnIuIagvCXHSwta3CL7/ZYpI/1A==" saltValue="4GoUJy3q9tod8g93O8nnng==" spinCount="100000" sqref="B23:D23 B25:D27" name="Rango1_4"/>
    <protectedRange algorithmName="SHA-512" hashValue="1IwEtpPovyRjspz9ti3J5udl070IPZ9gDlGmM3ZH/lFyQlLVVL2qbaMds7kHvZZkPq7VvowLV2MqpNnf8owpjQ==" saltValue="SwYyjj//I75seGLqQP0hyQ==" spinCount="100000" sqref="B31:D32 B44:B45 C43:D44" name="Rango2_2"/>
    <protectedRange algorithmName="SHA-512" hashValue="jRsd99E24Wg0cREusBHWfr8AogbmoKcBAiIEI/AkVrYZ6d3Zv1r365CvDnomnIuIagvCXHSwta3CL7/ZYpI/1A==" saltValue="4GoUJy3q9tod8g93O8nnng==" spinCount="100000" sqref="B43 C45:D45 C42:D42 F32:G36 F31 F30:G30 E30:E36" name="Rango1_5"/>
    <protectedRange algorithmName="SHA-512" hashValue="1IwEtpPovyRjspz9ti3J5udl070IPZ9gDlGmM3ZH/lFyQlLVVL2qbaMds7kHvZZkPq7VvowLV2MqpNnf8owpjQ==" saltValue="SwYyjj//I75seGLqQP0hyQ==" spinCount="100000" sqref="E37:G38 E39" name="Rango2_2_2"/>
    <protectedRange algorithmName="SHA-512" hashValue="jRsd99E24Wg0cREusBHWfr8AogbmoKcBAiIEI/AkVrYZ6d3Zv1r365CvDnomnIuIagvCXHSwta3CL7/ZYpI/1A==" saltValue="4GoUJy3q9tod8g93O8nnng==" spinCount="100000" sqref="B49:D49" name="Rango1_7"/>
  </protectedRanges>
  <mergeCells count="91">
    <mergeCell ref="B9:G10"/>
    <mergeCell ref="D4:F4"/>
    <mergeCell ref="D5:F5"/>
    <mergeCell ref="D6:F6"/>
    <mergeCell ref="D7:F7"/>
    <mergeCell ref="A8:H8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B39:D39"/>
    <mergeCell ref="E39:G39"/>
    <mergeCell ref="B40:D40"/>
    <mergeCell ref="E40:G40"/>
    <mergeCell ref="B41:D41"/>
    <mergeCell ref="E41:G42"/>
    <mergeCell ref="B42:D42"/>
    <mergeCell ref="B43:D43"/>
    <mergeCell ref="E43:G43"/>
    <mergeCell ref="B44:D44"/>
    <mergeCell ref="E44:G44"/>
    <mergeCell ref="B45:D45"/>
    <mergeCell ref="E45:G45"/>
    <mergeCell ref="B54:G54"/>
    <mergeCell ref="B46:G46"/>
    <mergeCell ref="B47:D47"/>
    <mergeCell ref="E47:G47"/>
    <mergeCell ref="B48:D48"/>
    <mergeCell ref="E48:G48"/>
    <mergeCell ref="B49:D49"/>
    <mergeCell ref="E49:G49"/>
    <mergeCell ref="B50:D50"/>
    <mergeCell ref="E50:G50"/>
    <mergeCell ref="B51:G51"/>
    <mergeCell ref="C52:G52"/>
    <mergeCell ref="B53:G53"/>
    <mergeCell ref="B65:E65"/>
    <mergeCell ref="F65:H65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4:G64"/>
    <mergeCell ref="B66:E66"/>
    <mergeCell ref="F66:H66"/>
    <mergeCell ref="B67:E67"/>
    <mergeCell ref="F67:H67"/>
    <mergeCell ref="B68:E68"/>
    <mergeCell ref="F68:G68"/>
  </mergeCells>
  <hyperlinks>
    <hyperlink ref="D7" r:id="rId1" xr:uid="{A1923C34-02F2-4357-8E76-87C882C3DBCF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8112C-E9E9-4D04-98B7-9128F1BB74D4}">
  <sheetPr codeName="Hoja46">
    <tabColor theme="1"/>
    <pageSetUpPr fitToPage="1"/>
  </sheetPr>
  <dimension ref="A3:K80"/>
  <sheetViews>
    <sheetView showGridLines="0" view="pageBreakPreview" topLeftCell="A44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5.140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11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11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11" ht="12" customHeight="1" x14ac:dyDescent="0.25">
      <c r="C7" s="26" t="s">
        <v>7</v>
      </c>
      <c r="D7" s="175" t="s">
        <v>8</v>
      </c>
      <c r="E7" s="175"/>
      <c r="F7" s="175"/>
      <c r="G7" s="25"/>
      <c r="K7" s="41"/>
    </row>
    <row r="8" spans="1:11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11" s="1" customFormat="1" ht="15.95" customHeight="1" x14ac:dyDescent="0.25">
      <c r="B9" s="171" t="s">
        <v>699</v>
      </c>
      <c r="C9" s="171"/>
      <c r="D9" s="171"/>
      <c r="E9" s="171"/>
      <c r="F9" s="171"/>
      <c r="G9" s="171"/>
      <c r="H9" s="24"/>
    </row>
    <row r="10" spans="1:11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11" s="14" customFormat="1" ht="12" customHeight="1" x14ac:dyDescent="0.25">
      <c r="A11" s="16" t="s">
        <v>10</v>
      </c>
      <c r="B11" s="159" t="s">
        <v>700</v>
      </c>
      <c r="C11" s="159"/>
      <c r="D11" s="159"/>
      <c r="E11" s="159"/>
      <c r="F11" s="29" t="s">
        <v>12</v>
      </c>
      <c r="G11" s="23"/>
      <c r="H11" s="5"/>
    </row>
    <row r="12" spans="1:11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11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11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11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11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26" t="s">
        <v>23</v>
      </c>
      <c r="C20" s="227"/>
      <c r="D20" s="22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77" t="s">
        <v>38</v>
      </c>
      <c r="C28" s="178"/>
      <c r="D28" s="179"/>
      <c r="E28" s="150" t="s">
        <v>39</v>
      </c>
      <c r="F28" s="151"/>
      <c r="G28" s="152"/>
      <c r="H28" s="5"/>
    </row>
    <row r="29" spans="1:8" s="2" customFormat="1" ht="12" customHeight="1" x14ac:dyDescent="0.25">
      <c r="A29" s="31"/>
      <c r="B29" s="143" t="s">
        <v>334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701</v>
      </c>
      <c r="C30" s="194"/>
      <c r="D30" s="195"/>
      <c r="E30" s="193" t="s">
        <v>712</v>
      </c>
      <c r="F30" s="194"/>
      <c r="G30" s="195"/>
      <c r="H30" s="5"/>
    </row>
    <row r="31" spans="1:8" s="2" customFormat="1" ht="12" customHeight="1" x14ac:dyDescent="0.25">
      <c r="A31" s="32"/>
      <c r="B31" s="128" t="s">
        <v>706</v>
      </c>
      <c r="C31" s="129"/>
      <c r="D31" s="130"/>
      <c r="E31" s="128" t="s">
        <v>713</v>
      </c>
      <c r="F31" s="129"/>
      <c r="G31" s="130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147" t="s">
        <v>714</v>
      </c>
      <c r="F32" s="148"/>
      <c r="G32" s="149"/>
      <c r="H32" s="5"/>
    </row>
    <row r="33" spans="1:8" s="2" customFormat="1" ht="12" customHeight="1" x14ac:dyDescent="0.25">
      <c r="A33" s="5"/>
      <c r="B33" s="147"/>
      <c r="C33" s="148"/>
      <c r="D33" s="149"/>
      <c r="E33" s="308" t="s">
        <v>715</v>
      </c>
      <c r="F33" s="309"/>
      <c r="G33" s="310"/>
      <c r="H33" s="5"/>
    </row>
    <row r="34" spans="1:8" s="2" customFormat="1" ht="12" customHeight="1" x14ac:dyDescent="0.25">
      <c r="A34" s="5"/>
      <c r="B34" s="128" t="s">
        <v>709</v>
      </c>
      <c r="C34" s="129"/>
      <c r="D34" s="130"/>
      <c r="E34" s="128" t="s">
        <v>716</v>
      </c>
      <c r="F34" s="129"/>
      <c r="G34" s="130"/>
      <c r="H34" s="5"/>
    </row>
    <row r="35" spans="1:8" s="2" customFormat="1" ht="12" customHeight="1" x14ac:dyDescent="0.25">
      <c r="A35" s="5"/>
      <c r="B35" s="147" t="s">
        <v>703</v>
      </c>
      <c r="C35" s="148"/>
      <c r="D35" s="149"/>
      <c r="E35" s="154" t="s">
        <v>248</v>
      </c>
      <c r="F35" s="155"/>
      <c r="G35" s="156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493</v>
      </c>
      <c r="F36" s="129"/>
      <c r="G36" s="130"/>
      <c r="H36" s="5"/>
    </row>
    <row r="37" spans="1:8" s="2" customFormat="1" ht="12" customHeight="1" x14ac:dyDescent="0.25">
      <c r="A37" s="5"/>
      <c r="B37" s="190" t="s">
        <v>707</v>
      </c>
      <c r="C37" s="191"/>
      <c r="D37" s="192"/>
      <c r="E37" s="128" t="s">
        <v>717</v>
      </c>
      <c r="F37" s="129"/>
      <c r="G37" s="130"/>
      <c r="H37" s="5"/>
    </row>
    <row r="38" spans="1:8" s="2" customFormat="1" ht="12" customHeight="1" x14ac:dyDescent="0.25">
      <c r="A38" s="5"/>
      <c r="B38" s="190"/>
      <c r="C38" s="191"/>
      <c r="D38" s="192"/>
      <c r="E38" s="190" t="s">
        <v>718</v>
      </c>
      <c r="F38" s="191"/>
      <c r="G38" s="192"/>
      <c r="H38" s="5"/>
    </row>
    <row r="39" spans="1:8" s="2" customFormat="1" ht="12" customHeight="1" x14ac:dyDescent="0.25">
      <c r="A39" s="5"/>
      <c r="B39" s="128" t="s">
        <v>708</v>
      </c>
      <c r="C39" s="129"/>
      <c r="D39" s="130"/>
      <c r="E39" s="190"/>
      <c r="F39" s="191"/>
      <c r="G39" s="192"/>
      <c r="H39" s="5"/>
    </row>
    <row r="40" spans="1:8" s="2" customFormat="1" ht="12" customHeight="1" x14ac:dyDescent="0.25">
      <c r="A40" s="5"/>
      <c r="B40" s="137" t="s">
        <v>710</v>
      </c>
      <c r="C40" s="138"/>
      <c r="D40" s="139"/>
      <c r="E40" s="128" t="s">
        <v>494</v>
      </c>
      <c r="F40" s="129"/>
      <c r="G40" s="130"/>
      <c r="H40" s="5"/>
    </row>
    <row r="41" spans="1:8" s="2" customFormat="1" ht="12" customHeight="1" x14ac:dyDescent="0.25">
      <c r="A41" s="5"/>
      <c r="B41" s="181" t="s">
        <v>711</v>
      </c>
      <c r="C41" s="182"/>
      <c r="D41" s="183"/>
      <c r="E41" s="196"/>
      <c r="F41" s="197"/>
      <c r="G41" s="198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288" t="s">
        <v>704</v>
      </c>
      <c r="C43" s="289"/>
      <c r="D43" s="314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190"/>
      <c r="C44" s="191"/>
      <c r="D44" s="192"/>
      <c r="E44" s="201" t="s">
        <v>705</v>
      </c>
      <c r="F44" s="202"/>
      <c r="G44" s="203"/>
      <c r="H44" s="5"/>
    </row>
    <row r="45" spans="1:8" s="2" customFormat="1" ht="12" customHeight="1" x14ac:dyDescent="0.25">
      <c r="A45" s="5"/>
      <c r="B45" s="190"/>
      <c r="C45" s="191"/>
      <c r="D45" s="192"/>
      <c r="E45" s="201"/>
      <c r="F45" s="202"/>
      <c r="G45" s="203"/>
      <c r="H45" s="5"/>
    </row>
    <row r="46" spans="1:8" s="2" customFormat="1" ht="12" customHeight="1" x14ac:dyDescent="0.25">
      <c r="A46" s="5"/>
      <c r="B46" s="268" t="s">
        <v>69</v>
      </c>
      <c r="C46" s="269"/>
      <c r="D46" s="270"/>
      <c r="E46" s="315"/>
      <c r="F46" s="316"/>
      <c r="G46" s="317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hidden="1" customHeight="1" x14ac:dyDescent="0.25">
      <c r="A48" s="5"/>
      <c r="B48" s="71"/>
      <c r="C48" s="71"/>
      <c r="D48" s="71"/>
      <c r="E48" s="71"/>
      <c r="F48" s="71"/>
      <c r="G48" s="71"/>
      <c r="H48" s="5"/>
    </row>
    <row r="49" spans="1:8" s="2" customFormat="1" ht="12" hidden="1" customHeight="1" x14ac:dyDescent="0.25">
      <c r="A49" s="5"/>
      <c r="B49" s="71"/>
      <c r="C49" s="71"/>
      <c r="D49" s="71"/>
      <c r="E49" s="71"/>
      <c r="F49" s="71"/>
      <c r="G49" s="71"/>
      <c r="H49" s="5"/>
    </row>
    <row r="50" spans="1:8" s="2" customFormat="1" ht="12" hidden="1" customHeight="1" x14ac:dyDescent="0.25">
      <c r="A50" s="5"/>
      <c r="B50" s="71"/>
      <c r="C50" s="71"/>
      <c r="D50" s="71"/>
      <c r="E50" s="71"/>
      <c r="F50" s="71"/>
      <c r="G50" s="71"/>
      <c r="H50" s="5"/>
    </row>
    <row r="51" spans="1:8" s="2" customFormat="1" ht="12" hidden="1" customHeight="1" x14ac:dyDescent="0.25">
      <c r="A51" s="5"/>
      <c r="B51" s="71"/>
      <c r="C51" s="71"/>
      <c r="D51" s="71"/>
      <c r="E51" s="71"/>
      <c r="F51" s="71"/>
      <c r="G51" s="71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721</v>
      </c>
      <c r="C57" s="102"/>
      <c r="D57" s="11">
        <v>90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9">
        <f>C61+C62+C63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E$17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6"/>
      <c r="D62" s="304" t="s">
        <v>719</v>
      </c>
      <c r="E62" s="304"/>
      <c r="F62" s="304"/>
      <c r="G62" s="35">
        <f ca="1">E$17+7</f>
        <v>45768</v>
      </c>
      <c r="H62" s="7" t="s">
        <v>290</v>
      </c>
    </row>
    <row r="63" spans="1:8" s="2" customFormat="1" ht="12" customHeight="1" x14ac:dyDescent="0.25">
      <c r="A63" s="9"/>
      <c r="B63" s="8" t="s">
        <v>78</v>
      </c>
      <c r="C63" s="37"/>
      <c r="D63" s="96" t="s">
        <v>335</v>
      </c>
      <c r="E63" s="96"/>
      <c r="F63" s="96"/>
      <c r="G63" s="35">
        <f ca="1">E$17+12</f>
        <v>45773</v>
      </c>
      <c r="H63" s="7" t="s">
        <v>290</v>
      </c>
    </row>
    <row r="64" spans="1:8" s="2" customFormat="1" ht="12" customHeight="1" x14ac:dyDescent="0.25">
      <c r="A64" s="5"/>
      <c r="B64" s="105" t="s">
        <v>82</v>
      </c>
      <c r="C64" s="105"/>
      <c r="D64" s="105"/>
      <c r="E64" s="105"/>
      <c r="F64" s="105"/>
      <c r="G64" s="105"/>
      <c r="H64" s="4"/>
    </row>
    <row r="65" spans="1:8" s="2" customFormat="1" ht="12" customHeight="1" x14ac:dyDescent="0.2">
      <c r="A65" s="3" t="s">
        <v>83</v>
      </c>
      <c r="B65" s="106" t="s">
        <v>84</v>
      </c>
      <c r="C65" s="106"/>
      <c r="D65" s="106"/>
      <c r="E65" s="106"/>
      <c r="F65" s="106"/>
      <c r="G65" s="106"/>
    </row>
    <row r="66" spans="1:8" ht="12" customHeight="1" x14ac:dyDescent="0.25">
      <c r="B66" s="95" t="s">
        <v>786</v>
      </c>
      <c r="C66" s="95"/>
      <c r="D66" s="95"/>
      <c r="E66" s="95"/>
      <c r="F66" s="95" t="s">
        <v>85</v>
      </c>
      <c r="G66" s="95"/>
      <c r="H66" s="95"/>
    </row>
    <row r="67" spans="1:8" ht="12" customHeight="1" x14ac:dyDescent="0.25">
      <c r="B67" s="94" t="s">
        <v>86</v>
      </c>
      <c r="C67" s="94"/>
      <c r="D67" s="94"/>
      <c r="E67" s="94"/>
      <c r="F67" s="95" t="s">
        <v>87</v>
      </c>
      <c r="G67" s="95"/>
      <c r="H67" s="95"/>
    </row>
    <row r="68" spans="1:8" ht="12" customHeight="1" x14ac:dyDescent="0.25">
      <c r="B68" s="94" t="s">
        <v>785</v>
      </c>
      <c r="C68" s="94"/>
      <c r="D68" s="94"/>
      <c r="E68" s="94"/>
      <c r="F68" s="95" t="s">
        <v>432</v>
      </c>
      <c r="G68" s="95"/>
      <c r="H68" s="95"/>
    </row>
    <row r="69" spans="1:8" ht="12" customHeight="1" x14ac:dyDescent="0.25">
      <c r="B69" s="95" t="s">
        <v>784</v>
      </c>
      <c r="C69" s="95"/>
      <c r="D69" s="95"/>
      <c r="E69" s="95"/>
      <c r="F69" s="95"/>
      <c r="G69" s="95"/>
    </row>
    <row r="70" spans="1:8" ht="12" customHeight="1" x14ac:dyDescent="0.25">
      <c r="B70" s="33"/>
      <c r="C70" s="33"/>
      <c r="D70" s="33"/>
      <c r="E70" s="33"/>
      <c r="F70" s="33"/>
      <c r="G70" s="33"/>
      <c r="H70" s="3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36 E35:E36 E37:G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7:E67"/>
    <mergeCell ref="F67:H67"/>
    <mergeCell ref="B68:E68"/>
    <mergeCell ref="F68:H68"/>
    <mergeCell ref="B69:E69"/>
    <mergeCell ref="F69:G69"/>
    <mergeCell ref="B66:E66"/>
    <mergeCell ref="F66:H66"/>
    <mergeCell ref="D62:F62"/>
    <mergeCell ref="B55:G55"/>
    <mergeCell ref="B56:G56"/>
    <mergeCell ref="B57:C57"/>
    <mergeCell ref="B58:G58"/>
    <mergeCell ref="B59:C59"/>
    <mergeCell ref="E59:F59"/>
    <mergeCell ref="B60:G60"/>
    <mergeCell ref="D61:F61"/>
    <mergeCell ref="D63:F63"/>
    <mergeCell ref="B64:G64"/>
    <mergeCell ref="B65:G65"/>
    <mergeCell ref="B46:D46"/>
    <mergeCell ref="B47:G47"/>
    <mergeCell ref="C52:G52"/>
    <mergeCell ref="B53:G53"/>
    <mergeCell ref="B54:G54"/>
    <mergeCell ref="E44:G46"/>
    <mergeCell ref="B41:D41"/>
    <mergeCell ref="E41:G41"/>
    <mergeCell ref="B42:G42"/>
    <mergeCell ref="B43:D45"/>
    <mergeCell ref="E43:G43"/>
    <mergeCell ref="B37:D38"/>
    <mergeCell ref="E37:G37"/>
    <mergeCell ref="B39:D39"/>
    <mergeCell ref="B40:D40"/>
    <mergeCell ref="E40:G40"/>
    <mergeCell ref="E38:G39"/>
    <mergeCell ref="B32:D33"/>
    <mergeCell ref="B34:D34"/>
    <mergeCell ref="E34:G34"/>
    <mergeCell ref="B35:D36"/>
    <mergeCell ref="E35:G35"/>
    <mergeCell ref="E36:G36"/>
    <mergeCell ref="E32:G32"/>
    <mergeCell ref="E33:G33"/>
    <mergeCell ref="B31:D31"/>
    <mergeCell ref="E31:G31"/>
    <mergeCell ref="B25:D25"/>
    <mergeCell ref="E25:G25"/>
    <mergeCell ref="B26:D26"/>
    <mergeCell ref="E26:G26"/>
    <mergeCell ref="B27:D27"/>
    <mergeCell ref="E27:G27"/>
    <mergeCell ref="B28:D28"/>
    <mergeCell ref="E28:G28"/>
    <mergeCell ref="B29:G29"/>
    <mergeCell ref="B30:D30"/>
    <mergeCell ref="E30:G30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4BA8C75C-6A2E-4600-8361-C82D04AACA5D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93903-40B4-44AB-A1C5-662173544A3E}">
  <sheetPr codeName="Hoja47">
    <tabColor theme="1"/>
    <pageSetUpPr fitToPage="1"/>
  </sheetPr>
  <dimension ref="A3:H79"/>
  <sheetViews>
    <sheetView showGridLines="0" view="pageBreakPreview" topLeftCell="A58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722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723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299" t="s">
        <v>23</v>
      </c>
      <c r="C20" s="300"/>
      <c r="D20" s="301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54" t="s">
        <v>29</v>
      </c>
      <c r="F23" s="155"/>
      <c r="G23" s="156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31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54" t="s">
        <v>34</v>
      </c>
      <c r="C26" s="155"/>
      <c r="D26" s="156"/>
      <c r="E26" s="154" t="s">
        <v>35</v>
      </c>
      <c r="F26" s="155"/>
      <c r="G26" s="156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43" t="s">
        <v>324</v>
      </c>
      <c r="C28" s="144"/>
      <c r="D28" s="144"/>
      <c r="E28" s="185"/>
      <c r="F28" s="185"/>
      <c r="G28" s="186"/>
      <c r="H28" s="5"/>
    </row>
    <row r="29" spans="1:8" s="2" customFormat="1" ht="12" customHeight="1" x14ac:dyDescent="0.25">
      <c r="A29" s="32"/>
      <c r="B29" s="187" t="s">
        <v>726</v>
      </c>
      <c r="C29" s="188"/>
      <c r="D29" s="189"/>
      <c r="E29" s="250" t="s">
        <v>736</v>
      </c>
      <c r="F29" s="251"/>
      <c r="G29" s="252"/>
      <c r="H29" s="5"/>
    </row>
    <row r="30" spans="1:8" s="2" customFormat="1" ht="12" customHeight="1" x14ac:dyDescent="0.25">
      <c r="A30" s="32"/>
      <c r="B30" s="137" t="s">
        <v>210</v>
      </c>
      <c r="C30" s="138"/>
      <c r="D30" s="139"/>
      <c r="E30" s="137" t="s">
        <v>430</v>
      </c>
      <c r="F30" s="138"/>
      <c r="G30" s="139"/>
      <c r="H30" s="5"/>
    </row>
    <row r="31" spans="1:8" s="2" customFormat="1" ht="12" customHeight="1" x14ac:dyDescent="0.25">
      <c r="A31" s="12"/>
      <c r="B31" s="147" t="s">
        <v>211</v>
      </c>
      <c r="C31" s="148"/>
      <c r="D31" s="149"/>
      <c r="E31" s="128" t="s">
        <v>737</v>
      </c>
      <c r="F31" s="129"/>
      <c r="G31" s="130"/>
      <c r="H31" s="5"/>
    </row>
    <row r="32" spans="1:8" s="2" customFormat="1" ht="12" customHeight="1" x14ac:dyDescent="0.25">
      <c r="A32" s="5"/>
      <c r="B32" s="147"/>
      <c r="C32" s="148"/>
      <c r="D32" s="149"/>
      <c r="E32" s="128" t="s">
        <v>738</v>
      </c>
      <c r="F32" s="129"/>
      <c r="G32" s="130"/>
      <c r="H32" s="5"/>
    </row>
    <row r="33" spans="1:8" s="2" customFormat="1" ht="12" customHeight="1" x14ac:dyDescent="0.25">
      <c r="A33" s="5"/>
      <c r="B33" s="128" t="s">
        <v>702</v>
      </c>
      <c r="C33" s="129"/>
      <c r="D33" s="130"/>
      <c r="E33" s="137" t="s">
        <v>56</v>
      </c>
      <c r="F33" s="138"/>
      <c r="G33" s="139"/>
      <c r="H33" s="5"/>
    </row>
    <row r="34" spans="1:8" s="2" customFormat="1" ht="12" customHeight="1" x14ac:dyDescent="0.25">
      <c r="A34" s="5"/>
      <c r="B34" s="190" t="s">
        <v>703</v>
      </c>
      <c r="C34" s="191"/>
      <c r="D34" s="192"/>
      <c r="E34" s="137" t="s">
        <v>58</v>
      </c>
      <c r="F34" s="138"/>
      <c r="G34" s="139"/>
      <c r="H34" s="5"/>
    </row>
    <row r="35" spans="1:8" s="2" customFormat="1" ht="12" customHeight="1" x14ac:dyDescent="0.25">
      <c r="A35" s="5"/>
      <c r="B35" s="190"/>
      <c r="C35" s="191"/>
      <c r="D35" s="192"/>
      <c r="E35" s="128" t="s">
        <v>60</v>
      </c>
      <c r="F35" s="129"/>
      <c r="G35" s="130"/>
      <c r="H35" s="5"/>
    </row>
    <row r="36" spans="1:8" s="2" customFormat="1" ht="12" customHeight="1" x14ac:dyDescent="0.25">
      <c r="A36" s="5"/>
      <c r="B36" s="125" t="s">
        <v>214</v>
      </c>
      <c r="C36" s="126"/>
      <c r="D36" s="127"/>
      <c r="E36" s="147" t="s">
        <v>425</v>
      </c>
      <c r="F36" s="148"/>
      <c r="G36" s="149"/>
      <c r="H36" s="5"/>
    </row>
    <row r="37" spans="1:8" s="2" customFormat="1" ht="12" customHeight="1" x14ac:dyDescent="0.25">
      <c r="A37" s="5"/>
      <c r="B37" s="137" t="s">
        <v>215</v>
      </c>
      <c r="C37" s="138"/>
      <c r="D37" s="139"/>
      <c r="E37" s="147"/>
      <c r="F37" s="148"/>
      <c r="G37" s="149"/>
      <c r="H37" s="5"/>
    </row>
    <row r="38" spans="1:8" s="2" customFormat="1" ht="12" customHeight="1" x14ac:dyDescent="0.25">
      <c r="A38" s="5"/>
      <c r="B38" s="128" t="s">
        <v>727</v>
      </c>
      <c r="C38" s="129"/>
      <c r="D38" s="130"/>
      <c r="E38" s="421" t="s">
        <v>426</v>
      </c>
      <c r="F38" s="422"/>
      <c r="G38" s="423"/>
      <c r="H38" s="5"/>
    </row>
    <row r="39" spans="1:8" s="2" customFormat="1" ht="12" customHeight="1" x14ac:dyDescent="0.25">
      <c r="A39" s="5"/>
      <c r="B39" s="190" t="s">
        <v>728</v>
      </c>
      <c r="C39" s="191"/>
      <c r="D39" s="192"/>
      <c r="E39" s="311" t="s">
        <v>739</v>
      </c>
      <c r="F39" s="312"/>
      <c r="G39" s="313"/>
      <c r="H39" s="5"/>
    </row>
    <row r="40" spans="1:8" s="2" customFormat="1" ht="12" customHeight="1" x14ac:dyDescent="0.25">
      <c r="A40" s="5"/>
      <c r="B40" s="190"/>
      <c r="C40" s="191"/>
      <c r="D40" s="192"/>
      <c r="E40" s="147" t="s">
        <v>428</v>
      </c>
      <c r="F40" s="148"/>
      <c r="G40" s="149"/>
      <c r="H40" s="5"/>
    </row>
    <row r="41" spans="1:8" s="2" customFormat="1" ht="12" customHeight="1" x14ac:dyDescent="0.25">
      <c r="A41" s="5"/>
      <c r="B41" s="128" t="s">
        <v>729</v>
      </c>
      <c r="C41" s="129"/>
      <c r="D41" s="130"/>
      <c r="E41" s="147"/>
      <c r="F41" s="148"/>
      <c r="G41" s="149"/>
      <c r="H41" s="5"/>
    </row>
    <row r="42" spans="1:8" s="2" customFormat="1" ht="12" customHeight="1" x14ac:dyDescent="0.25">
      <c r="B42" s="143" t="s">
        <v>62</v>
      </c>
      <c r="C42" s="144"/>
      <c r="D42" s="144"/>
      <c r="E42" s="145"/>
      <c r="F42" s="145"/>
      <c r="G42" s="146"/>
      <c r="H42" s="5"/>
    </row>
    <row r="43" spans="1:8" s="2" customFormat="1" ht="12" customHeight="1" x14ac:dyDescent="0.25">
      <c r="A43" s="5"/>
      <c r="B43" s="434" t="s">
        <v>725</v>
      </c>
      <c r="C43" s="435"/>
      <c r="D43" s="436"/>
      <c r="E43" s="154" t="s">
        <v>64</v>
      </c>
      <c r="F43" s="155"/>
      <c r="G43" s="156"/>
      <c r="H43" s="5"/>
    </row>
    <row r="44" spans="1:8" s="2" customFormat="1" ht="12" customHeight="1" x14ac:dyDescent="0.25">
      <c r="A44" s="5"/>
      <c r="B44" s="437"/>
      <c r="C44" s="438"/>
      <c r="D44" s="439"/>
      <c r="E44" s="201" t="s">
        <v>724</v>
      </c>
      <c r="F44" s="202"/>
      <c r="G44" s="203"/>
      <c r="H44" s="5"/>
    </row>
    <row r="45" spans="1:8" s="2" customFormat="1" ht="12" customHeight="1" x14ac:dyDescent="0.25">
      <c r="A45" s="5"/>
      <c r="B45" s="437"/>
      <c r="C45" s="438"/>
      <c r="D45" s="439"/>
      <c r="E45" s="201"/>
      <c r="F45" s="202"/>
      <c r="G45" s="203"/>
      <c r="H45" s="5"/>
    </row>
    <row r="46" spans="1:8" s="2" customFormat="1" ht="12" customHeight="1" x14ac:dyDescent="0.25">
      <c r="A46" s="5"/>
      <c r="B46" s="113" t="s">
        <v>69</v>
      </c>
      <c r="C46" s="114"/>
      <c r="D46" s="115"/>
      <c r="E46" s="315"/>
      <c r="F46" s="316"/>
      <c r="G46" s="317"/>
      <c r="H46" s="5"/>
    </row>
    <row r="47" spans="1:8" s="2" customFormat="1" ht="12" customHeight="1" x14ac:dyDescent="0.25">
      <c r="A47" s="5"/>
      <c r="B47" s="97"/>
      <c r="C47" s="97"/>
      <c r="D47" s="97"/>
      <c r="E47" s="97"/>
      <c r="F47" s="97"/>
      <c r="G47" s="97"/>
      <c r="H47" s="5"/>
    </row>
    <row r="48" spans="1:8" s="2" customFormat="1" ht="12" customHeight="1" x14ac:dyDescent="0.25">
      <c r="A48" s="5"/>
      <c r="B48" s="38" t="s">
        <v>70</v>
      </c>
      <c r="C48" s="98" t="s">
        <v>740</v>
      </c>
      <c r="D48" s="98"/>
      <c r="E48" s="98"/>
      <c r="F48" s="98"/>
      <c r="G48" s="98"/>
      <c r="H48" s="5"/>
    </row>
    <row r="49" spans="1:8" s="2" customFormat="1" ht="12" customHeight="1" x14ac:dyDescent="0.25">
      <c r="A49" s="5"/>
      <c r="B49" s="99" t="s">
        <v>742</v>
      </c>
      <c r="C49" s="99"/>
      <c r="D49" s="99"/>
      <c r="E49" s="99"/>
      <c r="F49" s="99"/>
      <c r="G49" s="99"/>
      <c r="H49" s="5"/>
    </row>
    <row r="50" spans="1:8" s="2" customFormat="1" ht="12" customHeight="1" x14ac:dyDescent="0.25">
      <c r="A50" s="5"/>
      <c r="B50" s="99" t="s">
        <v>741</v>
      </c>
      <c r="C50" s="99"/>
      <c r="D50" s="99"/>
      <c r="E50" s="99"/>
      <c r="F50" s="99"/>
      <c r="G50" s="99"/>
      <c r="H50" s="5"/>
    </row>
    <row r="51" spans="1:8" s="2" customFormat="1" ht="12" customHeight="1" x14ac:dyDescent="0.25">
      <c r="A51" s="5"/>
      <c r="B51" s="99" t="s">
        <v>734</v>
      </c>
      <c r="C51" s="99"/>
      <c r="D51" s="99"/>
      <c r="E51" s="99"/>
      <c r="F51" s="99"/>
      <c r="G51" s="99"/>
      <c r="H51" s="5"/>
    </row>
    <row r="52" spans="1:8" s="2" customFormat="1" ht="12" customHeight="1" x14ac:dyDescent="0.25">
      <c r="A52" s="5"/>
      <c r="B52" s="99" t="s">
        <v>731</v>
      </c>
      <c r="C52" s="99"/>
      <c r="D52" s="99"/>
      <c r="E52" s="99"/>
      <c r="F52" s="99"/>
      <c r="G52" s="99"/>
      <c r="H52" s="5"/>
    </row>
    <row r="53" spans="1:8" s="2" customFormat="1" ht="12" customHeight="1" x14ac:dyDescent="0.25">
      <c r="A53" s="5"/>
      <c r="B53" s="99" t="s">
        <v>732</v>
      </c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440" t="s">
        <v>733</v>
      </c>
      <c r="C54" s="440"/>
      <c r="D54" s="440"/>
      <c r="E54" s="440"/>
      <c r="F54" s="440"/>
      <c r="G54" s="440"/>
      <c r="H54" s="5"/>
    </row>
    <row r="55" spans="1:8" s="2" customFormat="1" ht="12" customHeight="1" x14ac:dyDescent="0.25">
      <c r="A55" s="5"/>
      <c r="B55" s="440" t="s">
        <v>730</v>
      </c>
      <c r="C55" s="440"/>
      <c r="D55" s="440"/>
      <c r="E55" s="440"/>
      <c r="F55" s="440"/>
      <c r="G55" s="44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7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42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735</v>
      </c>
      <c r="E62" s="96"/>
      <c r="F62" s="96"/>
      <c r="G62" s="35">
        <f ca="1">E17+7</f>
        <v>45768</v>
      </c>
      <c r="H62" s="9"/>
    </row>
    <row r="63" spans="1:8" s="2" customFormat="1" ht="12" customHeight="1" x14ac:dyDescent="0.25">
      <c r="A63" s="5"/>
      <c r="B63" s="105" t="s">
        <v>82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F30 E30:E34 C41:D41 F31:G34" name="Rango1"/>
    <protectedRange algorithmName="SHA-512" hashValue="zUrWTGEZiJFMgzDqDTBlVt+5/9aQcTuJw4/Tg0qXKmOEBmnAPkc2PftdRKWEJAjo6Tejl/2GECle77oEWrFAIQ==" saltValue="IwcVdvVtxL7J72Vc6oLNHQ==" spinCount="100000" sqref="E47:G47" name="Rango1_6"/>
    <protectedRange algorithmName="SHA-512" hashValue="1IwEtpPovyRjspz9ti3J5udl070IPZ9gDlGmM3ZH/lFyQlLVVL2qbaMds7kHvZZkPq7VvowLV2MqpNnf8owpjQ==" saltValue="SwYyjj//I75seGLqQP0hyQ==" spinCount="100000" sqref="B30:D31" name="Rango2_1"/>
    <protectedRange algorithmName="SHA-512" hashValue="jRsd99E24Wg0cREusBHWfr8AogbmoKcBAiIEI/AkVrYZ6d3Zv1r365CvDnomnIuIagvCXHSwta3CL7/ZYpI/1A==" saltValue="4GoUJy3q9tod8g93O8nnng==" spinCount="100000" sqref="E35:G35" name="Rango1_2"/>
    <protectedRange algorithmName="SHA-512" hashValue="jRsd99E24Wg0cREusBHWfr8AogbmoKcBAiIEI/AkVrYZ6d3Zv1r365CvDnomnIuIagvCXHSwta3CL7/ZYpI/1A==" saltValue="4GoUJy3q9tod8g93O8nnng==" spinCount="100000" sqref="B45:D45" name="Rango1_3"/>
    <protectedRange algorithmName="SHA-512" hashValue="1IwEtpPovyRjspz9ti3J5udl070IPZ9gDlGmM3ZH/lFyQlLVVL2qbaMds7kHvZZkPq7VvowLV2MqpNnf8owpjQ==" saltValue="SwYyjj//I75seGLqQP0hyQ==" spinCount="100000" sqref="E36:G37 E38" name="Rango2_2"/>
  </protectedRanges>
  <mergeCells count="86">
    <mergeCell ref="B38:D38"/>
    <mergeCell ref="E38:G38"/>
    <mergeCell ref="E39:G39"/>
    <mergeCell ref="B41:D41"/>
    <mergeCell ref="B39:D40"/>
    <mergeCell ref="E40:G40"/>
    <mergeCell ref="E41:G41"/>
    <mergeCell ref="B42:G42"/>
    <mergeCell ref="B66:E66"/>
    <mergeCell ref="F66:H66"/>
    <mergeCell ref="B55:G55"/>
    <mergeCell ref="B56:G56"/>
    <mergeCell ref="B57:C57"/>
    <mergeCell ref="B58:G58"/>
    <mergeCell ref="B59:C59"/>
    <mergeCell ref="E59:F59"/>
    <mergeCell ref="B60:G60"/>
    <mergeCell ref="D61:F61"/>
    <mergeCell ref="D62:F62"/>
    <mergeCell ref="B63:G63"/>
    <mergeCell ref="B64:G64"/>
    <mergeCell ref="B54:G54"/>
    <mergeCell ref="E44:G46"/>
    <mergeCell ref="B67:E67"/>
    <mergeCell ref="F67:H67"/>
    <mergeCell ref="B68:E68"/>
    <mergeCell ref="F68:G68"/>
    <mergeCell ref="B65:E65"/>
    <mergeCell ref="F65:H65"/>
    <mergeCell ref="B43:D45"/>
    <mergeCell ref="B50:G50"/>
    <mergeCell ref="B51:G51"/>
    <mergeCell ref="E43:G43"/>
    <mergeCell ref="B52:G52"/>
    <mergeCell ref="B53:G53"/>
    <mergeCell ref="B49:G49"/>
    <mergeCell ref="B46:D46"/>
    <mergeCell ref="B47:G47"/>
    <mergeCell ref="C48:G48"/>
    <mergeCell ref="B36:D36"/>
    <mergeCell ref="E36:G37"/>
    <mergeCell ref="B37:D37"/>
    <mergeCell ref="B28:G28"/>
    <mergeCell ref="B29:D29"/>
    <mergeCell ref="B30:D30"/>
    <mergeCell ref="B31:D32"/>
    <mergeCell ref="E32:G32"/>
    <mergeCell ref="E29:G29"/>
    <mergeCell ref="B33:D33"/>
    <mergeCell ref="E33:G33"/>
    <mergeCell ref="B34:D35"/>
    <mergeCell ref="E34:G34"/>
    <mergeCell ref="E35:G35"/>
    <mergeCell ref="E30:G30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6810A985-C3DA-4A72-9E8C-9D2396D0DE1D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E26EC-0F6F-49A4-981D-5DD368D199F9}">
  <sheetPr codeName="Hoja48">
    <tabColor theme="1"/>
    <pageSetUpPr fitToPage="1"/>
  </sheetPr>
  <dimension ref="A3:H79"/>
  <sheetViews>
    <sheetView showGridLines="0" view="pageBreakPreview" topLeftCell="A48" zoomScaleNormal="10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743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294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 t="s">
        <v>98</v>
      </c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22</v>
      </c>
      <c r="C19" s="163"/>
      <c r="D19" s="164"/>
      <c r="E19" s="165"/>
      <c r="F19" s="165"/>
      <c r="G19" s="165"/>
      <c r="H19" s="9"/>
    </row>
    <row r="20" spans="1:8" s="2" customFormat="1" ht="12" customHeight="1" x14ac:dyDescent="0.25">
      <c r="A20" s="5"/>
      <c r="B20" s="166" t="s">
        <v>96</v>
      </c>
      <c r="C20" s="167"/>
      <c r="D20" s="168"/>
      <c r="E20" s="169" t="s">
        <v>24</v>
      </c>
      <c r="F20" s="169"/>
      <c r="G20" s="170"/>
      <c r="H20" s="5"/>
    </row>
    <row r="21" spans="1:8" s="2" customFormat="1" ht="12" customHeight="1" x14ac:dyDescent="0.25">
      <c r="A21" s="5"/>
      <c r="B21" s="154" t="s">
        <v>25</v>
      </c>
      <c r="C21" s="155"/>
      <c r="D21" s="156"/>
      <c r="E21" s="155" t="s">
        <v>26</v>
      </c>
      <c r="F21" s="155"/>
      <c r="G21" s="156"/>
      <c r="H21" s="5"/>
    </row>
    <row r="22" spans="1:8" s="2" customFormat="1" ht="12" customHeight="1" x14ac:dyDescent="0.25">
      <c r="A22" s="5"/>
      <c r="B22" s="143" t="s">
        <v>27</v>
      </c>
      <c r="C22" s="144"/>
      <c r="D22" s="144"/>
      <c r="E22" s="157"/>
      <c r="F22" s="157"/>
      <c r="G22" s="158"/>
      <c r="H22" s="5"/>
    </row>
    <row r="23" spans="1:8" s="2" customFormat="1" ht="12" customHeight="1" x14ac:dyDescent="0.25">
      <c r="A23" s="5"/>
      <c r="B23" s="154" t="s">
        <v>28</v>
      </c>
      <c r="C23" s="155"/>
      <c r="D23" s="156"/>
      <c r="E23" s="122" t="s">
        <v>650</v>
      </c>
      <c r="F23" s="123"/>
      <c r="G23" s="124"/>
      <c r="H23" s="5"/>
    </row>
    <row r="24" spans="1:8" s="2" customFormat="1" ht="12" customHeight="1" x14ac:dyDescent="0.25">
      <c r="A24" s="5"/>
      <c r="B24" s="154" t="s">
        <v>30</v>
      </c>
      <c r="C24" s="155"/>
      <c r="D24" s="156"/>
      <c r="E24" s="154" t="s">
        <v>34</v>
      </c>
      <c r="F24" s="155"/>
      <c r="G24" s="156"/>
      <c r="H24" s="5"/>
    </row>
    <row r="25" spans="1:8" s="2" customFormat="1" ht="12" customHeight="1" x14ac:dyDescent="0.25">
      <c r="A25" s="30"/>
      <c r="B25" s="154" t="s">
        <v>32</v>
      </c>
      <c r="C25" s="155"/>
      <c r="D25" s="156"/>
      <c r="E25" s="154" t="s">
        <v>33</v>
      </c>
      <c r="F25" s="155"/>
      <c r="G25" s="156"/>
      <c r="H25" s="5"/>
    </row>
    <row r="26" spans="1:8" s="2" customFormat="1" ht="12" customHeight="1" x14ac:dyDescent="0.25">
      <c r="A26" s="31"/>
      <c r="B26" s="122" t="s">
        <v>296</v>
      </c>
      <c r="C26" s="123"/>
      <c r="D26" s="124"/>
      <c r="E26" s="122" t="s">
        <v>744</v>
      </c>
      <c r="F26" s="123"/>
      <c r="G26" s="124"/>
      <c r="H26" s="5"/>
    </row>
    <row r="27" spans="1:8" s="2" customFormat="1" ht="12" customHeight="1" x14ac:dyDescent="0.25">
      <c r="A27" s="31"/>
      <c r="B27" s="137" t="s">
        <v>36</v>
      </c>
      <c r="C27" s="138"/>
      <c r="D27" s="139"/>
      <c r="E27" s="154" t="s">
        <v>37</v>
      </c>
      <c r="F27" s="155"/>
      <c r="G27" s="156"/>
      <c r="H27" s="5"/>
    </row>
    <row r="28" spans="1:8" s="2" customFormat="1" ht="12" customHeight="1" x14ac:dyDescent="0.25">
      <c r="A28" s="31"/>
      <c r="B28" s="137" t="s">
        <v>38</v>
      </c>
      <c r="C28" s="138"/>
      <c r="D28" s="139"/>
      <c r="E28" s="204"/>
      <c r="F28" s="205"/>
      <c r="G28" s="206"/>
      <c r="H28" s="5"/>
    </row>
    <row r="29" spans="1:8" s="2" customFormat="1" ht="12" customHeight="1" x14ac:dyDescent="0.25">
      <c r="A29" s="31"/>
      <c r="B29" s="143" t="s">
        <v>323</v>
      </c>
      <c r="C29" s="144"/>
      <c r="D29" s="144"/>
      <c r="E29" s="185"/>
      <c r="F29" s="185"/>
      <c r="G29" s="186"/>
      <c r="H29" s="5"/>
    </row>
    <row r="30" spans="1:8" s="2" customFormat="1" ht="12" customHeight="1" x14ac:dyDescent="0.25">
      <c r="A30" s="32"/>
      <c r="B30" s="193" t="s">
        <v>41</v>
      </c>
      <c r="C30" s="194"/>
      <c r="D30" s="195"/>
      <c r="E30" s="65" t="s">
        <v>49</v>
      </c>
      <c r="F30" s="66"/>
      <c r="G30" s="67"/>
      <c r="H30" s="5"/>
    </row>
    <row r="31" spans="1:8" s="2" customFormat="1" ht="12" customHeight="1" x14ac:dyDescent="0.25">
      <c r="A31" s="32"/>
      <c r="B31" s="137" t="s">
        <v>43</v>
      </c>
      <c r="C31" s="138"/>
      <c r="D31" s="139"/>
      <c r="E31" s="53" t="s">
        <v>51</v>
      </c>
      <c r="F31" s="54"/>
      <c r="G31" s="55"/>
      <c r="H31" s="5"/>
    </row>
    <row r="32" spans="1:8" s="2" customFormat="1" ht="12" customHeight="1" x14ac:dyDescent="0.25">
      <c r="A32" s="12"/>
      <c r="B32" s="147" t="s">
        <v>45</v>
      </c>
      <c r="C32" s="148"/>
      <c r="D32" s="149"/>
      <c r="E32" s="53" t="s">
        <v>52</v>
      </c>
      <c r="F32" s="54"/>
      <c r="G32" s="55"/>
      <c r="H32" s="5"/>
    </row>
    <row r="33" spans="1:8" s="2" customFormat="1" ht="12" customHeight="1" x14ac:dyDescent="0.25">
      <c r="A33" s="5"/>
      <c r="B33" s="147"/>
      <c r="C33" s="148"/>
      <c r="D33" s="149"/>
      <c r="E33" s="137" t="s">
        <v>54</v>
      </c>
      <c r="F33" s="138"/>
      <c r="G33" s="139"/>
      <c r="H33" s="5"/>
    </row>
    <row r="34" spans="1:8" s="2" customFormat="1" ht="12" customHeight="1" x14ac:dyDescent="0.25">
      <c r="A34" s="5"/>
      <c r="B34" s="137" t="s">
        <v>48</v>
      </c>
      <c r="C34" s="138"/>
      <c r="D34" s="139"/>
      <c r="E34" s="137" t="s">
        <v>56</v>
      </c>
      <c r="F34" s="138"/>
      <c r="G34" s="139"/>
      <c r="H34" s="5"/>
    </row>
    <row r="35" spans="1:8" s="2" customFormat="1" ht="12" customHeight="1" x14ac:dyDescent="0.25">
      <c r="A35" s="5"/>
      <c r="B35" s="147" t="s">
        <v>50</v>
      </c>
      <c r="C35" s="148"/>
      <c r="D35" s="149"/>
      <c r="E35" s="137" t="s">
        <v>58</v>
      </c>
      <c r="F35" s="138"/>
      <c r="G35" s="139"/>
      <c r="H35" s="5"/>
    </row>
    <row r="36" spans="1:8" s="2" customFormat="1" ht="12" customHeight="1" x14ac:dyDescent="0.25">
      <c r="A36" s="5"/>
      <c r="B36" s="147"/>
      <c r="C36" s="148"/>
      <c r="D36" s="149"/>
      <c r="E36" s="128" t="s">
        <v>60</v>
      </c>
      <c r="F36" s="129"/>
      <c r="G36" s="130"/>
      <c r="H36" s="5"/>
    </row>
    <row r="37" spans="1:8" s="2" customFormat="1" ht="12" customHeight="1" x14ac:dyDescent="0.25">
      <c r="A37" s="5"/>
      <c r="B37" s="125" t="s">
        <v>53</v>
      </c>
      <c r="C37" s="126"/>
      <c r="D37" s="127"/>
      <c r="E37" s="85" t="s">
        <v>425</v>
      </c>
      <c r="F37" s="86"/>
      <c r="G37" s="87"/>
      <c r="H37" s="5"/>
    </row>
    <row r="38" spans="1:8" s="2" customFormat="1" ht="12" customHeight="1" x14ac:dyDescent="0.25">
      <c r="A38" s="5"/>
      <c r="B38" s="137" t="s">
        <v>55</v>
      </c>
      <c r="C38" s="138"/>
      <c r="D38" s="139"/>
      <c r="E38" s="85"/>
      <c r="F38" s="86"/>
      <c r="G38" s="87"/>
      <c r="H38" s="5"/>
    </row>
    <row r="39" spans="1:8" s="2" customFormat="1" ht="12" customHeight="1" x14ac:dyDescent="0.25">
      <c r="A39" s="5"/>
      <c r="B39" s="128" t="s">
        <v>297</v>
      </c>
      <c r="C39" s="129"/>
      <c r="D39" s="130"/>
      <c r="E39" s="131" t="s">
        <v>426</v>
      </c>
      <c r="F39" s="132"/>
      <c r="G39" s="133"/>
      <c r="H39" s="5"/>
    </row>
    <row r="40" spans="1:8" s="2" customFormat="1" ht="12" customHeight="1" x14ac:dyDescent="0.25">
      <c r="A40" s="5"/>
      <c r="B40" s="137" t="s">
        <v>59</v>
      </c>
      <c r="C40" s="138"/>
      <c r="D40" s="139"/>
      <c r="E40" s="134" t="s">
        <v>427</v>
      </c>
      <c r="F40" s="135"/>
      <c r="G40" s="136"/>
      <c r="H40" s="5"/>
    </row>
    <row r="41" spans="1:8" s="2" customFormat="1" ht="12" customHeight="1" x14ac:dyDescent="0.25">
      <c r="A41" s="5"/>
      <c r="B41" s="137" t="s">
        <v>61</v>
      </c>
      <c r="C41" s="138"/>
      <c r="D41" s="139"/>
      <c r="E41" s="85" t="s">
        <v>428</v>
      </c>
      <c r="F41" s="86"/>
      <c r="G41" s="87"/>
      <c r="H41" s="5"/>
    </row>
    <row r="42" spans="1:8" s="2" customFormat="1" ht="12" customHeight="1" x14ac:dyDescent="0.25">
      <c r="A42" s="5"/>
      <c r="B42" s="137" t="s">
        <v>42</v>
      </c>
      <c r="C42" s="138"/>
      <c r="D42" s="139"/>
      <c r="E42" s="85"/>
      <c r="F42" s="86"/>
      <c r="G42" s="87"/>
      <c r="H42" s="5"/>
    </row>
    <row r="43" spans="1:8" s="2" customFormat="1" ht="12" customHeight="1" x14ac:dyDescent="0.25">
      <c r="A43" s="5"/>
      <c r="B43" s="137" t="s">
        <v>44</v>
      </c>
      <c r="C43" s="138"/>
      <c r="D43" s="139"/>
      <c r="E43" s="88" t="s">
        <v>429</v>
      </c>
      <c r="F43" s="89"/>
      <c r="G43" s="90"/>
      <c r="H43" s="5"/>
    </row>
    <row r="44" spans="1:8" s="2" customFormat="1" ht="12" customHeight="1" x14ac:dyDescent="0.25">
      <c r="A44" s="5"/>
      <c r="B44" s="128" t="s">
        <v>292</v>
      </c>
      <c r="C44" s="129"/>
      <c r="D44" s="130"/>
      <c r="E44" s="91"/>
      <c r="F44" s="92"/>
      <c r="G44" s="93"/>
      <c r="H44" s="5"/>
    </row>
    <row r="45" spans="1:8" s="2" customFormat="1" ht="12" customHeight="1" x14ac:dyDescent="0.25">
      <c r="A45" s="5"/>
      <c r="B45" s="137" t="s">
        <v>47</v>
      </c>
      <c r="C45" s="138"/>
      <c r="D45" s="139"/>
      <c r="E45" s="207"/>
      <c r="F45" s="208"/>
      <c r="G45" s="209"/>
      <c r="H45" s="5"/>
    </row>
    <row r="46" spans="1:8" s="2" customFormat="1" ht="12" customHeight="1" x14ac:dyDescent="0.25">
      <c r="B46" s="143" t="s">
        <v>62</v>
      </c>
      <c r="C46" s="144"/>
      <c r="D46" s="144"/>
      <c r="E46" s="145"/>
      <c r="F46" s="145"/>
      <c r="G46" s="146"/>
      <c r="H46" s="5"/>
    </row>
    <row r="47" spans="1:8" s="2" customFormat="1" ht="12" customHeight="1" x14ac:dyDescent="0.25">
      <c r="A47" s="5"/>
      <c r="B47" s="119" t="s">
        <v>745</v>
      </c>
      <c r="C47" s="199"/>
      <c r="D47" s="200"/>
      <c r="E47" s="154" t="s">
        <v>99</v>
      </c>
      <c r="F47" s="155"/>
      <c r="G47" s="156"/>
      <c r="H47" s="5"/>
    </row>
    <row r="48" spans="1:8" s="2" customFormat="1" ht="12" customHeight="1" x14ac:dyDescent="0.25">
      <c r="A48" s="5"/>
      <c r="B48" s="201"/>
      <c r="C48" s="202"/>
      <c r="D48" s="203"/>
      <c r="E48" s="107" t="s">
        <v>66</v>
      </c>
      <c r="F48" s="108"/>
      <c r="G48" s="109"/>
      <c r="H48" s="5"/>
    </row>
    <row r="49" spans="1:8" s="2" customFormat="1" ht="12" customHeight="1" x14ac:dyDescent="0.25">
      <c r="A49" s="5"/>
      <c r="B49" s="201"/>
      <c r="C49" s="202"/>
      <c r="D49" s="203"/>
      <c r="E49" s="110" t="s">
        <v>68</v>
      </c>
      <c r="F49" s="111"/>
      <c r="G49" s="112"/>
      <c r="H49" s="5"/>
    </row>
    <row r="50" spans="1:8" s="2" customFormat="1" ht="12" customHeight="1" x14ac:dyDescent="0.25">
      <c r="A50" s="5"/>
      <c r="B50" s="210" t="s">
        <v>69</v>
      </c>
      <c r="C50" s="211"/>
      <c r="D50" s="212"/>
      <c r="E50" s="116"/>
      <c r="F50" s="213"/>
      <c r="G50" s="214"/>
      <c r="H50" s="5"/>
    </row>
    <row r="51" spans="1:8" s="2" customFormat="1" ht="12" customHeight="1" x14ac:dyDescent="0.25">
      <c r="A51" s="5"/>
      <c r="B51" s="97"/>
      <c r="C51" s="97"/>
      <c r="D51" s="97"/>
      <c r="E51" s="97"/>
      <c r="F51" s="97"/>
      <c r="G51" s="97"/>
      <c r="H51" s="5"/>
    </row>
    <row r="52" spans="1:8" s="2" customFormat="1" ht="12" customHeight="1" x14ac:dyDescent="0.25">
      <c r="A52" s="5"/>
      <c r="B52" s="38" t="s">
        <v>70</v>
      </c>
      <c r="C52" s="98"/>
      <c r="D52" s="98"/>
      <c r="E52" s="98"/>
      <c r="F52" s="98"/>
      <c r="G52" s="98"/>
      <c r="H52" s="5"/>
    </row>
    <row r="53" spans="1:8" s="2" customFormat="1" ht="12" customHeight="1" x14ac:dyDescent="0.25">
      <c r="A53" s="5"/>
      <c r="B53" s="99"/>
      <c r="C53" s="99"/>
      <c r="D53" s="99"/>
      <c r="E53" s="99"/>
      <c r="F53" s="99"/>
      <c r="G53" s="99"/>
      <c r="H53" s="5"/>
    </row>
    <row r="54" spans="1:8" s="2" customFormat="1" ht="12" customHeight="1" x14ac:dyDescent="0.25">
      <c r="A54" s="5"/>
      <c r="B54" s="99"/>
      <c r="C54" s="99"/>
      <c r="D54" s="99"/>
      <c r="E54" s="99"/>
      <c r="F54" s="99"/>
      <c r="G54" s="99"/>
      <c r="H54" s="5"/>
    </row>
    <row r="55" spans="1:8" s="2" customFormat="1" ht="12" customHeight="1" x14ac:dyDescent="0.25">
      <c r="A55" s="5"/>
      <c r="B55" s="100"/>
      <c r="C55" s="100"/>
      <c r="D55" s="100"/>
      <c r="E55" s="100"/>
      <c r="F55" s="100"/>
      <c r="G55" s="100"/>
      <c r="H55" s="5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6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s="2" customFormat="1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s="2" customFormat="1" ht="12" customHeight="1" x14ac:dyDescent="0.25">
      <c r="A62" s="9"/>
      <c r="B62" s="8" t="s">
        <v>78</v>
      </c>
      <c r="C62" s="37"/>
      <c r="D62" s="96" t="s">
        <v>101</v>
      </c>
      <c r="E62" s="96"/>
      <c r="F62" s="96"/>
      <c r="G62" s="35">
        <f ca="1">E17+8</f>
        <v>45769</v>
      </c>
      <c r="H62" s="7" t="s">
        <v>81</v>
      </c>
    </row>
    <row r="63" spans="1:8" s="2" customFormat="1" ht="12" customHeight="1" x14ac:dyDescent="0.25">
      <c r="A63" s="5"/>
      <c r="B63" s="105" t="s">
        <v>102</v>
      </c>
      <c r="C63" s="105"/>
      <c r="D63" s="105"/>
      <c r="E63" s="105"/>
      <c r="F63" s="105"/>
      <c r="G63" s="105"/>
      <c r="H63" s="4"/>
    </row>
    <row r="64" spans="1:8" s="2" customFormat="1" ht="12" customHeight="1" x14ac:dyDescent="0.2">
      <c r="A64" s="3" t="s">
        <v>83</v>
      </c>
      <c r="B64" s="106" t="s">
        <v>84</v>
      </c>
      <c r="C64" s="106"/>
      <c r="D64" s="106"/>
      <c r="E64" s="106"/>
      <c r="F64" s="106"/>
      <c r="G64" s="106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</row>
    <row r="69" spans="2:8" ht="12" customHeight="1" x14ac:dyDescent="0.25">
      <c r="B69" s="33"/>
      <c r="C69" s="33"/>
      <c r="D69" s="33"/>
      <c r="E69" s="33"/>
      <c r="F69" s="33"/>
      <c r="G69" s="33"/>
      <c r="H69" s="3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9">
    <mergeCell ref="B68:E68"/>
    <mergeCell ref="F68:G68"/>
    <mergeCell ref="B47:D49"/>
    <mergeCell ref="B65:E65"/>
    <mergeCell ref="F65:H65"/>
    <mergeCell ref="B66:E66"/>
    <mergeCell ref="F66:H66"/>
    <mergeCell ref="B67:E67"/>
    <mergeCell ref="F67:H67"/>
    <mergeCell ref="B60:G60"/>
    <mergeCell ref="D61:F61"/>
    <mergeCell ref="D62:F62"/>
    <mergeCell ref="B63:G63"/>
    <mergeCell ref="B64:G64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E47:G47"/>
    <mergeCell ref="E48:G48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34:D34"/>
    <mergeCell ref="E34:G34"/>
    <mergeCell ref="B35:D36"/>
    <mergeCell ref="E35:G35"/>
    <mergeCell ref="E36:G36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G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76BB4227-6F89-4E14-B054-380685AD694F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61242-D66F-43F5-ABC1-5FE0D4BD560F}">
  <sheetPr codeName="Hoja49">
    <tabColor theme="1"/>
    <pageSetUpPr fitToPage="1"/>
  </sheetPr>
  <dimension ref="A3:H76"/>
  <sheetViews>
    <sheetView showGridLines="0" view="pageBreakPreview" topLeftCell="A61" zoomScale="145" zoomScaleNormal="70" zoomScaleSheetLayoutView="145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778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777</v>
      </c>
      <c r="C11" s="159"/>
      <c r="D11" s="159"/>
      <c r="E11" s="159"/>
      <c r="F11" s="29" t="s">
        <v>12</v>
      </c>
      <c r="G11" s="23" t="s">
        <v>776</v>
      </c>
      <c r="H11" s="5"/>
    </row>
    <row r="12" spans="1:8" s="14" customFormat="1" ht="12" customHeight="1" x14ac:dyDescent="0.25">
      <c r="A12" s="16"/>
      <c r="B12" s="159" t="s">
        <v>775</v>
      </c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 t="s">
        <v>774</v>
      </c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219" t="s">
        <v>780</v>
      </c>
      <c r="F20" s="220"/>
      <c r="G20" s="221"/>
      <c r="H20" s="5"/>
    </row>
    <row r="21" spans="1:8" s="2" customFormat="1" ht="12" customHeight="1" x14ac:dyDescent="0.25">
      <c r="A21" s="5"/>
      <c r="B21" s="215" t="s">
        <v>773</v>
      </c>
      <c r="C21" s="216"/>
      <c r="D21" s="216"/>
      <c r="E21" s="166" t="s">
        <v>772</v>
      </c>
      <c r="F21" s="167"/>
      <c r="G21" s="16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166" t="s">
        <v>771</v>
      </c>
      <c r="F22" s="167"/>
      <c r="G22" s="16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166" t="s">
        <v>770</v>
      </c>
      <c r="F23" s="167"/>
      <c r="G23" s="168"/>
      <c r="H23" s="5"/>
    </row>
    <row r="24" spans="1:8" s="2" customFormat="1" ht="12" customHeight="1" x14ac:dyDescent="0.25">
      <c r="A24" s="5"/>
      <c r="B24" s="330" t="s">
        <v>271</v>
      </c>
      <c r="C24" s="331"/>
      <c r="D24" s="331"/>
      <c r="E24" s="166" t="s">
        <v>769</v>
      </c>
      <c r="F24" s="167"/>
      <c r="G24" s="168"/>
      <c r="H24" s="5"/>
    </row>
    <row r="25" spans="1:8" s="2" customFormat="1" ht="12" customHeight="1" x14ac:dyDescent="0.25">
      <c r="A25" s="30"/>
      <c r="B25" s="226" t="s">
        <v>359</v>
      </c>
      <c r="C25" s="227"/>
      <c r="D25" s="227"/>
      <c r="E25" s="166" t="s">
        <v>768</v>
      </c>
      <c r="F25" s="167"/>
      <c r="G25" s="168"/>
      <c r="H25" s="5"/>
    </row>
    <row r="26" spans="1:8" s="2" customFormat="1" ht="12" customHeight="1" x14ac:dyDescent="0.25">
      <c r="A26" s="31"/>
      <c r="B26" s="226" t="s">
        <v>118</v>
      </c>
      <c r="C26" s="227"/>
      <c r="D26" s="227"/>
      <c r="E26" s="166" t="s">
        <v>767</v>
      </c>
      <c r="F26" s="167"/>
      <c r="G26" s="168"/>
      <c r="H26" s="5"/>
    </row>
    <row r="27" spans="1:8" s="2" customFormat="1" ht="12" customHeight="1" x14ac:dyDescent="0.25">
      <c r="A27" s="31"/>
      <c r="B27" s="226" t="s">
        <v>360</v>
      </c>
      <c r="C27" s="227"/>
      <c r="D27" s="227"/>
      <c r="E27" s="166" t="s">
        <v>766</v>
      </c>
      <c r="F27" s="167"/>
      <c r="G27" s="168"/>
      <c r="H27" s="5"/>
    </row>
    <row r="28" spans="1:8" s="2" customFormat="1" ht="12" customHeight="1" x14ac:dyDescent="0.25">
      <c r="A28" s="31"/>
      <c r="B28" s="226" t="s">
        <v>122</v>
      </c>
      <c r="C28" s="227"/>
      <c r="D28" s="227"/>
      <c r="E28" s="256" t="s">
        <v>123</v>
      </c>
      <c r="F28" s="257"/>
      <c r="G28" s="258"/>
      <c r="H28" s="5"/>
    </row>
    <row r="29" spans="1:8" s="2" customFormat="1" ht="12" customHeight="1" x14ac:dyDescent="0.25">
      <c r="A29" s="32"/>
      <c r="B29" s="226" t="s">
        <v>374</v>
      </c>
      <c r="C29" s="227"/>
      <c r="D29" s="227"/>
      <c r="E29" s="226" t="s">
        <v>125</v>
      </c>
      <c r="F29" s="227"/>
      <c r="G29" s="228"/>
      <c r="H29" s="5"/>
    </row>
    <row r="30" spans="1:8" s="2" customFormat="1" ht="12" customHeight="1" x14ac:dyDescent="0.25">
      <c r="A30" s="32"/>
      <c r="B30" s="226" t="s">
        <v>126</v>
      </c>
      <c r="C30" s="227"/>
      <c r="D30" s="227"/>
      <c r="E30" s="359"/>
      <c r="F30" s="360"/>
      <c r="G30" s="361"/>
      <c r="H30" s="5"/>
    </row>
    <row r="31" spans="1:8" s="2" customFormat="1" ht="12" customHeight="1" x14ac:dyDescent="0.25">
      <c r="A31" s="12"/>
      <c r="B31" s="226" t="s">
        <v>362</v>
      </c>
      <c r="C31" s="227"/>
      <c r="D31" s="227"/>
      <c r="E31" s="240" t="s">
        <v>128</v>
      </c>
      <c r="F31" s="241"/>
      <c r="G31" s="242"/>
      <c r="H31" s="5"/>
    </row>
    <row r="32" spans="1:8" s="2" customFormat="1" ht="12" customHeight="1" x14ac:dyDescent="0.25">
      <c r="A32" s="5"/>
      <c r="B32" s="226" t="s">
        <v>129</v>
      </c>
      <c r="C32" s="227"/>
      <c r="D32" s="227"/>
      <c r="E32" s="240" t="s">
        <v>130</v>
      </c>
      <c r="F32" s="241"/>
      <c r="G32" s="242"/>
      <c r="H32" s="5"/>
    </row>
    <row r="33" spans="1:8" s="2" customFormat="1" ht="12" customHeight="1" x14ac:dyDescent="0.25">
      <c r="A33" s="5"/>
      <c r="B33" s="402" t="s">
        <v>765</v>
      </c>
      <c r="C33" s="403"/>
      <c r="D33" s="403"/>
      <c r="E33" s="245" t="s">
        <v>162</v>
      </c>
      <c r="F33" s="246"/>
      <c r="G33" s="247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87" t="s">
        <v>764</v>
      </c>
      <c r="C35" s="188"/>
      <c r="D35" s="189"/>
      <c r="E35" s="250" t="s">
        <v>763</v>
      </c>
      <c r="F35" s="251"/>
      <c r="G35" s="252"/>
      <c r="H35" s="5"/>
    </row>
    <row r="36" spans="1:8" s="2" customFormat="1" ht="12" customHeight="1" x14ac:dyDescent="0.25">
      <c r="A36" s="5"/>
      <c r="B36" s="122" t="s">
        <v>762</v>
      </c>
      <c r="C36" s="123"/>
      <c r="D36" s="124"/>
      <c r="E36" s="122" t="s">
        <v>761</v>
      </c>
      <c r="F36" s="123"/>
      <c r="G36" s="124"/>
      <c r="H36" s="5"/>
    </row>
    <row r="37" spans="1:8" s="2" customFormat="1" ht="12" customHeight="1" x14ac:dyDescent="0.25">
      <c r="A37" s="5"/>
      <c r="B37" s="122" t="s">
        <v>760</v>
      </c>
      <c r="C37" s="123"/>
      <c r="D37" s="124"/>
      <c r="E37" s="190" t="s">
        <v>759</v>
      </c>
      <c r="F37" s="191"/>
      <c r="G37" s="192"/>
      <c r="H37" s="5"/>
    </row>
    <row r="38" spans="1:8" s="2" customFormat="1" ht="12" customHeight="1" x14ac:dyDescent="0.25">
      <c r="A38" s="5"/>
      <c r="B38" s="122" t="s">
        <v>758</v>
      </c>
      <c r="C38" s="123"/>
      <c r="D38" s="124"/>
      <c r="E38" s="190"/>
      <c r="F38" s="191"/>
      <c r="G38" s="192"/>
      <c r="H38" s="5"/>
    </row>
    <row r="39" spans="1:8" s="2" customFormat="1" ht="12" customHeight="1" x14ac:dyDescent="0.25">
      <c r="A39" s="5"/>
      <c r="B39" s="122" t="s">
        <v>757</v>
      </c>
      <c r="C39" s="123"/>
      <c r="D39" s="124"/>
      <c r="E39" s="190"/>
      <c r="F39" s="191"/>
      <c r="G39" s="192"/>
      <c r="H39" s="5"/>
    </row>
    <row r="40" spans="1:8" s="2" customFormat="1" ht="12" customHeight="1" x14ac:dyDescent="0.25">
      <c r="A40" s="5"/>
      <c r="B40" s="122" t="s">
        <v>756</v>
      </c>
      <c r="C40" s="123"/>
      <c r="D40" s="124"/>
      <c r="E40" s="190"/>
      <c r="F40" s="191"/>
      <c r="G40" s="192"/>
      <c r="H40" s="5"/>
    </row>
    <row r="41" spans="1:8" s="2" customFormat="1" ht="12" customHeight="1" x14ac:dyDescent="0.25">
      <c r="B41" s="122" t="s">
        <v>755</v>
      </c>
      <c r="C41" s="123"/>
      <c r="D41" s="124"/>
      <c r="E41" s="190" t="s">
        <v>754</v>
      </c>
      <c r="F41" s="191"/>
      <c r="G41" s="192"/>
      <c r="H41" s="5"/>
    </row>
    <row r="42" spans="1:8" s="2" customFormat="1" ht="12" customHeight="1" x14ac:dyDescent="0.25">
      <c r="A42" s="5"/>
      <c r="B42" s="190" t="s">
        <v>753</v>
      </c>
      <c r="C42" s="191"/>
      <c r="D42" s="192"/>
      <c r="E42" s="190"/>
      <c r="F42" s="191"/>
      <c r="G42" s="192"/>
      <c r="H42" s="5"/>
    </row>
    <row r="43" spans="1:8" s="2" customFormat="1" ht="12" customHeight="1" x14ac:dyDescent="0.25">
      <c r="A43" s="5"/>
      <c r="B43" s="190"/>
      <c r="C43" s="191"/>
      <c r="D43" s="192"/>
      <c r="E43" s="229" t="s">
        <v>752</v>
      </c>
      <c r="F43" s="230"/>
      <c r="G43" s="231"/>
      <c r="H43" s="5"/>
    </row>
    <row r="44" spans="1:8" s="2" customFormat="1" ht="12" customHeight="1" x14ac:dyDescent="0.25">
      <c r="A44" s="5"/>
      <c r="B44" s="154" t="s">
        <v>163</v>
      </c>
      <c r="C44" s="155"/>
      <c r="D44" s="156"/>
      <c r="E44" s="229" t="s">
        <v>751</v>
      </c>
      <c r="F44" s="230"/>
      <c r="G44" s="231"/>
      <c r="H44" s="5"/>
    </row>
    <row r="45" spans="1:8" s="2" customFormat="1" ht="12" customHeight="1" x14ac:dyDescent="0.25">
      <c r="A45" s="5"/>
      <c r="B45" s="113" t="s">
        <v>153</v>
      </c>
      <c r="C45" s="114"/>
      <c r="D45" s="115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397" t="s">
        <v>750</v>
      </c>
      <c r="C47" s="398"/>
      <c r="D47" s="399"/>
      <c r="E47" s="250" t="s">
        <v>64</v>
      </c>
      <c r="F47" s="251"/>
      <c r="G47" s="252"/>
    </row>
    <row r="48" spans="1:8" s="2" customFormat="1" ht="12" customHeight="1" x14ac:dyDescent="0.2">
      <c r="B48" s="349"/>
      <c r="C48" s="400"/>
      <c r="D48" s="401"/>
      <c r="E48" s="190" t="s">
        <v>749</v>
      </c>
      <c r="F48" s="191"/>
      <c r="G48" s="192"/>
    </row>
    <row r="49" spans="1:8" s="2" customFormat="1" ht="12" customHeight="1" x14ac:dyDescent="0.2">
      <c r="B49" s="349"/>
      <c r="C49" s="400"/>
      <c r="D49" s="401"/>
      <c r="E49" s="190"/>
      <c r="F49" s="191"/>
      <c r="G49" s="192"/>
    </row>
    <row r="50" spans="1:8" s="2" customFormat="1" ht="12" customHeight="1" x14ac:dyDescent="0.2">
      <c r="B50" s="263" t="s">
        <v>159</v>
      </c>
      <c r="C50" s="264"/>
      <c r="D50" s="265"/>
      <c r="E50" s="441"/>
      <c r="F50" s="442"/>
      <c r="G50" s="443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15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v>160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6"/>
      <c r="D62" s="304" t="s">
        <v>748</v>
      </c>
      <c r="E62" s="304"/>
      <c r="F62" s="304"/>
      <c r="G62" s="35">
        <f ca="1">IF(WEEKDAY(E$17+8,2)&gt;5, E$17+8+IF(WEEKDAY(E$17+8,2)=6,2,1), E$17+8)</f>
        <v>45769</v>
      </c>
      <c r="H62" s="7" t="s">
        <v>290</v>
      </c>
    </row>
    <row r="63" spans="1:8" ht="12" customHeight="1" x14ac:dyDescent="0.25">
      <c r="A63" s="9"/>
      <c r="B63" s="8" t="s">
        <v>78</v>
      </c>
      <c r="C63" s="36"/>
      <c r="D63" s="304" t="s">
        <v>101</v>
      </c>
      <c r="E63" s="304"/>
      <c r="F63" s="304"/>
      <c r="G63" s="35">
        <f ca="1">IF(WEEKDAY(E$17+15,2)&gt;5, E$17+15+IF(WEEKDAY(E$17+15,2)=6,2,1), E$17+15)</f>
        <v>45776</v>
      </c>
      <c r="H63" s="7" t="s">
        <v>290</v>
      </c>
    </row>
    <row r="64" spans="1:8" ht="12" customHeight="1" x14ac:dyDescent="0.25">
      <c r="A64" s="9"/>
      <c r="B64" s="8" t="s">
        <v>78</v>
      </c>
      <c r="C64" s="37"/>
      <c r="D64" s="396" t="s">
        <v>779</v>
      </c>
      <c r="E64" s="396"/>
      <c r="F64" s="396"/>
      <c r="G64" s="35">
        <f ca="1">IF(WEEKDAY(E$17+30,2)&gt;5, E$17+30+IF(WEEKDAY(E$17+30,2)=6,2,1), E$17+30)</f>
        <v>45791</v>
      </c>
      <c r="H64" s="7" t="s">
        <v>290</v>
      </c>
    </row>
    <row r="65" spans="1:8" ht="12" customHeight="1" x14ac:dyDescent="0.25">
      <c r="A65" s="5"/>
      <c r="B65" s="105" t="s">
        <v>168</v>
      </c>
      <c r="C65" s="105"/>
      <c r="D65" s="105"/>
      <c r="E65" s="105"/>
      <c r="F65" s="105"/>
      <c r="G65" s="105"/>
      <c r="H65" s="4"/>
    </row>
    <row r="66" spans="1:8" ht="12" customHeight="1" x14ac:dyDescent="0.25">
      <c r="A66" s="3" t="s">
        <v>83</v>
      </c>
      <c r="B66" s="106" t="s">
        <v>84</v>
      </c>
      <c r="C66" s="106"/>
      <c r="D66" s="106"/>
      <c r="E66" s="106"/>
      <c r="F66" s="106"/>
      <c r="G66" s="106"/>
      <c r="H66" s="2"/>
    </row>
    <row r="67" spans="1:8" ht="12" customHeight="1" x14ac:dyDescent="0.25">
      <c r="B67" s="95" t="s">
        <v>786</v>
      </c>
      <c r="C67" s="95"/>
      <c r="D67" s="95"/>
      <c r="E67" s="95"/>
      <c r="F67" s="95" t="s">
        <v>85</v>
      </c>
      <c r="G67" s="95"/>
      <c r="H67" s="95"/>
    </row>
    <row r="68" spans="1:8" ht="12" customHeight="1" x14ac:dyDescent="0.25">
      <c r="B68" s="94" t="s">
        <v>86</v>
      </c>
      <c r="C68" s="94"/>
      <c r="D68" s="94"/>
      <c r="E68" s="94"/>
      <c r="F68" s="95" t="s">
        <v>87</v>
      </c>
      <c r="G68" s="95"/>
      <c r="H68" s="95"/>
    </row>
    <row r="69" spans="1:8" ht="12" customHeight="1" x14ac:dyDescent="0.25">
      <c r="B69" s="94" t="s">
        <v>785</v>
      </c>
      <c r="C69" s="94"/>
      <c r="D69" s="94"/>
      <c r="E69" s="94"/>
      <c r="F69" s="95" t="s">
        <v>432</v>
      </c>
      <c r="G69" s="95"/>
      <c r="H69" s="95"/>
    </row>
    <row r="70" spans="1:8" ht="12" customHeight="1" x14ac:dyDescent="0.25">
      <c r="B70" s="95" t="s">
        <v>784</v>
      </c>
      <c r="C70" s="95"/>
      <c r="D70" s="95"/>
      <c r="E70" s="95"/>
      <c r="F70" s="95"/>
      <c r="G70" s="95"/>
      <c r="H70" s="95"/>
    </row>
    <row r="71" spans="1:8" ht="15" customHeight="1" x14ac:dyDescent="0.25">
      <c r="B71" s="33"/>
      <c r="C71" s="33"/>
      <c r="D71" s="33"/>
      <c r="E71" s="33"/>
      <c r="F71" s="33"/>
      <c r="G71" s="33"/>
      <c r="H71" s="33"/>
    </row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1">
    <mergeCell ref="B69:E69"/>
    <mergeCell ref="F69:H69"/>
    <mergeCell ref="B70:E70"/>
    <mergeCell ref="F70:H70"/>
    <mergeCell ref="D64:F64"/>
    <mergeCell ref="B65:G65"/>
    <mergeCell ref="B66:G66"/>
    <mergeCell ref="B67:E67"/>
    <mergeCell ref="F67:H67"/>
    <mergeCell ref="B68:E68"/>
    <mergeCell ref="F68:H68"/>
    <mergeCell ref="D62:F62"/>
    <mergeCell ref="D63:F63"/>
    <mergeCell ref="B38:D38"/>
    <mergeCell ref="B39:D39"/>
    <mergeCell ref="D61:F61"/>
    <mergeCell ref="B51:G51"/>
    <mergeCell ref="C52:G52"/>
    <mergeCell ref="B53:G53"/>
    <mergeCell ref="B54:G54"/>
    <mergeCell ref="B55:G55"/>
    <mergeCell ref="B56:G56"/>
    <mergeCell ref="B57:C57"/>
    <mergeCell ref="E44:G44"/>
    <mergeCell ref="B45:D45"/>
    <mergeCell ref="E45:G45"/>
    <mergeCell ref="B46:G46"/>
    <mergeCell ref="B58:G58"/>
    <mergeCell ref="B59:C59"/>
    <mergeCell ref="E59:F59"/>
    <mergeCell ref="B60:G60"/>
    <mergeCell ref="B40:D40"/>
    <mergeCell ref="E43:G43"/>
    <mergeCell ref="B42:D43"/>
    <mergeCell ref="E37:G40"/>
    <mergeCell ref="E41:G42"/>
    <mergeCell ref="B47:D49"/>
    <mergeCell ref="E48:G50"/>
    <mergeCell ref="B50:D50"/>
    <mergeCell ref="B44:D44"/>
    <mergeCell ref="E47:G47"/>
    <mergeCell ref="B41:D41"/>
    <mergeCell ref="B37:D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A7FDA316-28C2-4264-B9EA-EB4E2BFD3B81}"/>
  </hyperlinks>
  <printOptions horizontalCentered="1" verticalCentered="1"/>
  <pageMargins left="0.59055118110236227" right="0.59055118110236227" top="0" bottom="0" header="0" footer="0"/>
  <pageSetup paperSize="9" scale="91"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49C09-79DF-45F7-BB87-266F390770C8}">
  <sheetPr codeName="Hoja50">
    <tabColor theme="1"/>
    <pageSetUpPr fitToPage="1"/>
  </sheetPr>
  <dimension ref="A3:H74"/>
  <sheetViews>
    <sheetView showGridLines="0" view="pageBreakPreview" topLeftCell="A54" zoomScale="130" zoomScaleNormal="7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27" t="s">
        <v>1</v>
      </c>
      <c r="D4" s="172" t="s">
        <v>2</v>
      </c>
      <c r="E4" s="172"/>
      <c r="F4" s="172"/>
      <c r="G4" s="28"/>
    </row>
    <row r="5" spans="1:8" ht="11.25" customHeight="1" x14ac:dyDescent="0.25">
      <c r="C5" s="27" t="s">
        <v>3</v>
      </c>
      <c r="D5" s="173" t="s">
        <v>4</v>
      </c>
      <c r="E5" s="173"/>
      <c r="F5" s="173"/>
      <c r="G5" s="26"/>
    </row>
    <row r="6" spans="1:8" ht="11.25" customHeight="1" x14ac:dyDescent="0.25">
      <c r="C6" s="26" t="s">
        <v>5</v>
      </c>
      <c r="D6" s="174" t="s">
        <v>6</v>
      </c>
      <c r="E6" s="174"/>
      <c r="F6" s="174"/>
      <c r="G6" s="25"/>
    </row>
    <row r="7" spans="1:8" ht="12" customHeight="1" x14ac:dyDescent="0.25">
      <c r="C7" s="26" t="s">
        <v>7</v>
      </c>
      <c r="D7" s="175" t="s">
        <v>8</v>
      </c>
      <c r="E7" s="175"/>
      <c r="F7" s="175"/>
      <c r="G7" s="25"/>
    </row>
    <row r="8" spans="1:8" ht="10.5" customHeight="1" x14ac:dyDescent="0.25">
      <c r="A8" s="176"/>
      <c r="B8" s="176"/>
      <c r="C8" s="176"/>
      <c r="D8" s="176"/>
      <c r="E8" s="176"/>
      <c r="F8" s="176"/>
      <c r="G8" s="176"/>
      <c r="H8" s="176"/>
    </row>
    <row r="9" spans="1:8" s="1" customFormat="1" ht="15.95" customHeight="1" x14ac:dyDescent="0.25">
      <c r="B9" s="171" t="s">
        <v>781</v>
      </c>
      <c r="C9" s="171"/>
      <c r="D9" s="171"/>
      <c r="E9" s="171"/>
      <c r="F9" s="171"/>
      <c r="G9" s="171"/>
      <c r="H9" s="24"/>
    </row>
    <row r="10" spans="1:8" s="1" customFormat="1" ht="15.75" customHeight="1" x14ac:dyDescent="0.25">
      <c r="B10" s="171"/>
      <c r="C10" s="171"/>
      <c r="D10" s="171"/>
      <c r="E10" s="171"/>
      <c r="F10" s="171"/>
      <c r="G10" s="171"/>
      <c r="H10" s="24"/>
    </row>
    <row r="11" spans="1:8" s="14" customFormat="1" ht="12" customHeight="1" x14ac:dyDescent="0.25">
      <c r="A11" s="16" t="s">
        <v>10</v>
      </c>
      <c r="B11" s="159" t="s">
        <v>782</v>
      </c>
      <c r="C11" s="159"/>
      <c r="D11" s="159"/>
      <c r="E11" s="159"/>
      <c r="F11" s="29" t="s">
        <v>12</v>
      </c>
      <c r="G11" s="23"/>
      <c r="H11" s="5"/>
    </row>
    <row r="12" spans="1:8" s="14" customFormat="1" ht="12" customHeight="1" x14ac:dyDescent="0.25">
      <c r="A12" s="16"/>
      <c r="B12" s="159"/>
      <c r="C12" s="159"/>
      <c r="D12" s="159"/>
      <c r="E12" s="159"/>
      <c r="F12" s="159"/>
      <c r="G12" s="159"/>
      <c r="H12" s="5"/>
    </row>
    <row r="13" spans="1:8" s="14" customFormat="1" ht="12" customHeight="1" x14ac:dyDescent="0.25">
      <c r="A13" s="19"/>
      <c r="B13" s="159"/>
      <c r="C13" s="159"/>
      <c r="D13" s="159"/>
      <c r="E13" s="159"/>
      <c r="F13" s="159"/>
      <c r="G13" s="159"/>
      <c r="H13" s="5"/>
    </row>
    <row r="14" spans="1:8" s="14" customFormat="1" ht="12" customHeight="1" x14ac:dyDescent="0.25">
      <c r="A14" s="16" t="s">
        <v>13</v>
      </c>
      <c r="B14" s="22"/>
      <c r="C14" s="18" t="s">
        <v>14</v>
      </c>
      <c r="D14" s="21"/>
      <c r="E14" s="13" t="s">
        <v>15</v>
      </c>
      <c r="F14" s="18" t="s">
        <v>16</v>
      </c>
      <c r="G14" s="20"/>
      <c r="H14" s="5"/>
    </row>
    <row r="15" spans="1:8" s="14" customFormat="1" ht="12" customHeight="1" x14ac:dyDescent="0.25">
      <c r="A15" s="16" t="s">
        <v>17</v>
      </c>
      <c r="B15" s="159"/>
      <c r="C15" s="159"/>
      <c r="D15" s="159"/>
      <c r="E15" s="159"/>
      <c r="F15" s="18" t="s">
        <v>18</v>
      </c>
      <c r="G15" s="20"/>
      <c r="H15" s="5"/>
    </row>
    <row r="16" spans="1:8" s="14" customFormat="1" ht="12" customHeight="1" x14ac:dyDescent="0.25">
      <c r="A16" s="19"/>
      <c r="B16" s="160"/>
      <c r="C16" s="160"/>
      <c r="D16" s="160"/>
      <c r="E16" s="160"/>
      <c r="F16" s="18" t="s">
        <v>19</v>
      </c>
      <c r="G16" s="17"/>
      <c r="H16" s="5"/>
    </row>
    <row r="17" spans="1:8" s="14" customFormat="1" ht="12" customHeight="1" x14ac:dyDescent="0.25">
      <c r="A17" s="16" t="s">
        <v>20</v>
      </c>
      <c r="B17" s="159"/>
      <c r="C17" s="159"/>
      <c r="D17" s="15" t="s">
        <v>21</v>
      </c>
      <c r="E17" s="34">
        <f ca="1">TODAY()</f>
        <v>45761</v>
      </c>
      <c r="F17" s="13"/>
      <c r="G17" s="13"/>
      <c r="H17" s="13"/>
    </row>
    <row r="18" spans="1:8" s="14" customFormat="1" ht="12" customHeight="1" x14ac:dyDescent="0.25">
      <c r="A18" s="10"/>
      <c r="B18" s="161"/>
      <c r="C18" s="161"/>
      <c r="D18" s="161"/>
      <c r="E18" s="161"/>
      <c r="F18" s="161"/>
      <c r="G18" s="161"/>
      <c r="H18" s="10"/>
    </row>
    <row r="19" spans="1:8" s="2" customFormat="1" ht="12" customHeight="1" x14ac:dyDescent="0.25">
      <c r="A19" s="6"/>
      <c r="B19" s="162" t="s">
        <v>105</v>
      </c>
      <c r="C19" s="163"/>
      <c r="D19" s="164"/>
      <c r="E19" s="217"/>
      <c r="F19" s="218"/>
      <c r="G19" s="9"/>
      <c r="H19" s="9"/>
    </row>
    <row r="20" spans="1:8" s="2" customFormat="1" ht="12" customHeight="1" x14ac:dyDescent="0.25">
      <c r="A20" s="5"/>
      <c r="B20" s="162" t="s">
        <v>106</v>
      </c>
      <c r="C20" s="163"/>
      <c r="D20" s="163"/>
      <c r="E20" s="330" t="s">
        <v>363</v>
      </c>
      <c r="F20" s="331"/>
      <c r="G20" s="332"/>
      <c r="H20" s="5"/>
    </row>
    <row r="21" spans="1:8" s="2" customFormat="1" ht="12" customHeight="1" x14ac:dyDescent="0.25">
      <c r="A21" s="5"/>
      <c r="B21" s="215" t="s">
        <v>108</v>
      </c>
      <c r="C21" s="216"/>
      <c r="D21" s="216"/>
      <c r="E21" s="226" t="s">
        <v>109</v>
      </c>
      <c r="F21" s="227"/>
      <c r="G21" s="228"/>
      <c r="H21" s="5"/>
    </row>
    <row r="22" spans="1:8" s="2" customFormat="1" ht="12" customHeight="1" x14ac:dyDescent="0.25">
      <c r="A22" s="5"/>
      <c r="B22" s="222" t="s">
        <v>110</v>
      </c>
      <c r="C22" s="223"/>
      <c r="D22" s="223"/>
      <c r="E22" s="226" t="s">
        <v>111</v>
      </c>
      <c r="F22" s="227"/>
      <c r="G22" s="228"/>
      <c r="H22" s="5"/>
    </row>
    <row r="23" spans="1:8" s="2" customFormat="1" ht="12" customHeight="1" x14ac:dyDescent="0.25">
      <c r="A23" s="5"/>
      <c r="B23" s="224" t="s">
        <v>112</v>
      </c>
      <c r="C23" s="225"/>
      <c r="D23" s="225"/>
      <c r="E23" s="226" t="s">
        <v>364</v>
      </c>
      <c r="F23" s="227"/>
      <c r="G23" s="228"/>
      <c r="H23" s="5"/>
    </row>
    <row r="24" spans="1:8" s="2" customFormat="1" ht="12" customHeight="1" x14ac:dyDescent="0.25">
      <c r="A24" s="5"/>
      <c r="B24" s="219" t="s">
        <v>114</v>
      </c>
      <c r="C24" s="220"/>
      <c r="D24" s="220"/>
      <c r="E24" s="226" t="s">
        <v>115</v>
      </c>
      <c r="F24" s="227"/>
      <c r="G24" s="228"/>
      <c r="H24" s="5"/>
    </row>
    <row r="25" spans="1:8" s="2" customFormat="1" ht="12" customHeight="1" x14ac:dyDescent="0.25">
      <c r="A25" s="30"/>
      <c r="B25" s="166" t="s">
        <v>116</v>
      </c>
      <c r="C25" s="167"/>
      <c r="D25" s="167"/>
      <c r="E25" s="226" t="s">
        <v>267</v>
      </c>
      <c r="F25" s="227"/>
      <c r="G25" s="228"/>
      <c r="H25" s="5"/>
    </row>
    <row r="26" spans="1:8" s="2" customFormat="1" ht="12" customHeight="1" x14ac:dyDescent="0.25">
      <c r="A26" s="31"/>
      <c r="B26" s="166" t="s">
        <v>118</v>
      </c>
      <c r="C26" s="167"/>
      <c r="D26" s="167"/>
      <c r="E26" s="226" t="s">
        <v>119</v>
      </c>
      <c r="F26" s="227"/>
      <c r="G26" s="228"/>
      <c r="H26" s="5"/>
    </row>
    <row r="27" spans="1:8" s="2" customFormat="1" ht="12" customHeight="1" x14ac:dyDescent="0.25">
      <c r="A27" s="31"/>
      <c r="B27" s="166" t="s">
        <v>120</v>
      </c>
      <c r="C27" s="167"/>
      <c r="D27" s="167"/>
      <c r="E27" s="226" t="s">
        <v>554</v>
      </c>
      <c r="F27" s="227"/>
      <c r="G27" s="228"/>
      <c r="H27" s="5"/>
    </row>
    <row r="28" spans="1:8" s="2" customFormat="1" ht="12" customHeight="1" x14ac:dyDescent="0.25">
      <c r="A28" s="31"/>
      <c r="B28" s="166" t="s">
        <v>122</v>
      </c>
      <c r="C28" s="167"/>
      <c r="D28" s="167"/>
      <c r="E28" s="256" t="s">
        <v>123</v>
      </c>
      <c r="F28" s="257"/>
      <c r="G28" s="258"/>
      <c r="H28" s="5"/>
    </row>
    <row r="29" spans="1:8" s="2" customFormat="1" ht="12" customHeight="1" x14ac:dyDescent="0.25">
      <c r="A29" s="32"/>
      <c r="B29" s="166" t="s">
        <v>328</v>
      </c>
      <c r="C29" s="167"/>
      <c r="D29" s="167"/>
      <c r="E29" s="226" t="s">
        <v>125</v>
      </c>
      <c r="F29" s="227"/>
      <c r="G29" s="228"/>
      <c r="H29" s="5"/>
    </row>
    <row r="30" spans="1:8" s="2" customFormat="1" ht="12" customHeight="1" x14ac:dyDescent="0.25">
      <c r="A30" s="32"/>
      <c r="B30" s="166" t="s">
        <v>126</v>
      </c>
      <c r="C30" s="167"/>
      <c r="D30" s="167"/>
      <c r="E30" s="359"/>
      <c r="F30" s="360"/>
      <c r="G30" s="361"/>
      <c r="H30" s="5"/>
    </row>
    <row r="31" spans="1:8" s="2" customFormat="1" ht="12" customHeight="1" x14ac:dyDescent="0.25">
      <c r="A31" s="12"/>
      <c r="B31" s="166" t="s">
        <v>127</v>
      </c>
      <c r="C31" s="167"/>
      <c r="D31" s="167"/>
      <c r="E31" s="240" t="s">
        <v>128</v>
      </c>
      <c r="F31" s="241"/>
      <c r="G31" s="242"/>
      <c r="H31" s="5"/>
    </row>
    <row r="32" spans="1:8" s="2" customFormat="1" ht="12" customHeight="1" x14ac:dyDescent="0.25">
      <c r="A32" s="5"/>
      <c r="B32" s="166" t="s">
        <v>129</v>
      </c>
      <c r="C32" s="167"/>
      <c r="D32" s="167"/>
      <c r="E32" s="240" t="s">
        <v>130</v>
      </c>
      <c r="F32" s="241"/>
      <c r="G32" s="242"/>
      <c r="H32" s="5"/>
    </row>
    <row r="33" spans="1:8" s="2" customFormat="1" ht="12" customHeight="1" x14ac:dyDescent="0.25">
      <c r="A33" s="5"/>
      <c r="B33" s="243" t="s">
        <v>131</v>
      </c>
      <c r="C33" s="244"/>
      <c r="D33" s="244"/>
      <c r="E33" s="245" t="s">
        <v>162</v>
      </c>
      <c r="F33" s="246"/>
      <c r="G33" s="247"/>
      <c r="H33" s="5"/>
    </row>
    <row r="34" spans="1:8" s="2" customFormat="1" ht="12" customHeight="1" x14ac:dyDescent="0.25">
      <c r="A34" s="5"/>
      <c r="B34" s="224" t="s">
        <v>322</v>
      </c>
      <c r="C34" s="225"/>
      <c r="D34" s="225"/>
      <c r="E34" s="248"/>
      <c r="F34" s="248"/>
      <c r="G34" s="249"/>
      <c r="H34" s="5"/>
    </row>
    <row r="35" spans="1:8" s="2" customFormat="1" ht="12" customHeight="1" x14ac:dyDescent="0.25">
      <c r="A35" s="5"/>
      <c r="B35" s="193" t="s">
        <v>133</v>
      </c>
      <c r="C35" s="194"/>
      <c r="D35" s="195"/>
      <c r="E35" s="271" t="s">
        <v>134</v>
      </c>
      <c r="F35" s="272"/>
      <c r="G35" s="273"/>
      <c r="H35" s="5"/>
    </row>
    <row r="36" spans="1:8" s="2" customFormat="1" ht="12" customHeight="1" x14ac:dyDescent="0.25">
      <c r="A36" s="5"/>
      <c r="B36" s="154" t="s">
        <v>135</v>
      </c>
      <c r="C36" s="155"/>
      <c r="D36" s="156"/>
      <c r="E36" s="237" t="s">
        <v>136</v>
      </c>
      <c r="F36" s="238"/>
      <c r="G36" s="239"/>
      <c r="H36" s="5"/>
    </row>
    <row r="37" spans="1:8" s="2" customFormat="1" ht="12" customHeight="1" x14ac:dyDescent="0.25">
      <c r="A37" s="5"/>
      <c r="B37" s="154" t="s">
        <v>137</v>
      </c>
      <c r="C37" s="155"/>
      <c r="D37" s="156"/>
      <c r="E37" s="237" t="s">
        <v>138</v>
      </c>
      <c r="F37" s="238"/>
      <c r="G37" s="239"/>
      <c r="H37" s="5"/>
    </row>
    <row r="38" spans="1:8" s="2" customFormat="1" ht="12" customHeight="1" x14ac:dyDescent="0.25">
      <c r="A38" s="5"/>
      <c r="B38" s="154" t="s">
        <v>139</v>
      </c>
      <c r="C38" s="155"/>
      <c r="D38" s="156"/>
      <c r="E38" s="237" t="s">
        <v>140</v>
      </c>
      <c r="F38" s="238"/>
      <c r="G38" s="239"/>
      <c r="H38" s="5"/>
    </row>
    <row r="39" spans="1:8" s="2" customFormat="1" ht="12" customHeight="1" x14ac:dyDescent="0.25">
      <c r="A39" s="5"/>
      <c r="B39" s="154" t="s">
        <v>141</v>
      </c>
      <c r="C39" s="155"/>
      <c r="D39" s="156"/>
      <c r="E39" s="154" t="s">
        <v>142</v>
      </c>
      <c r="F39" s="155"/>
      <c r="G39" s="156"/>
      <c r="H39" s="5"/>
    </row>
    <row r="40" spans="1:8" s="2" customFormat="1" ht="12" customHeight="1" x14ac:dyDescent="0.25">
      <c r="A40" s="5"/>
      <c r="B40" s="154" t="s">
        <v>143</v>
      </c>
      <c r="C40" s="155"/>
      <c r="D40" s="156"/>
      <c r="E40" s="154" t="s">
        <v>144</v>
      </c>
      <c r="F40" s="155"/>
      <c r="G40" s="156"/>
      <c r="H40" s="5"/>
    </row>
    <row r="41" spans="1:8" s="2" customFormat="1" ht="12" customHeight="1" x14ac:dyDescent="0.25">
      <c r="B41" s="154" t="s">
        <v>145</v>
      </c>
      <c r="C41" s="155"/>
      <c r="D41" s="156"/>
      <c r="E41" s="154" t="s">
        <v>146</v>
      </c>
      <c r="F41" s="155"/>
      <c r="G41" s="156"/>
      <c r="H41" s="5"/>
    </row>
    <row r="42" spans="1:8" s="2" customFormat="1" ht="12" customHeight="1" x14ac:dyDescent="0.25">
      <c r="A42" s="5"/>
      <c r="B42" s="154" t="s">
        <v>147</v>
      </c>
      <c r="C42" s="155"/>
      <c r="D42" s="156"/>
      <c r="E42" s="256" t="s">
        <v>148</v>
      </c>
      <c r="F42" s="257"/>
      <c r="G42" s="258"/>
      <c r="H42" s="5"/>
    </row>
    <row r="43" spans="1:8" s="2" customFormat="1" ht="12" customHeight="1" x14ac:dyDescent="0.25">
      <c r="A43" s="5"/>
      <c r="B43" s="154" t="s">
        <v>149</v>
      </c>
      <c r="C43" s="155"/>
      <c r="D43" s="156"/>
      <c r="E43" s="256" t="s">
        <v>150</v>
      </c>
      <c r="F43" s="257"/>
      <c r="G43" s="258"/>
      <c r="H43" s="5"/>
    </row>
    <row r="44" spans="1:8" s="2" customFormat="1" ht="12" customHeight="1" x14ac:dyDescent="0.25">
      <c r="A44" s="5"/>
      <c r="B44" s="154" t="s">
        <v>163</v>
      </c>
      <c r="C44" s="155"/>
      <c r="D44" s="156"/>
      <c r="E44" s="256" t="s">
        <v>152</v>
      </c>
      <c r="F44" s="257"/>
      <c r="G44" s="258"/>
      <c r="H44" s="5"/>
    </row>
    <row r="45" spans="1:8" s="2" customFormat="1" ht="12" customHeight="1" x14ac:dyDescent="0.25">
      <c r="A45" s="5"/>
      <c r="B45" s="113" t="s">
        <v>153</v>
      </c>
      <c r="C45" s="114"/>
      <c r="D45" s="115"/>
      <c r="E45" s="259" t="s">
        <v>154</v>
      </c>
      <c r="F45" s="260"/>
      <c r="G45" s="261"/>
      <c r="H45" s="5"/>
    </row>
    <row r="46" spans="1:8" s="2" customFormat="1" ht="12" customHeight="1" x14ac:dyDescent="0.2">
      <c r="B46" s="224" t="s">
        <v>62</v>
      </c>
      <c r="C46" s="225"/>
      <c r="D46" s="225"/>
      <c r="E46" s="225"/>
      <c r="F46" s="225"/>
      <c r="G46" s="262"/>
    </row>
    <row r="47" spans="1:8" s="2" customFormat="1" ht="12" customHeight="1" x14ac:dyDescent="0.2">
      <c r="B47" s="397" t="s">
        <v>783</v>
      </c>
      <c r="C47" s="398"/>
      <c r="D47" s="399"/>
      <c r="E47" s="267" t="s">
        <v>64</v>
      </c>
      <c r="F47" s="169"/>
      <c r="G47" s="170"/>
    </row>
    <row r="48" spans="1:8" s="2" customFormat="1" ht="12" customHeight="1" x14ac:dyDescent="0.2">
      <c r="B48" s="349"/>
      <c r="C48" s="400"/>
      <c r="D48" s="401"/>
      <c r="E48" s="154" t="s">
        <v>164</v>
      </c>
      <c r="F48" s="155"/>
      <c r="G48" s="156"/>
    </row>
    <row r="49" spans="1:8" s="2" customFormat="1" ht="12" customHeight="1" x14ac:dyDescent="0.2">
      <c r="B49" s="349"/>
      <c r="C49" s="400"/>
      <c r="D49" s="401"/>
      <c r="E49" s="154" t="s">
        <v>165</v>
      </c>
      <c r="F49" s="155"/>
      <c r="G49" s="156"/>
    </row>
    <row r="50" spans="1:8" s="2" customFormat="1" ht="12" customHeight="1" x14ac:dyDescent="0.2">
      <c r="B50" s="263" t="s">
        <v>159</v>
      </c>
      <c r="C50" s="264"/>
      <c r="D50" s="265"/>
      <c r="E50" s="268" t="s">
        <v>166</v>
      </c>
      <c r="F50" s="269"/>
      <c r="G50" s="270"/>
    </row>
    <row r="51" spans="1:8" s="2" customFormat="1" ht="12" customHeight="1" x14ac:dyDescent="0.2">
      <c r="B51" s="97"/>
      <c r="C51" s="97"/>
      <c r="D51" s="97"/>
      <c r="E51" s="97"/>
      <c r="F51" s="97"/>
      <c r="G51" s="97"/>
    </row>
    <row r="52" spans="1:8" s="2" customFormat="1" ht="12" customHeight="1" x14ac:dyDescent="0.2">
      <c r="B52" s="38" t="s">
        <v>70</v>
      </c>
      <c r="C52" s="98"/>
      <c r="D52" s="98"/>
      <c r="E52" s="98"/>
      <c r="F52" s="98"/>
      <c r="G52" s="98"/>
    </row>
    <row r="53" spans="1:8" s="2" customFormat="1" ht="12" customHeight="1" x14ac:dyDescent="0.2">
      <c r="B53" s="99"/>
      <c r="C53" s="99"/>
      <c r="D53" s="99"/>
      <c r="E53" s="99"/>
      <c r="F53" s="99"/>
      <c r="G53" s="99"/>
    </row>
    <row r="54" spans="1:8" s="2" customFormat="1" ht="12" customHeight="1" x14ac:dyDescent="0.2">
      <c r="B54" s="99"/>
      <c r="C54" s="99"/>
      <c r="D54" s="99"/>
      <c r="E54" s="99"/>
      <c r="F54" s="99"/>
      <c r="G54" s="99"/>
    </row>
    <row r="55" spans="1:8" s="2" customFormat="1" ht="12" customHeight="1" x14ac:dyDescent="0.2">
      <c r="B55" s="100"/>
      <c r="C55" s="100"/>
      <c r="D55" s="100"/>
      <c r="E55" s="100"/>
      <c r="F55" s="100"/>
      <c r="G55" s="100"/>
    </row>
    <row r="56" spans="1:8" s="2" customFormat="1" ht="12" customHeight="1" x14ac:dyDescent="0.25">
      <c r="A56" s="6"/>
      <c r="B56" s="101" t="s">
        <v>71</v>
      </c>
      <c r="C56" s="101"/>
      <c r="D56" s="101"/>
      <c r="E56" s="101"/>
      <c r="F56" s="101"/>
      <c r="G56" s="101"/>
      <c r="H56" s="9"/>
    </row>
    <row r="57" spans="1:8" s="2" customFormat="1" ht="12" customHeight="1" x14ac:dyDescent="0.25">
      <c r="A57" s="9"/>
      <c r="B57" s="102" t="s">
        <v>72</v>
      </c>
      <c r="C57" s="102"/>
      <c r="D57" s="11">
        <v>12</v>
      </c>
      <c r="E57" s="10" t="s">
        <v>73</v>
      </c>
      <c r="F57" s="10"/>
      <c r="G57" s="10"/>
      <c r="H57" s="9"/>
    </row>
    <row r="58" spans="1:8" s="2" customFormat="1" ht="12" customHeight="1" x14ac:dyDescent="0.25">
      <c r="A58" s="6"/>
      <c r="B58" s="101" t="s">
        <v>74</v>
      </c>
      <c r="C58" s="101"/>
      <c r="D58" s="101"/>
      <c r="E58" s="101"/>
      <c r="F58" s="101"/>
      <c r="G58" s="101"/>
      <c r="H58" s="9"/>
    </row>
    <row r="59" spans="1:8" s="2" customFormat="1" ht="12" customHeight="1" x14ac:dyDescent="0.25">
      <c r="A59" s="9"/>
      <c r="B59" s="103" t="s">
        <v>75</v>
      </c>
      <c r="C59" s="103"/>
      <c r="D59" s="36">
        <f>+C61+C62</f>
        <v>0</v>
      </c>
      <c r="E59" s="104" t="s">
        <v>76</v>
      </c>
      <c r="F59" s="104"/>
      <c r="G59" s="10"/>
      <c r="H59" s="9"/>
    </row>
    <row r="60" spans="1:8" s="2" customFormat="1" ht="12" customHeight="1" x14ac:dyDescent="0.25">
      <c r="A60" s="6"/>
      <c r="B60" s="101" t="s">
        <v>77</v>
      </c>
      <c r="C60" s="101"/>
      <c r="D60" s="101"/>
      <c r="E60" s="101"/>
      <c r="F60" s="101"/>
      <c r="G60" s="101"/>
      <c r="H60" s="9"/>
    </row>
    <row r="61" spans="1:8" ht="12" customHeight="1" x14ac:dyDescent="0.25">
      <c r="A61" s="9"/>
      <c r="B61" s="8" t="s">
        <v>78</v>
      </c>
      <c r="C61" s="36"/>
      <c r="D61" s="96" t="s">
        <v>79</v>
      </c>
      <c r="E61" s="96"/>
      <c r="F61" s="96"/>
      <c r="G61" s="35">
        <f ca="1">E17</f>
        <v>45761</v>
      </c>
      <c r="H61" s="9"/>
    </row>
    <row r="62" spans="1:8" ht="12" customHeight="1" x14ac:dyDescent="0.25">
      <c r="A62" s="9"/>
      <c r="B62" s="8" t="s">
        <v>78</v>
      </c>
      <c r="C62" s="37"/>
      <c r="D62" s="266" t="s">
        <v>746</v>
      </c>
      <c r="E62" s="266"/>
      <c r="F62" s="266"/>
      <c r="G62" s="35">
        <f ca="1">E17+18</f>
        <v>45779</v>
      </c>
      <c r="H62" s="7" t="s">
        <v>290</v>
      </c>
    </row>
    <row r="63" spans="1:8" ht="12" customHeight="1" x14ac:dyDescent="0.25">
      <c r="A63" s="5"/>
      <c r="B63" s="105" t="s">
        <v>168</v>
      </c>
      <c r="C63" s="105"/>
      <c r="D63" s="105"/>
      <c r="E63" s="105"/>
      <c r="F63" s="105"/>
      <c r="G63" s="105"/>
      <c r="H63" s="4"/>
    </row>
    <row r="64" spans="1:8" ht="12" customHeight="1" x14ac:dyDescent="0.25">
      <c r="A64" s="3" t="s">
        <v>83</v>
      </c>
      <c r="B64" s="106" t="s">
        <v>84</v>
      </c>
      <c r="C64" s="106"/>
      <c r="D64" s="106"/>
      <c r="E64" s="106"/>
      <c r="F64" s="106"/>
      <c r="G64" s="106"/>
      <c r="H64" s="2"/>
    </row>
    <row r="65" spans="2:8" ht="12" customHeight="1" x14ac:dyDescent="0.25">
      <c r="B65" s="95" t="s">
        <v>786</v>
      </c>
      <c r="C65" s="95"/>
      <c r="D65" s="95"/>
      <c r="E65" s="95"/>
      <c r="F65" s="95" t="s">
        <v>85</v>
      </c>
      <c r="G65" s="95"/>
      <c r="H65" s="95"/>
    </row>
    <row r="66" spans="2:8" ht="12" customHeight="1" x14ac:dyDescent="0.25">
      <c r="B66" s="94" t="s">
        <v>86</v>
      </c>
      <c r="C66" s="94"/>
      <c r="D66" s="94"/>
      <c r="E66" s="94"/>
      <c r="F66" s="95" t="s">
        <v>87</v>
      </c>
      <c r="G66" s="95"/>
      <c r="H66" s="95"/>
    </row>
    <row r="67" spans="2:8" ht="12" customHeight="1" x14ac:dyDescent="0.25">
      <c r="B67" s="94" t="s">
        <v>785</v>
      </c>
      <c r="C67" s="94"/>
      <c r="D67" s="94"/>
      <c r="E67" s="94"/>
      <c r="F67" s="95" t="s">
        <v>432</v>
      </c>
      <c r="G67" s="95"/>
      <c r="H67" s="95"/>
    </row>
    <row r="68" spans="2:8" ht="12" customHeight="1" x14ac:dyDescent="0.25">
      <c r="B68" s="95" t="s">
        <v>784</v>
      </c>
      <c r="C68" s="95"/>
      <c r="D68" s="95"/>
      <c r="E68" s="95"/>
      <c r="F68" s="95"/>
      <c r="G68" s="95"/>
      <c r="H68" s="95"/>
    </row>
    <row r="69" spans="2:8" ht="15" customHeight="1" x14ac:dyDescent="0.25">
      <c r="B69" s="33"/>
      <c r="C69" s="33"/>
      <c r="D69" s="33"/>
      <c r="E69" s="33"/>
      <c r="F69" s="33"/>
      <c r="G69" s="33"/>
      <c r="H69" s="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6">
    <mergeCell ref="B67:E67"/>
    <mergeCell ref="F67:H67"/>
    <mergeCell ref="B68:E68"/>
    <mergeCell ref="F68:H68"/>
    <mergeCell ref="B47:D49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E48:G48"/>
    <mergeCell ref="E49:G49"/>
    <mergeCell ref="B50:D50"/>
    <mergeCell ref="E50:G50"/>
    <mergeCell ref="B44:D44"/>
    <mergeCell ref="E44:G44"/>
    <mergeCell ref="B45:D45"/>
    <mergeCell ref="E45:G45"/>
    <mergeCell ref="B46:G46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7:D37"/>
    <mergeCell ref="E37:G37"/>
    <mergeCell ref="B31:D31"/>
    <mergeCell ref="E31:G31"/>
    <mergeCell ref="B32:D32"/>
    <mergeCell ref="E32:G32"/>
    <mergeCell ref="B33:D33"/>
    <mergeCell ref="E33:G33"/>
    <mergeCell ref="B34:G34"/>
    <mergeCell ref="B35:D35"/>
    <mergeCell ref="E35:G35"/>
    <mergeCell ref="B36:D36"/>
    <mergeCell ref="E36:G36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21:D21"/>
    <mergeCell ref="E21:G21"/>
    <mergeCell ref="B11:E11"/>
    <mergeCell ref="B12:G12"/>
    <mergeCell ref="B13:G13"/>
    <mergeCell ref="B15:E15"/>
    <mergeCell ref="B16:E16"/>
    <mergeCell ref="B17:C17"/>
    <mergeCell ref="B18:G18"/>
    <mergeCell ref="B19:D19"/>
    <mergeCell ref="E19:F19"/>
    <mergeCell ref="B20:D20"/>
    <mergeCell ref="E20:G20"/>
    <mergeCell ref="B9:G10"/>
    <mergeCell ref="D4:F4"/>
    <mergeCell ref="D5:F5"/>
    <mergeCell ref="D6:F6"/>
    <mergeCell ref="D7:F7"/>
    <mergeCell ref="A8:H8"/>
  </mergeCells>
  <hyperlinks>
    <hyperlink ref="D7" r:id="rId1" xr:uid="{F3E1FD68-23D9-4757-B529-8BDF3B692433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49</vt:i4>
      </vt:variant>
      <vt:variant>
        <vt:lpstr>Rangos con nombre</vt:lpstr>
      </vt:variant>
      <vt:variant>
        <vt:i4>49</vt:i4>
      </vt:variant>
    </vt:vector>
  </HeadingPairs>
  <TitlesOfParts>
    <vt:vector size="98" baseType="lpstr">
      <vt:lpstr>DEC-FAB</vt:lpstr>
      <vt:lpstr>DEC-SUB</vt:lpstr>
      <vt:lpstr>IND</vt:lpstr>
      <vt:lpstr>DEC-IND</vt:lpstr>
      <vt:lpstr>BUS-CAT</vt:lpstr>
      <vt:lpstr>VIS-PLA</vt:lpstr>
      <vt:lpstr>LIC-CON</vt:lpstr>
      <vt:lpstr>PLA-OBR</vt:lpstr>
      <vt:lpstr>LIC-FUN</vt:lpstr>
      <vt:lpstr>SUC-INT</vt:lpstr>
      <vt:lpstr>SUC-DEC</vt:lpstr>
      <vt:lpstr>DIV-PAR</vt:lpstr>
      <vt:lpstr>ANT-LEG</vt:lpstr>
      <vt:lpstr>CON-MUL</vt:lpstr>
      <vt:lpstr>FAC-ELE</vt:lpstr>
      <vt:lpstr>FAC-SAN</vt:lpstr>
      <vt:lpstr>LEV-CAR</vt:lpstr>
      <vt:lpstr>NOT-MUN</vt:lpstr>
      <vt:lpstr>LIC-DEM</vt:lpstr>
      <vt:lpstr>BUS-MEM</vt:lpstr>
      <vt:lpstr>SOL-MED</vt:lpstr>
      <vt:lpstr>ADE-MOD</vt:lpstr>
      <vt:lpstr>TAS-INM</vt:lpstr>
      <vt:lpstr>LEV-ARE</vt:lpstr>
      <vt:lpstr>COM-VEN</vt:lpstr>
      <vt:lpstr>DEC-CON</vt:lpstr>
      <vt:lpstr>DEC-DIV</vt:lpstr>
      <vt:lpstr>MED-PLU</vt:lpstr>
      <vt:lpstr>OBR-CON</vt:lpstr>
      <vt:lpstr>NOT-NOT</vt:lpstr>
      <vt:lpstr>FAC-ALC</vt:lpstr>
      <vt:lpstr>DEC-MIN</vt:lpstr>
      <vt:lpstr>EVA-EST</vt:lpstr>
      <vt:lpstr>TRA-DEC</vt:lpstr>
      <vt:lpstr>ACT-AUT</vt:lpstr>
      <vt:lpstr>DIV-DON</vt:lpstr>
      <vt:lpstr>DEC-DON</vt:lpstr>
      <vt:lpstr>DIS-3D</vt:lpstr>
      <vt:lpstr>CER-NUM</vt:lpstr>
      <vt:lpstr>ACT-PLA</vt:lpstr>
      <vt:lpstr>INF-PRE</vt:lpstr>
      <vt:lpstr>DON</vt:lpstr>
      <vt:lpstr>BUS-OTR</vt:lpstr>
      <vt:lpstr>PLA-NOD</vt:lpstr>
      <vt:lpstr>PRE-NOT</vt:lpstr>
      <vt:lpstr>PRE-JUD</vt:lpstr>
      <vt:lpstr>VIS-PRE</vt:lpstr>
      <vt:lpstr>HAB-URB</vt:lpstr>
      <vt:lpstr>PLA-ING</vt:lpstr>
      <vt:lpstr>'ACT-AUT'!Área_de_impresión</vt:lpstr>
      <vt:lpstr>'ACT-PLA'!Área_de_impresión</vt:lpstr>
      <vt:lpstr>'ADE-MOD'!Área_de_impresión</vt:lpstr>
      <vt:lpstr>'ANT-LEG'!Área_de_impresión</vt:lpstr>
      <vt:lpstr>'BUS-CAT'!Área_de_impresión</vt:lpstr>
      <vt:lpstr>'BUS-MEM'!Área_de_impresión</vt:lpstr>
      <vt:lpstr>'BUS-OTR'!Área_de_impresión</vt:lpstr>
      <vt:lpstr>'CER-NUM'!Área_de_impresión</vt:lpstr>
      <vt:lpstr>'COM-VEN'!Área_de_impresión</vt:lpstr>
      <vt:lpstr>'CON-MUL'!Área_de_impresión</vt:lpstr>
      <vt:lpstr>'DEC-CON'!Área_de_impresión</vt:lpstr>
      <vt:lpstr>'DEC-DIV'!Área_de_impresión</vt:lpstr>
      <vt:lpstr>'DEC-DON'!Área_de_impresión</vt:lpstr>
      <vt:lpstr>'DEC-FAB'!Área_de_impresión</vt:lpstr>
      <vt:lpstr>'DEC-IND'!Área_de_impresión</vt:lpstr>
      <vt:lpstr>'DEC-MIN'!Área_de_impresión</vt:lpstr>
      <vt:lpstr>'DEC-SUB'!Área_de_impresión</vt:lpstr>
      <vt:lpstr>'DIS-3D'!Área_de_impresión</vt:lpstr>
      <vt:lpstr>'DIV-DON'!Área_de_impresión</vt:lpstr>
      <vt:lpstr>'DIV-PAR'!Área_de_impresión</vt:lpstr>
      <vt:lpstr>DON!Área_de_impresión</vt:lpstr>
      <vt:lpstr>'EVA-EST'!Área_de_impresión</vt:lpstr>
      <vt:lpstr>'FAC-ALC'!Área_de_impresión</vt:lpstr>
      <vt:lpstr>'FAC-ELE'!Área_de_impresión</vt:lpstr>
      <vt:lpstr>'FAC-SAN'!Área_de_impresión</vt:lpstr>
      <vt:lpstr>'HAB-URB'!Área_de_impresión</vt:lpstr>
      <vt:lpstr>IND!Área_de_impresión</vt:lpstr>
      <vt:lpstr>'INF-PRE'!Área_de_impresión</vt:lpstr>
      <vt:lpstr>'LEV-ARE'!Área_de_impresión</vt:lpstr>
      <vt:lpstr>'LEV-CAR'!Área_de_impresión</vt:lpstr>
      <vt:lpstr>'LIC-CON'!Área_de_impresión</vt:lpstr>
      <vt:lpstr>'LIC-DEM'!Área_de_impresión</vt:lpstr>
      <vt:lpstr>'LIC-FUN'!Área_de_impresión</vt:lpstr>
      <vt:lpstr>'MED-PLU'!Área_de_impresión</vt:lpstr>
      <vt:lpstr>'NOT-MUN'!Área_de_impresión</vt:lpstr>
      <vt:lpstr>'NOT-NOT'!Área_de_impresión</vt:lpstr>
      <vt:lpstr>'OBR-CON'!Área_de_impresión</vt:lpstr>
      <vt:lpstr>'PLA-ING'!Área_de_impresión</vt:lpstr>
      <vt:lpstr>'PLA-NOD'!Área_de_impresión</vt:lpstr>
      <vt:lpstr>'PLA-OBR'!Área_de_impresión</vt:lpstr>
      <vt:lpstr>'PRE-JUD'!Área_de_impresión</vt:lpstr>
      <vt:lpstr>'PRE-NOT'!Área_de_impresión</vt:lpstr>
      <vt:lpstr>'SOL-MED'!Área_de_impresión</vt:lpstr>
      <vt:lpstr>'SUC-DEC'!Área_de_impresión</vt:lpstr>
      <vt:lpstr>'SUC-INT'!Área_de_impresión</vt:lpstr>
      <vt:lpstr>'TAS-INM'!Área_de_impresión</vt:lpstr>
      <vt:lpstr>'TRA-DEC'!Área_de_impresión</vt:lpstr>
      <vt:lpstr>'VIS-PLA'!Área_de_impresión</vt:lpstr>
      <vt:lpstr>'VIS-PRE'!Área_de_impresión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Lenovo Yoga 13</cp:lastModifiedBy>
  <cp:revision/>
  <cp:lastPrinted>2024-11-19T17:09:34Z</cp:lastPrinted>
  <dcterms:created xsi:type="dcterms:W3CDTF">2023-04-19T15:28:37Z</dcterms:created>
  <dcterms:modified xsi:type="dcterms:W3CDTF">2025-04-14T17:31:27Z</dcterms:modified>
  <cp:category/>
  <cp:contentStatus/>
</cp:coreProperties>
</file>